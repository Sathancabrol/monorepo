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intranet.local\FIRALP\DIRECTION 2\SECTEUR SUD OUEST\TOULOUSE\3-Affaires\Marchés cadres\"/>
    </mc:Choice>
  </mc:AlternateContent>
  <xr:revisionPtr revIDLastSave="0" documentId="13_ncr:1_{A73CD3DD-2F58-4900-9216-64F5334F4CD4}" xr6:coauthVersionLast="47" xr6:coauthVersionMax="47" xr10:uidLastSave="{00000000-0000-0000-0000-000000000000}"/>
  <bookViews>
    <workbookView xWindow="-110" yWindow="-110" windowWidth="19420" windowHeight="10420" tabRatio="748" firstSheet="3" activeTab="7" xr2:uid="{98BF388B-1084-46D6-ADD1-EB8257705074}"/>
  </bookViews>
  <sheets>
    <sheet name="Equipe chantier" sheetId="9" r:id="rId1"/>
    <sheet name="LISTE CHANTIERS" sheetId="2" r:id="rId2"/>
    <sheet name="PLANNING GENERAL" sheetId="4" r:id="rId3"/>
    <sheet name="avancement syaden phase 2" sheetId="11" r:id="rId4"/>
    <sheet name="planning 1" sheetId="14" r:id="rId5"/>
    <sheet name="avancement syaden lot 1" sheetId="10" r:id="rId6"/>
    <sheet name="planning 2" sheetId="12" r:id="rId7"/>
    <sheet name="avancement syaden lot 2" sheetId="8" r:id="rId8"/>
    <sheet name="planning 3" sheetId="15" r:id="rId9"/>
  </sheets>
  <definedNames>
    <definedName name="_xlnm._FilterDatabase" localSheetId="2" hidden="1">'PLANNING GENERAL'!$A$1:$EG$3</definedName>
    <definedName name="_xlnm.Print_Area" localSheetId="8">'planning 3'!$A$1:$AH$32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7" i="8" l="1"/>
  <c r="AD32" i="8" l="1"/>
  <c r="W17" i="10" l="1"/>
  <c r="W17" i="8" l="1"/>
  <c r="W20" i="8"/>
  <c r="W30" i="8"/>
  <c r="W27" i="8"/>
  <c r="W24" i="8"/>
  <c r="AD34" i="8"/>
  <c r="AD28" i="8"/>
  <c r="AD25" i="8"/>
  <c r="AD24" i="8"/>
  <c r="AD9" i="8"/>
  <c r="AD10" i="8" l="1"/>
  <c r="AD11" i="8"/>
  <c r="AD12" i="8"/>
  <c r="AD13" i="8"/>
  <c r="AD14" i="8"/>
  <c r="AD15" i="8"/>
  <c r="AD16" i="8"/>
  <c r="AD17" i="8"/>
  <c r="AD19" i="8"/>
  <c r="AD20" i="8"/>
  <c r="AD21" i="8"/>
  <c r="AD22" i="8"/>
  <c r="AD23" i="8"/>
  <c r="AD26" i="8"/>
  <c r="AD27" i="8"/>
  <c r="AD29" i="8"/>
  <c r="AD30" i="8"/>
  <c r="AD31" i="8"/>
  <c r="AD33" i="8"/>
  <c r="AD35" i="8"/>
  <c r="AD36" i="8"/>
  <c r="AD40" i="8"/>
  <c r="K3" i="10"/>
  <c r="C3" i="11"/>
  <c r="M40" i="8"/>
  <c r="M29" i="8"/>
  <c r="L29" i="8"/>
  <c r="M19" i="8"/>
  <c r="L19" i="8"/>
  <c r="M15" i="8"/>
  <c r="L15" i="8"/>
  <c r="M13" i="8"/>
  <c r="L13" i="8"/>
  <c r="C3" i="8"/>
</calcChain>
</file>

<file path=xl/sharedStrings.xml><?xml version="1.0" encoding="utf-8"?>
<sst xmlns="http://schemas.openxmlformats.org/spreadsheetml/2006/main" count="1633" uniqueCount="666">
  <si>
    <t>Adresse d'intervention</t>
  </si>
  <si>
    <t>GC</t>
  </si>
  <si>
    <t>PAYRA</t>
  </si>
  <si>
    <t>PECH LUNA</t>
  </si>
  <si>
    <t>PLAIGNE</t>
  </si>
  <si>
    <t>SYADEN FIBRE</t>
  </si>
  <si>
    <t>SYADEN FTTH GC</t>
  </si>
  <si>
    <t>SYADEN PHASE 2</t>
  </si>
  <si>
    <t>SYADEN 2023T0T101 LOT 1</t>
  </si>
  <si>
    <t xml:space="preserve">SYADEN 2023T0T102 MS1 LOT 2 </t>
  </si>
  <si>
    <t>PEYRIAC</t>
  </si>
  <si>
    <t>CAUNES</t>
  </si>
  <si>
    <t>CONQUES</t>
  </si>
  <si>
    <t>LTE</t>
  </si>
  <si>
    <t>AZILLE</t>
  </si>
  <si>
    <t>BELPECH</t>
  </si>
  <si>
    <t>TOUROUZELLE</t>
  </si>
  <si>
    <t>MOUSSOULENS</t>
  </si>
  <si>
    <t>CHALABRE</t>
  </si>
  <si>
    <t>ALZONE</t>
  </si>
  <si>
    <t>PUIVERT</t>
  </si>
  <si>
    <t>HOMPS</t>
  </si>
  <si>
    <t>AI FONTIERS</t>
  </si>
  <si>
    <t>JOUCLARY</t>
  </si>
  <si>
    <t>ARAGON</t>
  </si>
  <si>
    <t>VENTENAC</t>
  </si>
  <si>
    <t>VILLEGLY</t>
  </si>
  <si>
    <t>SAINT FRICHOUX</t>
  </si>
  <si>
    <t>ISSEL</t>
  </si>
  <si>
    <t>GAJA LA SELVE</t>
  </si>
  <si>
    <t>LA LOUVRIERE</t>
  </si>
  <si>
    <t>PEYCHARIC LE PY</t>
  </si>
  <si>
    <t>PEYRENS</t>
  </si>
  <si>
    <t>CODE CHANTIER</t>
  </si>
  <si>
    <t>RIP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</si>
  <si>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</si>
  <si>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</si>
  <si>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</si>
  <si>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</si>
  <si>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</si>
  <si>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</si>
  <si>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</si>
  <si>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</si>
  <si>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</si>
  <si>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</si>
  <si>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</si>
  <si>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</si>
  <si>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</si>
  <si>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</si>
  <si>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</si>
  <si>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</si>
  <si>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</si>
  <si>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</si>
  <si>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</si>
  <si>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</si>
  <si>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</si>
  <si>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</si>
  <si>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</si>
  <si>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</si>
  <si>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</si>
  <si>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</si>
  <si>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</si>
  <si>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SYADEN_2023T0101_LOT1</t>
  </si>
  <si>
    <t>PEYRIAC MINERVOIS</t>
  </si>
  <si>
    <t>19-CAMN-073</t>
  </si>
  <si>
    <t>LES MARTYS</t>
  </si>
  <si>
    <t>LAURABUC</t>
  </si>
  <si>
    <t>LAURAGUEL</t>
  </si>
  <si>
    <t>MONTFERRAND</t>
  </si>
  <si>
    <t>20-LGPM-039</t>
  </si>
  <si>
    <t>21-LGPM-006</t>
  </si>
  <si>
    <t>VILLEPSY</t>
  </si>
  <si>
    <t>21-LXPC-022</t>
  </si>
  <si>
    <t>22-LGPM-016</t>
  </si>
  <si>
    <t>22-CAMN-062</t>
  </si>
  <si>
    <t>23-CAMN-042</t>
  </si>
  <si>
    <t>23-HVPA-005</t>
  </si>
  <si>
    <t>TREZIERS</t>
  </si>
  <si>
    <t>23-LXPC-025</t>
  </si>
  <si>
    <t>ROUTIER</t>
  </si>
  <si>
    <t>23-GNLT-017</t>
  </si>
  <si>
    <t>ARGELIERS</t>
  </si>
  <si>
    <t>23-HVPA-017</t>
  </si>
  <si>
    <t>23-LGPM-014</t>
  </si>
  <si>
    <t>GREFFEIL</t>
  </si>
  <si>
    <t>CARLIPA</t>
  </si>
  <si>
    <t>MONTAZELS</t>
  </si>
  <si>
    <t>BESSEDE DE SAULT</t>
  </si>
  <si>
    <t>CETUR</t>
  </si>
  <si>
    <t>23-LGPM-018</t>
  </si>
  <si>
    <t>LABASTIDE D'ANJOU</t>
  </si>
  <si>
    <t>23-LXPC-026</t>
  </si>
  <si>
    <t>23-LXPC-020</t>
  </si>
  <si>
    <t>23-LGPM-023</t>
  </si>
  <si>
    <t>PLAVILLA</t>
  </si>
  <si>
    <t>23-HVPA-019</t>
  </si>
  <si>
    <t>RODOME</t>
  </si>
  <si>
    <t>22-LXPC-043</t>
  </si>
  <si>
    <t>CAMPS SUR L'AGLY</t>
  </si>
  <si>
    <t>23-LGPM-003</t>
  </si>
  <si>
    <t>PAYRA SUR L'HERS</t>
  </si>
  <si>
    <t>23-LGPM-019</t>
  </si>
  <si>
    <t>23-CAMN-035</t>
  </si>
  <si>
    <t>VILLENEUVE MINERVOIS M. GINIES</t>
  </si>
  <si>
    <t>AUD.ET.TEL</t>
  </si>
  <si>
    <t>23-CAMN-041</t>
  </si>
  <si>
    <t>VILLENEUVE MINERVOIS ALOGEA</t>
  </si>
  <si>
    <t>TRAUSSE MINERVOIS M. PISTILLO</t>
  </si>
  <si>
    <t>23-CAMN-064</t>
  </si>
  <si>
    <t>VILLEGAILHENC M. HUMBEL</t>
  </si>
  <si>
    <t>23-LGPM-026</t>
  </si>
  <si>
    <t>LAURAC M. DUFLOT</t>
  </si>
  <si>
    <t>23-HVPA-026</t>
  </si>
  <si>
    <t>COUNOZOULS</t>
  </si>
  <si>
    <t>BE GEO SUD-OUEST</t>
  </si>
  <si>
    <t>23-LXPC-031</t>
  </si>
  <si>
    <t>SYADEN_2023T0102_MS1_LOT2</t>
  </si>
  <si>
    <t>BC</t>
  </si>
  <si>
    <t>DATE BC</t>
  </si>
  <si>
    <t>OS ARRET</t>
  </si>
  <si>
    <t>DEBUT DELAI</t>
  </si>
  <si>
    <t>DELAI</t>
  </si>
  <si>
    <t>FIN DELAI</t>
  </si>
  <si>
    <t>180 JOURS</t>
  </si>
  <si>
    <t>PRO</t>
  </si>
  <si>
    <t>EXE</t>
  </si>
  <si>
    <t>CHIFFRAGE A REALISER</t>
  </si>
  <si>
    <t>PRE-PIQUETAGE</t>
  </si>
  <si>
    <t>DEFINITIF</t>
  </si>
  <si>
    <t>CHIFFRAGE</t>
  </si>
  <si>
    <t>DICT</t>
  </si>
  <si>
    <t>PV</t>
  </si>
  <si>
    <t>ARRETE CIRCUL</t>
  </si>
  <si>
    <t>TRAVAUX</t>
  </si>
  <si>
    <t>RECEPTION</t>
  </si>
  <si>
    <t>SOUS TRAITANT</t>
  </si>
  <si>
    <t>FACTURATION</t>
  </si>
  <si>
    <t>COMMENTAIRES</t>
  </si>
  <si>
    <t>AFFAIRES - BC - DELAIS</t>
  </si>
  <si>
    <t>PLANS - CHIFFRAGE - DATES</t>
  </si>
  <si>
    <t>COMMUNE</t>
  </si>
  <si>
    <t>MAITRE D'ŒUVRE</t>
  </si>
  <si>
    <t>CHARGE D'AFFAIRE SYADEN</t>
  </si>
  <si>
    <t>EOTP</t>
  </si>
  <si>
    <t>MONTANT BC HT</t>
  </si>
  <si>
    <t>BC001 -2023T0102MS1</t>
  </si>
  <si>
    <t>TOFFOLI</t>
  </si>
  <si>
    <t>Didier ETIENNE</t>
  </si>
  <si>
    <t>BC003 - 2023T0102MS1</t>
  </si>
  <si>
    <t>30 JOURS</t>
  </si>
  <si>
    <t>60 JOURS</t>
  </si>
  <si>
    <t>BC002-2023T0102MS1</t>
  </si>
  <si>
    <t>Thierry FORGUES</t>
  </si>
  <si>
    <t>David BRIE</t>
  </si>
  <si>
    <t>Alain ARRANS</t>
  </si>
  <si>
    <t>49 JOURS</t>
  </si>
  <si>
    <t>TABLEAU DE SUIVI AFFAIRES EXTENSION 2023T0102MS1 LOT 2</t>
  </si>
  <si>
    <t>MIS A JOUR LE :</t>
  </si>
  <si>
    <t>REUNION :</t>
  </si>
  <si>
    <t>INSERTION :</t>
  </si>
  <si>
    <t>AFFAIRES</t>
  </si>
  <si>
    <t>MONTANT OS TOFFOLI</t>
  </si>
  <si>
    <t>CHIFFRAGE TOFFOLI</t>
  </si>
  <si>
    <t>OS</t>
  </si>
  <si>
    <t>156 616, 38</t>
  </si>
  <si>
    <t>oui</t>
  </si>
  <si>
    <t>rien</t>
  </si>
  <si>
    <t>BC004 - 2023T0102MS0</t>
  </si>
  <si>
    <t xml:space="preserve">10 760, 14 </t>
  </si>
  <si>
    <t>BC010 - 2023T0102MS1 - IPCE</t>
  </si>
  <si>
    <t>BC007- 2023T0102MS1 - ER</t>
  </si>
  <si>
    <t>BC011 - 2023T0102MS1 - IPCE</t>
  </si>
  <si>
    <t>BC008- 2023T0102MS1 - ER</t>
  </si>
  <si>
    <t>BC006 - 2023T0102MS1 - IPCE</t>
  </si>
  <si>
    <t>BC005- 2023T0102MS1 - ER</t>
  </si>
  <si>
    <t>13 343, 61</t>
  </si>
  <si>
    <t>BC012 - 2023T0102MS1 - IPCE</t>
  </si>
  <si>
    <t>BC009- 2023T0102MS1 - ER</t>
  </si>
  <si>
    <t>non</t>
  </si>
  <si>
    <t>BC013 - 2023T0102MS1</t>
  </si>
  <si>
    <t>NON OFFICIEL</t>
  </si>
  <si>
    <t>Fonction</t>
  </si>
  <si>
    <t>Conducteur de travaux</t>
  </si>
  <si>
    <t>aspirant chef de chantier</t>
  </si>
  <si>
    <t>aspirant chef d'équipe</t>
  </si>
  <si>
    <t>pelliste</t>
  </si>
  <si>
    <t>chef d'équipe</t>
  </si>
  <si>
    <t>Nom</t>
  </si>
  <si>
    <t>Prénom</t>
  </si>
  <si>
    <t>SIFFRE</t>
  </si>
  <si>
    <t>SEBASTIEN</t>
  </si>
  <si>
    <t>CABROL</t>
  </si>
  <si>
    <t>NATHAN</t>
  </si>
  <si>
    <t>JONATHAN</t>
  </si>
  <si>
    <t>KEVIN</t>
  </si>
  <si>
    <t>JULIEN</t>
  </si>
  <si>
    <t>ILYAS</t>
  </si>
  <si>
    <t>YOUNES</t>
  </si>
  <si>
    <t>DEZARNAUD</t>
  </si>
  <si>
    <t>KESSIRA</t>
  </si>
  <si>
    <t>MENSIEZ</t>
  </si>
  <si>
    <t>LAHMER</t>
  </si>
  <si>
    <t>ZALLIF</t>
  </si>
  <si>
    <t>EN COURS / ATTENTE / FINI</t>
  </si>
  <si>
    <t>NOM</t>
  </si>
  <si>
    <t>COMMENTAIRE</t>
  </si>
  <si>
    <t>Chantier</t>
  </si>
  <si>
    <t>Mercredi</t>
  </si>
  <si>
    <t>Jeudi</t>
  </si>
  <si>
    <t>Vendredi</t>
  </si>
  <si>
    <t>Samedi</t>
  </si>
  <si>
    <t>Dimanche</t>
  </si>
  <si>
    <t>Lundi</t>
  </si>
  <si>
    <t>Mardi</t>
  </si>
  <si>
    <t>semaine 42</t>
  </si>
  <si>
    <t>semaine 43</t>
  </si>
  <si>
    <t>semaine 44</t>
  </si>
  <si>
    <t>semaine 45</t>
  </si>
  <si>
    <t>semaine 46</t>
  </si>
  <si>
    <t>semaine 47</t>
  </si>
  <si>
    <t>semaine 48</t>
  </si>
  <si>
    <t>semaine 49</t>
  </si>
  <si>
    <t>semaine 50</t>
  </si>
  <si>
    <t>semaine 51</t>
  </si>
  <si>
    <t>semaine 52</t>
  </si>
  <si>
    <t>semaine 53</t>
  </si>
  <si>
    <t>semaine 54</t>
  </si>
  <si>
    <t>semaine 55</t>
  </si>
  <si>
    <t>semaine 56</t>
  </si>
  <si>
    <t>semaine 57</t>
  </si>
  <si>
    <t>semaine 58</t>
  </si>
  <si>
    <t>semaine 59</t>
  </si>
  <si>
    <t>semaine 60</t>
  </si>
  <si>
    <t>CODE</t>
  </si>
  <si>
    <t>TABLEAU DE SUIVI SYADEN PHASE 2 FIBRE</t>
  </si>
  <si>
    <t>MIS A JOUR :</t>
  </si>
  <si>
    <t>07.08.2023</t>
  </si>
  <si>
    <t>4,949-</t>
  </si>
  <si>
    <t>2023.10</t>
  </si>
  <si>
    <t>AFFAIRES - BONS DE COMMANDES</t>
  </si>
  <si>
    <t xml:space="preserve">ETUDES </t>
  </si>
  <si>
    <t>TRAVAUX - QUANTITES</t>
  </si>
  <si>
    <t>AUTORISATIONS</t>
  </si>
  <si>
    <t>SRO</t>
  </si>
  <si>
    <t>COMMUNES</t>
  </si>
  <si>
    <t>DATE DEVIS</t>
  </si>
  <si>
    <t>DATE BC/OS</t>
  </si>
  <si>
    <t>MONTANT HT</t>
  </si>
  <si>
    <t>DATE DE FACTU</t>
  </si>
  <si>
    <t>APD</t>
  </si>
  <si>
    <t>VT</t>
  </si>
  <si>
    <t>DEBUT TX AUTORISE</t>
  </si>
  <si>
    <t>DEBUT TRVX REELS</t>
  </si>
  <si>
    <t>FIN PREVUE</t>
  </si>
  <si>
    <t>FIN  REUNION 07 AOUT</t>
  </si>
  <si>
    <t>FIN TX</t>
  </si>
  <si>
    <t>RECOLLT
PHOTOS</t>
  </si>
  <si>
    <t>TYPE</t>
  </si>
  <si>
    <t>U</t>
  </si>
  <si>
    <t>TRADI</t>
  </si>
  <si>
    <t>TRANCHEUSE</t>
  </si>
  <si>
    <t>DEBUT TX</t>
  </si>
  <si>
    <t>DELAIS</t>
  </si>
  <si>
    <t>11-030-01</t>
  </si>
  <si>
    <t>PUGINIER TREVILLE</t>
  </si>
  <si>
    <t>1 EURO</t>
  </si>
  <si>
    <t>TX en cours GC Poteaux reprise a effectuer suivant erreur BE</t>
  </si>
  <si>
    <t>GC + RIP</t>
  </si>
  <si>
    <t>C010749007</t>
  </si>
  <si>
    <t>fait</t>
  </si>
  <si>
    <t xml:space="preserve">POTEAUX RIPS </t>
  </si>
  <si>
    <t>REMPLCT POTEAUX</t>
  </si>
  <si>
    <t>C010749009</t>
  </si>
  <si>
    <t>POTEAUX REMP</t>
  </si>
  <si>
    <t>Photos COMELEC à remplacer car floues</t>
  </si>
  <si>
    <t>ARMOIRE SRO</t>
  </si>
  <si>
    <t>MANQUE CA ORANGE 31-08-2023</t>
  </si>
  <si>
    <t>4 POT REMPL.</t>
  </si>
  <si>
    <t>11-033-01</t>
  </si>
  <si>
    <t>MEZERVILLE MARQUEIN</t>
  </si>
  <si>
    <t>C010749008</t>
  </si>
  <si>
    <t>GC + POTEAUX RIP</t>
  </si>
  <si>
    <t>54 RIP</t>
  </si>
  <si>
    <t>C010749011</t>
  </si>
  <si>
    <t>21/072023</t>
  </si>
  <si>
    <t>En attente 1  CA ORANGE concerne 102 actions</t>
  </si>
  <si>
    <t>11-030-03</t>
  </si>
  <si>
    <t xml:space="preserve">FIN TX au 01/09 impossible.EXE et chiffrage en cours rendu fin S 30. Anticipation demande AUTOR au Département. </t>
  </si>
  <si>
    <t>GC + RIP + SRO</t>
  </si>
  <si>
    <t>C010749016</t>
  </si>
  <si>
    <t>CAYROL</t>
  </si>
  <si>
    <t>GC CAYROL</t>
  </si>
  <si>
    <t>COMELEC</t>
  </si>
  <si>
    <t>C010749018</t>
  </si>
  <si>
    <t>C010749019</t>
  </si>
  <si>
    <t>ARMOIRE SRO (avec GC CAYROL)</t>
  </si>
  <si>
    <t>11-003-04</t>
  </si>
  <si>
    <t>PLAIGNE (PEYCHARIC LE PY)</t>
  </si>
  <si>
    <t>Pose SRO à venir PB de couleur SRO POTEAUX ST à finaliser</t>
  </si>
  <si>
    <t>GC+ SRO + RIP</t>
  </si>
  <si>
    <t>C010749010</t>
  </si>
  <si>
    <t>S1 SEPTEMBRE</t>
  </si>
  <si>
    <t>C010749025</t>
  </si>
  <si>
    <t>C010749026</t>
  </si>
  <si>
    <t>TOFFOLI ARMOIRE</t>
  </si>
  <si>
    <t>11-003-05</t>
  </si>
  <si>
    <t xml:space="preserve">GC en cours FIN TX S31  POTEAUX a venir manque précision sur ST HYPOLITE </t>
  </si>
  <si>
    <r>
      <t>GC</t>
    </r>
    <r>
      <rPr>
        <strike/>
        <sz val="12"/>
        <color theme="1"/>
        <rFont val="Arial"/>
        <family val="2"/>
      </rPr>
      <t xml:space="preserve"> + </t>
    </r>
    <r>
      <rPr>
        <b/>
        <strike/>
        <sz val="16"/>
        <color rgb="FFFF0000"/>
        <rFont val="Arial"/>
        <family val="2"/>
      </rPr>
      <t>26 RIP</t>
    </r>
  </si>
  <si>
    <t>C010749012</t>
  </si>
  <si>
    <t>41 773 EUROS</t>
  </si>
  <si>
    <t>04/07/2023
toffoli</t>
  </si>
  <si>
    <t>manque grille et aiguillage</t>
  </si>
  <si>
    <t>GC (TOFFOLI)</t>
  </si>
  <si>
    <r>
      <rPr>
        <strike/>
        <sz val="12"/>
        <color theme="1"/>
        <rFont val="Arial"/>
        <family val="2"/>
      </rPr>
      <t>GC +</t>
    </r>
    <r>
      <rPr>
        <sz val="12"/>
        <color theme="1"/>
        <rFont val="Arial"/>
        <family val="2"/>
      </rPr>
      <t xml:space="preserve"> </t>
    </r>
    <r>
      <rPr>
        <b/>
        <sz val="16"/>
        <color rgb="FFFF0000"/>
        <rFont val="Arial"/>
        <family val="2"/>
      </rPr>
      <t>26 RIP</t>
    </r>
  </si>
  <si>
    <t>40 RPLTS</t>
  </si>
  <si>
    <t>C010749027</t>
  </si>
  <si>
    <t>C010749028</t>
  </si>
  <si>
    <t>C0107490</t>
  </si>
  <si>
    <t>11-033-04</t>
  </si>
  <si>
    <t>Réception.EXE FIN S30</t>
  </si>
  <si>
    <t>C010749014</t>
  </si>
  <si>
    <t>PAS DE REMPLCT</t>
  </si>
  <si>
    <t xml:space="preserve">CA déposées 3/7 VALIDEES </t>
  </si>
  <si>
    <t>11-044</t>
  </si>
  <si>
    <t>GAJA LA SELVE (NRO)</t>
  </si>
  <si>
    <t>Implantation validée APD FIN S31 par BE</t>
  </si>
  <si>
    <t>C01749020</t>
  </si>
  <si>
    <t>C01749021</t>
  </si>
  <si>
    <t>11-030-02</t>
  </si>
  <si>
    <t>LABECEDE</t>
  </si>
  <si>
    <t xml:space="preserve">FIN TX au 01/09 impossible Réception.EXE S31 .                                                   Anticipation demande AUTOR au Département. </t>
  </si>
  <si>
    <t>C010749015</t>
  </si>
  <si>
    <t>CAYROL TP</t>
  </si>
  <si>
    <t>PAS DE POTEAUX</t>
  </si>
  <si>
    <t>11-023-01</t>
  </si>
  <si>
    <t>BARAIGNE</t>
  </si>
  <si>
    <t>CA non validées déposées S29</t>
  </si>
  <si>
    <t>C010749013</t>
  </si>
  <si>
    <t>S.38</t>
  </si>
  <si>
    <t>Fin TX Armoire SRO S 30</t>
  </si>
  <si>
    <t>C010749022</t>
  </si>
  <si>
    <t>C010749023</t>
  </si>
  <si>
    <t>C010749024</t>
  </si>
  <si>
    <t>PAS DE SRO</t>
  </si>
  <si>
    <t>11-033-02</t>
  </si>
  <si>
    <t>LA LOUVIERE</t>
  </si>
  <si>
    <t>CA 5/6 validées</t>
  </si>
  <si>
    <t>C010749029</t>
  </si>
  <si>
    <t>C010749030</t>
  </si>
  <si>
    <t>TABLEAU DE SUIVI AFFAIRES 2023T0101 LOT 1</t>
  </si>
  <si>
    <t xml:space="preserve">OS : </t>
  </si>
  <si>
    <t>DELAIS :</t>
  </si>
  <si>
    <t>8 MOIS</t>
  </si>
  <si>
    <t>FIN :</t>
  </si>
  <si>
    <t>REUNION DE LANCEMENT LE :</t>
  </si>
  <si>
    <t>REUNION MENSUELLE :</t>
  </si>
  <si>
    <t>ETUDES - TRAVAUX</t>
  </si>
  <si>
    <t>AUTORISATIONS - TRAVAUX</t>
  </si>
  <si>
    <t>ETUDES / TRAVAUX</t>
  </si>
  <si>
    <t>DEBUT PROJET</t>
  </si>
  <si>
    <t>22CAMN062</t>
  </si>
  <si>
    <t>AUDETEL</t>
  </si>
  <si>
    <t>EXE/Travaux</t>
  </si>
  <si>
    <t>du 09/10/23 au 15/12/23</t>
  </si>
  <si>
    <t>21LGPM006</t>
  </si>
  <si>
    <t>VILLESPY</t>
  </si>
  <si>
    <t>20LGPM039</t>
  </si>
  <si>
    <t>dt</t>
  </si>
  <si>
    <t>21LXPC022</t>
  </si>
  <si>
    <r>
      <rPr>
        <b/>
        <sz val="11"/>
        <color theme="1"/>
        <rFont val="Calibri"/>
        <family val="2"/>
        <scheme val="minor"/>
      </rPr>
      <t>PRO/EXE</t>
    </r>
    <r>
      <rPr>
        <sz val="11"/>
        <color theme="1"/>
        <rFont val="Calibri"/>
        <family val="2"/>
        <scheme val="minor"/>
      </rPr>
      <t>/Travaux</t>
    </r>
  </si>
  <si>
    <t>19CAMN073</t>
  </si>
  <si>
    <t>22LGPM016</t>
  </si>
  <si>
    <t xml:space="preserve">Fourniture d'un PSSB                                                        EN ATTENTE AFERMISSAGE DE LA TRANCHE </t>
  </si>
  <si>
    <t>Planning MS3L1</t>
  </si>
  <si>
    <t>juin</t>
  </si>
  <si>
    <t>juillet</t>
  </si>
  <si>
    <t>août</t>
  </si>
  <si>
    <t>septembre</t>
  </si>
  <si>
    <t>octobre</t>
  </si>
  <si>
    <t>novembre</t>
  </si>
  <si>
    <t>décembre</t>
  </si>
  <si>
    <t>janvier</t>
  </si>
  <si>
    <t>février</t>
  </si>
  <si>
    <t>mars</t>
  </si>
  <si>
    <t>avril</t>
  </si>
  <si>
    <t>mai</t>
  </si>
  <si>
    <t>Priorité</t>
  </si>
  <si>
    <t>N° Affaire</t>
  </si>
  <si>
    <t>Commune</t>
  </si>
  <si>
    <t>Intitulé affaire</t>
  </si>
  <si>
    <t>Prestation</t>
  </si>
  <si>
    <t>Tranche</t>
  </si>
  <si>
    <t>IPCE</t>
  </si>
  <si>
    <t>Coordination EP  (GC + cablâge)</t>
  </si>
  <si>
    <t>Coordination EP avec matériel (MOA SYADEN)</t>
  </si>
  <si>
    <t>Coordination EP avec matériel (MOA collectivité)</t>
  </si>
  <si>
    <t>Coordination (s) tiers</t>
  </si>
  <si>
    <t>Observations
SYADEN</t>
  </si>
  <si>
    <t>Commentaires du candidat</t>
  </si>
  <si>
    <t>S51</t>
  </si>
  <si>
    <t>S52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</si>
  <si>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</si>
  <si>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</si>
  <si>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</si>
  <si>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</si>
  <si>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</si>
  <si>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</si>
  <si>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</si>
  <si>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</si>
  <si>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</si>
  <si>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</si>
  <si>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</si>
  <si>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</si>
  <si>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</si>
  <si>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</si>
  <si>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</si>
  <si>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</si>
  <si>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</si>
  <si>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</si>
  <si>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</si>
  <si>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</si>
  <si>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</si>
  <si>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</si>
  <si>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</si>
  <si>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S53</t>
  </si>
  <si>
    <t>PEYRIAC-MINERVOIS</t>
  </si>
  <si>
    <t>Effacement BT [Fils nus] rue des Ecoles sur poste CCOP</t>
  </si>
  <si>
    <t>Travaux</t>
  </si>
  <si>
    <t>Ferme</t>
  </si>
  <si>
    <t>A</t>
  </si>
  <si>
    <t>oui
22CAMN063</t>
  </si>
  <si>
    <t>rénovation voirie</t>
  </si>
  <si>
    <t>RAS</t>
  </si>
  <si>
    <t>Renforcement BT centre Village sur postes LAURABUC et NORD</t>
  </si>
  <si>
    <t>Manque 4 conventions (1 RAS + 3 coffrets)</t>
  </si>
  <si>
    <t>Renforcement BT (AU REFLE) chemin de la Garenne par création poste LA GARENNE</t>
  </si>
  <si>
    <t>EXE / Travaux</t>
  </si>
  <si>
    <t>Sans coordination</t>
  </si>
  <si>
    <t>Effacement BT rue des Batignes sur poste SALVIS</t>
  </si>
  <si>
    <t>oui
17CAMN120</t>
  </si>
  <si>
    <t>Manque 1 convention</t>
  </si>
  <si>
    <t>Renforcement BT (CU TALLET) lieu dit Le Moulin sur poste LES PERIES 1</t>
  </si>
  <si>
    <t>Renforcment BT (racc BONNET) Moulin à Vent sur poste ST LAURENT</t>
  </si>
  <si>
    <t>Optionnelle</t>
  </si>
  <si>
    <t>- ERAS HTA - D1 : Trancheuse sous RD
- D1 à D2 : Trancheuse en terrain vierge</t>
  </si>
  <si>
    <t>S43 &amp; 44 peyriach faire rue école</t>
  </si>
  <si>
    <t>en cours</t>
  </si>
  <si>
    <t>production DATE DEBUT</t>
  </si>
  <si>
    <t>production DATE FIN</t>
  </si>
  <si>
    <t>LOT</t>
  </si>
  <si>
    <t>Extension BT ALOGEA Avenue des Chanoines sur Poste LA CLAMOUX</t>
  </si>
  <si>
    <t>TOUSSAINT</t>
  </si>
  <si>
    <t>ARMISTICE</t>
  </si>
  <si>
    <t>DEBUT BC</t>
  </si>
  <si>
    <t>DUREE</t>
  </si>
  <si>
    <t>FIN BC</t>
  </si>
  <si>
    <t>début</t>
  </si>
  <si>
    <t>durée</t>
  </si>
  <si>
    <t>fin</t>
  </si>
  <si>
    <t xml:space="preserve">                          </t>
  </si>
  <si>
    <t>début VANCES SCOLAIRE début rue devant l'école</t>
  </si>
  <si>
    <t xml:space="preserve">                                              </t>
  </si>
  <si>
    <t>CR 4 
Rue école presque fini</t>
  </si>
  <si>
    <t>date de mise en service le 15 décembre</t>
  </si>
  <si>
    <t>38 643, 26</t>
  </si>
  <si>
    <t>en prépa</t>
  </si>
  <si>
    <t>prévision</t>
  </si>
  <si>
    <t>Extension BT M. HUMBEL</t>
  </si>
  <si>
    <t>VILLEGAILHENC</t>
  </si>
  <si>
    <t>Extension BT M.GONZALEZ</t>
  </si>
  <si>
    <t>Alimentation BT NRO THD RD56</t>
  </si>
  <si>
    <t>EXTENSION BT TEREGA</t>
  </si>
  <si>
    <t>EXTENSION BT SCI OLLIJE</t>
  </si>
  <si>
    <t>EXTENSION BT BRONNER</t>
  </si>
  <si>
    <t>EXTENSION BT ANDRIEU</t>
  </si>
  <si>
    <t>EXTENSION BT EARL FRAISSE</t>
  </si>
  <si>
    <t>PAYRA / HERS</t>
  </si>
  <si>
    <t>EXTENSION BT SCI LA ROUMIBE</t>
  </si>
  <si>
    <t>EXTENSION BT M. PISTILLO</t>
  </si>
  <si>
    <t>TRAUSSE</t>
  </si>
  <si>
    <t>EXTENSION BT ALOGEA</t>
  </si>
  <si>
    <t>VILLENEUVE Mvois</t>
  </si>
  <si>
    <t>EXTENSION BT M. GINIES</t>
  </si>
  <si>
    <t>Alimentation BT Antenne FREE</t>
  </si>
  <si>
    <t>EXTENSION BT BELONDRADE</t>
  </si>
  <si>
    <t>terminé</t>
  </si>
  <si>
    <t>EXTENSION BT ANTENNE AXIONE</t>
  </si>
  <si>
    <t>Equipe</t>
  </si>
  <si>
    <t>Extension HTA AXIONE</t>
  </si>
  <si>
    <t>DECEMBRE</t>
  </si>
  <si>
    <t>NOVEMBRE</t>
  </si>
  <si>
    <t>OCTOBRE</t>
  </si>
  <si>
    <t>SEPTEMBRE</t>
  </si>
  <si>
    <t>AOUT</t>
  </si>
  <si>
    <t>JUILLET</t>
  </si>
  <si>
    <t>Observation</t>
  </si>
  <si>
    <t>Situation</t>
  </si>
  <si>
    <t>Pré-piquetage</t>
  </si>
  <si>
    <t>Intitulé</t>
  </si>
  <si>
    <t>N°</t>
  </si>
  <si>
    <t>SOBECA CARCASSONNE</t>
  </si>
  <si>
    <t>Chauffeur PL</t>
  </si>
  <si>
    <t>SCHMIDT</t>
  </si>
  <si>
    <t>CHRISTOPHER</t>
  </si>
  <si>
    <t>SOUS-TRAITANT</t>
  </si>
  <si>
    <t>CAYROLL</t>
  </si>
  <si>
    <t>NB équipe</t>
  </si>
  <si>
    <t>LAURAC LE GRAND M. DUFLOT</t>
  </si>
  <si>
    <t>livraison matériel (apèsés-midi)</t>
  </si>
  <si>
    <t>FIN OFFICIEL</t>
  </si>
  <si>
    <t>MISE EN SERVICE</t>
  </si>
  <si>
    <t>MARGE POTENTIEL</t>
  </si>
  <si>
    <t>N° BC</t>
  </si>
  <si>
    <t>Type de contrat</t>
  </si>
  <si>
    <t>CDI</t>
  </si>
  <si>
    <t>INTERIM</t>
  </si>
  <si>
    <t>BC020 - 2023T0102MS1 - ER</t>
  </si>
  <si>
    <t>BC021 - 2023T0102MS1 - ER</t>
  </si>
  <si>
    <t>BDC</t>
  </si>
  <si>
    <t>PCT 2023 _ TRAUSSE MINERVOIS _ 23CAMN042</t>
  </si>
  <si>
    <t>N° ENEDIS</t>
  </si>
  <si>
    <t>DB25/055390</t>
  </si>
  <si>
    <t>CONTACT</t>
  </si>
  <si>
    <t>PCT 2023 _ LAURAC LE GRAND _ 23LGPM026</t>
  </si>
  <si>
    <t>PCT 2023 _ PLAVILLA _ 23LGPM023</t>
  </si>
  <si>
    <t>PCT_2023_ARGELIERS_23GNLT017</t>
  </si>
  <si>
    <t>DB25/056492</t>
  </si>
  <si>
    <t>C011710004</t>
  </si>
  <si>
    <t>PG-20230615-1</t>
  </si>
  <si>
    <t>référence contrat</t>
  </si>
  <si>
    <t>23_HVPA_017</t>
  </si>
  <si>
    <t>23_LXPC_025</t>
  </si>
  <si>
    <t>23_HVPA_005</t>
  </si>
  <si>
    <t>DB25/054856</t>
  </si>
  <si>
    <t>C011710027</t>
  </si>
  <si>
    <t>RIP EXT_PCY 2023_MONTAZELS_23LXPC020</t>
  </si>
  <si>
    <t>RIP EXT_PCT 2023_MONTAZELS_23LXPC026</t>
  </si>
  <si>
    <t>C011710022</t>
  </si>
  <si>
    <t>PCT 2023_MONTAZELS_23LXPC026</t>
  </si>
  <si>
    <t>DB25/055481</t>
  </si>
  <si>
    <t>PCT 2023_MONTAZELS_23LXPC020</t>
  </si>
  <si>
    <t>DB25/055272</t>
  </si>
  <si>
    <t>C011710023</t>
  </si>
  <si>
    <t>23_HVPA_019</t>
  </si>
  <si>
    <t>C011710003</t>
  </si>
  <si>
    <t>C011710001</t>
  </si>
  <si>
    <t>C011710016</t>
  </si>
  <si>
    <t>C011710017</t>
  </si>
  <si>
    <t>RIP EXT_PCT 2023_TRAUSSE MINERVOIS_23CAMN042</t>
  </si>
  <si>
    <t>DB25/054620</t>
  </si>
  <si>
    <t>C011710005</t>
  </si>
  <si>
    <t>PCT 2023_PECH LUNA_23LGPM014</t>
  </si>
  <si>
    <t>DB25/054698</t>
  </si>
  <si>
    <t>C011710019</t>
  </si>
  <si>
    <t>C011710018</t>
  </si>
  <si>
    <t>C011710027 - C011710023</t>
  </si>
  <si>
    <t>C011710019 - C011710018</t>
  </si>
  <si>
    <t>C011710017 - C011710018</t>
  </si>
  <si>
    <t>23-CAMN-004</t>
  </si>
  <si>
    <t>CAZILHAC</t>
  </si>
  <si>
    <t>Extension BT M. BELTRAND</t>
  </si>
  <si>
    <t>22-LGPM-037</t>
  </si>
  <si>
    <t>PEXIORA</t>
  </si>
  <si>
    <t>Extension HTA Antenne ORANGE</t>
  </si>
  <si>
    <t>F</t>
  </si>
  <si>
    <t>Extension BT M. JUNOD</t>
  </si>
  <si>
    <t>E</t>
  </si>
  <si>
    <t>22-CAMN-071</t>
  </si>
  <si>
    <t>BROUSSES &amp; VILLARET</t>
  </si>
  <si>
    <t>Extension HTA M. ISTACE</t>
  </si>
  <si>
    <t>R</t>
  </si>
  <si>
    <t>22-CAMN-072</t>
  </si>
  <si>
    <t>Extension Antenne TDF</t>
  </si>
  <si>
    <t>22-CAMN-046</t>
  </si>
  <si>
    <t>St DENIS</t>
  </si>
  <si>
    <t>EXTENSION BT ANTENNE FREE</t>
  </si>
  <si>
    <t>réunion Prog</t>
  </si>
  <si>
    <t>22-LGPM-045</t>
  </si>
  <si>
    <t>LASBORDES</t>
  </si>
  <si>
    <t>Extension BT M. EMERY</t>
  </si>
  <si>
    <t>22-LXPC-025</t>
  </si>
  <si>
    <t>Extension BT RUBIS INVEST</t>
  </si>
  <si>
    <t>CAMP/L'AGLY</t>
  </si>
  <si>
    <t>Extension BT Antenne BOUYGUES</t>
  </si>
  <si>
    <t>21-CAMN-095</t>
  </si>
  <si>
    <t>EXTENSION BT ANTENNE ORANGE</t>
  </si>
  <si>
    <t>23-CAMN-020</t>
  </si>
  <si>
    <t>MONTOLIEU</t>
  </si>
  <si>
    <t>Extension GFA du TRABET</t>
  </si>
  <si>
    <t>poste S43</t>
  </si>
  <si>
    <t>23-CAMN-019</t>
  </si>
  <si>
    <t>St MARTIN LE VIEL</t>
  </si>
  <si>
    <t>EXTENSION BT ANTENNE HIVORY</t>
  </si>
  <si>
    <t>poste S51</t>
  </si>
  <si>
    <t>23-CAMN-003</t>
  </si>
  <si>
    <t>Extension BT Mme OLIVIER</t>
  </si>
  <si>
    <t>22-HVPA-022</t>
  </si>
  <si>
    <t>Extension BT Bassin d'eau</t>
  </si>
  <si>
    <t>ATST 17/12</t>
  </si>
  <si>
    <t>ARRETE</t>
  </si>
  <si>
    <t>METEO</t>
  </si>
  <si>
    <t>ATST 17/11</t>
  </si>
  <si>
    <t>23-CAMN-080</t>
  </si>
  <si>
    <t>COMIGNE</t>
  </si>
  <si>
    <t>LAURAC</t>
  </si>
  <si>
    <t>EXTENSION BT DUFLOT</t>
  </si>
  <si>
    <t>23-CAMN-079</t>
  </si>
  <si>
    <t>LEUC</t>
  </si>
  <si>
    <t>23-HVPA-030</t>
  </si>
  <si>
    <t>St MARTIN LYS</t>
  </si>
  <si>
    <t>BC18-2023T0102MS1-ER</t>
  </si>
  <si>
    <t>PCT 2023 _ CARLIPA _ 23LGPM019</t>
  </si>
  <si>
    <t>RIP EXT _ PCT 2023 _ CARLIPA _ 23LGPM019</t>
  </si>
  <si>
    <t>BC22-2023T0102MS1-PCE</t>
  </si>
  <si>
    <t>NON</t>
  </si>
  <si>
    <t>BC19-2023T0102MS1-ER</t>
  </si>
  <si>
    <t>PCT 2023 _ VILLENEUVE MINERVOIS _ 23CAMN041</t>
  </si>
  <si>
    <t>BC23-2023T0102MS1-IPCE</t>
  </si>
  <si>
    <t>RIP EXT _ PCT 2023 _ VILLENEUVE MINERVOIS _ 23CAMN041</t>
  </si>
  <si>
    <t>BC24-2023T0102MS1-IPCE</t>
  </si>
  <si>
    <t>RIP EXT _ PCT 2023 _ LAURAC LE GRAND _ 23LGPM026</t>
  </si>
  <si>
    <t>23-LXPC-041</t>
  </si>
  <si>
    <t>LUC SUR AUDE</t>
  </si>
  <si>
    <t>DIDIER ETIENNE</t>
  </si>
  <si>
    <t>référence marché</t>
  </si>
  <si>
    <t>C011832004</t>
  </si>
  <si>
    <t>ACOMPTE 40 % 09/11/2023</t>
  </si>
  <si>
    <t>DGD 09/11/2023</t>
  </si>
  <si>
    <t>ACOMPTE 80 % 09/11/2023</t>
  </si>
  <si>
    <t xml:space="preserve">ACOMPTE 40 % 09/11/2023 
Fourniture d'un PSSB   
EN ATTENTE AFERMISSAGE DE LA TRANCHE </t>
  </si>
  <si>
    <t>C011710028</t>
  </si>
  <si>
    <t>MILIEU RUE QUI DESCEND - NIVEAU REMBT</t>
  </si>
  <si>
    <t>OUVERTURE TRAVERSEE</t>
  </si>
  <si>
    <t>FIN TRAVERSEES</t>
  </si>
  <si>
    <t>DEBUT RUE QUI DESCEND</t>
  </si>
  <si>
    <t>CR 5
FIN VACANCE SCOLAIRE</t>
  </si>
  <si>
    <t>CR3
Rue Marcelin Abert FAIT
DE Rue des graves à rue albert teisseire fait</t>
  </si>
  <si>
    <t>RIP EXT _ PCT 2023 _ VILLEGAILHENC _ 23CAMN064</t>
  </si>
  <si>
    <t>BC015 - 2023T0102MS1 - IPCE</t>
  </si>
  <si>
    <t>BC016-2023T0102MS1 -ER</t>
  </si>
  <si>
    <t>Accréditation</t>
  </si>
  <si>
    <t>AIPR + h0b0</t>
  </si>
  <si>
    <t>ROUASS NAYA</t>
  </si>
  <si>
    <t>MUSTAFA</t>
  </si>
  <si>
    <t>INTERIM --&gt; insertion</t>
  </si>
  <si>
    <t>manœuvre</t>
  </si>
  <si>
    <t>rue qui descend faite sauf maçonnerie + ouverture rue des écoles + début 2eme rue qui descend</t>
  </si>
  <si>
    <t>OS REPRISE</t>
  </si>
  <si>
    <t>11/07/2023
06/11/23</t>
  </si>
  <si>
    <t>FACE EXT 2022 _ GREFFEIL _ 23LXPC031</t>
  </si>
  <si>
    <t>BC14-2023T0102MS1-ER</t>
  </si>
  <si>
    <t>BC17-2023T0102MS1-IPCE</t>
  </si>
  <si>
    <t>DB25/057952</t>
  </si>
  <si>
    <t>45 JOURS</t>
  </si>
  <si>
    <t>RIP EXT _ FACE EXT 2022 _ GREFFEIL _ 23LXPC031</t>
  </si>
  <si>
    <t xml:space="preserve">PCT 2023 _ VILLEGAILHENC _ 23CAMN064 </t>
  </si>
  <si>
    <t>60  JOURS</t>
  </si>
  <si>
    <t>16 278, 76</t>
  </si>
  <si>
    <t>DB25/057359</t>
  </si>
  <si>
    <t>C011710006</t>
  </si>
  <si>
    <t>OUI</t>
  </si>
  <si>
    <t>C011710007</t>
  </si>
  <si>
    <t>DB25/051244</t>
  </si>
  <si>
    <t>C011710008</t>
  </si>
  <si>
    <t>C011710014</t>
  </si>
  <si>
    <t xml:space="preserve">CO1170020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</si>
</sst>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* #,##0.00\ &quot;€&quot;_-;\-* #,##0.00\ &quot;€&quot;_-;_-* &quot;-&quot;??\ &quot;€&quot;_-;_-@_-"/>
    <numFmt numFmtId="164" formatCode="#,##0.00\ &quot;€&quot;"/>
    <numFmt numFmtId="165" formatCode="#,##0.00\ [$€-40C];\-#,##0.00\ [$€-40C]"/>
    <numFmt numFmtId="166" formatCode="_-* #,##0.00\ [$€-40C]_-;\-* #,##0.00\ [$€-40C]_-;_-* &quot;-&quot;??\ [$€-40C]_-;_-@_-"/>
    <numFmt numFmtId="167" formatCode="[$-40C]d\-mmm\-yyyy;@"/>
    <numFmt numFmtId="168" formatCode="#,##0\ &quot;€&quot;"/>
    <numFmt numFmtId="169" formatCode="d/m;@"/>
  </numFmts>
  <fonts count="3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Arial"/>
      <family val="2"/>
    </font>
    <font>
      <b/>
      <sz val="12"/>
      <color rgb="FFFF0000"/>
      <name val="Arial"/>
      <family val="2"/>
    </font>
    <font>
      <b/>
      <sz val="16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Arial"/>
      <family val="2"/>
    </font>
    <font>
      <sz val="11"/>
      <color theme="1"/>
      <name val="Arial"/>
      <family val="2"/>
    </font>
    <font>
      <sz val="12"/>
      <name val="Arial"/>
      <family val="2"/>
    </font>
    <font>
      <b/>
      <sz val="12"/>
      <color rgb="FF00B050"/>
      <name val="Arial"/>
      <family val="2"/>
    </font>
    <font>
      <b/>
      <sz val="16"/>
      <color rgb="FFFF0000"/>
      <name val="Arial"/>
      <family val="2"/>
    </font>
    <font>
      <sz val="8"/>
      <color theme="1"/>
      <name val="Arial"/>
      <family val="2"/>
    </font>
    <font>
      <strike/>
      <sz val="12"/>
      <color theme="1"/>
      <name val="Arial"/>
      <family val="2"/>
    </font>
    <font>
      <b/>
      <strike/>
      <sz val="16"/>
      <color rgb="FFFF0000"/>
      <name val="Arial"/>
      <family val="2"/>
    </font>
    <font>
      <sz val="10"/>
      <color theme="1"/>
      <name val="Arial"/>
      <family val="2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name val="Arial"/>
      <family val="2"/>
    </font>
    <font>
      <sz val="8"/>
      <color theme="1"/>
      <name val="Calibri"/>
      <family val="2"/>
      <scheme val="minor"/>
    </font>
    <font>
      <sz val="9"/>
      <name val="Arial"/>
      <family val="2"/>
    </font>
    <font>
      <sz val="8"/>
      <name val="Arial"/>
      <family val="2"/>
    </font>
    <font>
      <sz val="12"/>
      <color rgb="FF00B05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FF0000"/>
      <name val="Arial"/>
      <family val="2"/>
    </font>
    <font>
      <b/>
      <sz val="11"/>
      <color rgb="FFFF0000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2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ck">
        <color rgb="FF0070C0"/>
      </bottom>
      <diagonal/>
    </border>
    <border>
      <left/>
      <right/>
      <top style="medium">
        <color indexed="64"/>
      </top>
      <bottom/>
      <diagonal/>
    </border>
    <border>
      <left style="medium">
        <color auto="1"/>
      </left>
      <right style="thick">
        <color rgb="FF0070C0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ck">
        <color rgb="FF0070C0"/>
      </right>
      <top style="thin">
        <color auto="1"/>
      </top>
      <bottom style="thin">
        <color auto="1"/>
      </bottom>
      <diagonal/>
    </border>
    <border>
      <left/>
      <right style="thick">
        <color rgb="FFFF0000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ck">
        <color rgb="FFFF0000"/>
      </right>
      <top/>
      <bottom style="medium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ck">
        <color rgb="FF0070C0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thick">
        <color rgb="FFFF0000"/>
      </top>
      <bottom style="thick">
        <color rgb="FFFF0000"/>
      </bottom>
      <diagonal/>
    </border>
    <border>
      <left/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ck">
        <color rgb="FFFF0000"/>
      </right>
      <top/>
      <bottom style="thin">
        <color auto="1"/>
      </bottom>
      <diagonal/>
    </border>
    <border>
      <left style="medium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ck">
        <color rgb="FF0070C0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ck">
        <color rgb="FFFF0000"/>
      </right>
      <top style="thin">
        <color auto="1"/>
      </top>
      <bottom/>
      <diagonal/>
    </border>
    <border>
      <left style="thick">
        <color rgb="FFFF0000"/>
      </left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ck">
        <color rgb="FF0070C0"/>
      </right>
      <top style="thin">
        <color auto="1"/>
      </top>
      <bottom style="thick">
        <color rgb="FF0070C0"/>
      </bottom>
      <diagonal/>
    </border>
    <border>
      <left style="thick">
        <color rgb="FF0070C0"/>
      </left>
      <right/>
      <top style="thin">
        <color indexed="64"/>
      </top>
      <bottom/>
      <diagonal/>
    </border>
    <border>
      <left/>
      <right style="thick">
        <color rgb="FFFF0000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ck">
        <color rgb="FFFF0000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ck">
        <color rgb="FFFF0000"/>
      </bottom>
      <diagonal/>
    </border>
    <border>
      <left style="medium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ck">
        <color rgb="FF0070C0"/>
      </left>
      <right/>
      <top style="thick">
        <color rgb="FF0070C0"/>
      </top>
      <bottom/>
      <diagonal/>
    </border>
    <border>
      <left/>
      <right/>
      <top style="thick">
        <color rgb="FF0070C0"/>
      </top>
      <bottom/>
      <diagonal/>
    </border>
    <border>
      <left/>
      <right style="thick">
        <color rgb="FF0070C0"/>
      </right>
      <top style="thick">
        <color rgb="FF0070C0"/>
      </top>
      <bottom/>
      <diagonal/>
    </border>
    <border>
      <left style="thick">
        <color rgb="FF0070C0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ck">
        <color rgb="FF0070C0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ck">
        <color rgb="FF0070C0"/>
      </left>
      <right style="medium">
        <color auto="1"/>
      </right>
      <top style="thin">
        <color auto="1"/>
      </top>
      <bottom/>
      <diagonal/>
    </border>
    <border>
      <left style="thick">
        <color rgb="FFFF0000"/>
      </left>
      <right style="medium">
        <color auto="1"/>
      </right>
      <top style="thin">
        <color auto="1"/>
      </top>
      <bottom/>
      <diagonal/>
    </border>
    <border>
      <left style="thick">
        <color rgb="FF0070C0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ck">
        <color rgb="FF0070C0"/>
      </right>
      <top/>
      <bottom style="thin">
        <color auto="1"/>
      </bottom>
      <diagonal/>
    </border>
    <border>
      <left style="thick">
        <color rgb="FFFF0000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rgb="FF0070C0"/>
      </left>
      <right/>
      <top style="thick">
        <color rgb="FF0070C0"/>
      </top>
      <bottom style="thick">
        <color rgb="FF0070C0"/>
      </bottom>
      <diagonal/>
    </border>
    <border>
      <left/>
      <right/>
      <top style="thick">
        <color rgb="FF0070C0"/>
      </top>
      <bottom style="thick">
        <color rgb="FF0070C0"/>
      </bottom>
      <diagonal/>
    </border>
    <border>
      <left/>
      <right style="thick">
        <color rgb="FF0070C0"/>
      </right>
      <top style="thick">
        <color rgb="FF0070C0"/>
      </top>
      <bottom style="thick">
        <color rgb="FF0070C0"/>
      </bottom>
      <diagonal/>
    </border>
    <border>
      <left style="thick">
        <color rgb="FFFFC000"/>
      </left>
      <right/>
      <top style="thick">
        <color rgb="FFFFC000"/>
      </top>
      <bottom style="thick">
        <color rgb="FFFFC000"/>
      </bottom>
      <diagonal/>
    </border>
    <border>
      <left/>
      <right/>
      <top style="thick">
        <color rgb="FFFFC000"/>
      </top>
      <bottom style="thick">
        <color rgb="FFFFC000"/>
      </bottom>
      <diagonal/>
    </border>
    <border>
      <left/>
      <right style="thick">
        <color rgb="FFFFC000"/>
      </right>
      <top style="thick">
        <color rgb="FFFFC000"/>
      </top>
      <bottom style="thick">
        <color rgb="FFFFC000"/>
      </bottom>
      <diagonal/>
    </border>
    <border>
      <left style="thick">
        <color rgb="FFFFC000"/>
      </left>
      <right/>
      <top/>
      <bottom/>
      <diagonal/>
    </border>
    <border>
      <left style="thick">
        <color rgb="FF7030A0"/>
      </left>
      <right style="medium">
        <color auto="1"/>
      </right>
      <top style="thick">
        <color rgb="FF7030A0"/>
      </top>
      <bottom style="thick">
        <color rgb="FF7030A0"/>
      </bottom>
      <diagonal/>
    </border>
    <border>
      <left style="medium">
        <color auto="1"/>
      </left>
      <right style="medium">
        <color auto="1"/>
      </right>
      <top style="thick">
        <color rgb="FF7030A0"/>
      </top>
      <bottom style="thick">
        <color rgb="FF7030A0"/>
      </bottom>
      <diagonal/>
    </border>
    <border>
      <left style="medium">
        <color auto="1"/>
      </left>
      <right style="thick">
        <color rgb="FF7030A0"/>
      </right>
      <top style="thick">
        <color rgb="FF7030A0"/>
      </top>
      <bottom style="thick">
        <color rgb="FF7030A0"/>
      </bottom>
      <diagonal/>
    </border>
    <border>
      <left style="thick">
        <color rgb="FFFF0000"/>
      </left>
      <right style="thin">
        <color auto="1"/>
      </right>
      <top style="thick">
        <color rgb="FFFF0000"/>
      </top>
      <bottom style="thick">
        <color rgb="FFFF0000"/>
      </bottom>
      <diagonal/>
    </border>
    <border>
      <left style="thin">
        <color auto="1"/>
      </left>
      <right style="thin">
        <color auto="1"/>
      </right>
      <top style="thick">
        <color rgb="FFFF0000"/>
      </top>
      <bottom style="thick">
        <color rgb="FFFF0000"/>
      </bottom>
      <diagonal/>
    </border>
    <border>
      <left style="thin">
        <color auto="1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thick">
        <color rgb="FF0070C0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ck">
        <color rgb="FF0070C0"/>
      </right>
      <top/>
      <bottom style="medium">
        <color auto="1"/>
      </bottom>
      <diagonal/>
    </border>
    <border>
      <left style="thick">
        <color rgb="FFFFC000"/>
      </left>
      <right style="medium">
        <color auto="1"/>
      </right>
      <top style="thick">
        <color rgb="FFFFC000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ck">
        <color rgb="FFFFC000"/>
      </top>
      <bottom style="thin">
        <color auto="1"/>
      </bottom>
      <diagonal/>
    </border>
    <border>
      <left style="medium">
        <color auto="1"/>
      </left>
      <right/>
      <top style="thick">
        <color rgb="FFFFC000"/>
      </top>
      <bottom style="thin">
        <color auto="1"/>
      </bottom>
      <diagonal/>
    </border>
    <border>
      <left style="thin">
        <color indexed="64"/>
      </left>
      <right style="thick">
        <color rgb="FFFFC000"/>
      </right>
      <top style="thick">
        <color rgb="FFFFC000"/>
      </top>
      <bottom style="thin">
        <color auto="1"/>
      </bottom>
      <diagonal/>
    </border>
    <border>
      <left style="thick">
        <color rgb="FF7030A0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ck">
        <color rgb="FF7030A0"/>
      </right>
      <top/>
      <bottom style="thin">
        <color auto="1"/>
      </bottom>
      <diagonal/>
    </border>
    <border>
      <left style="thick">
        <color rgb="FF0070C0"/>
      </left>
      <right/>
      <top/>
      <bottom style="medium">
        <color indexed="64"/>
      </bottom>
      <diagonal/>
    </border>
    <border>
      <left style="thick">
        <color rgb="FFFF0000"/>
      </left>
      <right style="medium">
        <color auto="1"/>
      </right>
      <top style="medium">
        <color auto="1"/>
      </top>
      <bottom/>
      <diagonal/>
    </border>
    <border>
      <left style="thick">
        <color rgb="FFFFC000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64"/>
      </left>
      <right style="thick">
        <color rgb="FFFFC000"/>
      </right>
      <top style="thin">
        <color auto="1"/>
      </top>
      <bottom/>
      <diagonal/>
    </border>
    <border>
      <left style="thick">
        <color rgb="FF7030A0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ck">
        <color rgb="FF7030A0"/>
      </right>
      <top style="thin">
        <color auto="1"/>
      </top>
      <bottom/>
      <diagonal/>
    </border>
    <border>
      <left style="medium">
        <color auto="1"/>
      </left>
      <right style="thick">
        <color rgb="FF0070C0"/>
      </right>
      <top style="medium">
        <color indexed="64"/>
      </top>
      <bottom/>
      <diagonal/>
    </border>
    <border>
      <left style="thick">
        <color rgb="FFFF0000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ck">
        <color rgb="FFFFC000"/>
      </left>
      <right style="medium">
        <color auto="1"/>
      </right>
      <top style="medium">
        <color indexed="64"/>
      </top>
      <bottom/>
      <diagonal/>
    </border>
    <border>
      <left style="thin">
        <color indexed="64"/>
      </left>
      <right style="thick">
        <color rgb="FFFFC000"/>
      </right>
      <top style="medium">
        <color indexed="64"/>
      </top>
      <bottom style="thin">
        <color auto="1"/>
      </bottom>
      <diagonal/>
    </border>
    <border>
      <left style="thick">
        <color rgb="FFFFC000"/>
      </left>
      <right/>
      <top style="medium">
        <color indexed="64"/>
      </top>
      <bottom/>
      <diagonal/>
    </border>
    <border>
      <left style="thick">
        <color rgb="FF7030A0"/>
      </left>
      <right style="medium">
        <color auto="1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ck">
        <color rgb="FF7030A0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ck">
        <color rgb="FFFF0000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ck">
        <color rgb="FFFFC000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ck">
        <color rgb="FFFFC000"/>
      </right>
      <top style="thin">
        <color auto="1"/>
      </top>
      <bottom style="thin">
        <color auto="1"/>
      </bottom>
      <diagonal/>
    </border>
    <border>
      <left style="thick">
        <color rgb="FF7030A0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ck">
        <color rgb="FF7030A0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medium">
        <color auto="1"/>
      </right>
      <top/>
      <bottom style="medium">
        <color indexed="64"/>
      </bottom>
      <diagonal/>
    </border>
    <border>
      <left style="thick">
        <color rgb="FFFFC000"/>
      </left>
      <right style="medium">
        <color auto="1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ck">
        <color rgb="FFFFC000"/>
      </right>
      <top style="thin">
        <color auto="1"/>
      </top>
      <bottom style="medium">
        <color indexed="64"/>
      </bottom>
      <diagonal/>
    </border>
    <border>
      <left style="thick">
        <color rgb="FFFFC000"/>
      </left>
      <right/>
      <top/>
      <bottom style="medium">
        <color indexed="64"/>
      </bottom>
      <diagonal/>
    </border>
    <border>
      <left style="thick">
        <color rgb="FF7030A0"/>
      </left>
      <right style="medium">
        <color auto="1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thick">
        <color rgb="FF7030A0"/>
      </right>
      <top style="thin">
        <color auto="1"/>
      </top>
      <bottom style="medium">
        <color indexed="64"/>
      </bottom>
      <diagonal/>
    </border>
    <border>
      <left style="thick">
        <color rgb="FFFF0000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ck">
        <color rgb="FFFF0000"/>
      </right>
      <top style="thin">
        <color auto="1"/>
      </top>
      <bottom style="medium">
        <color indexed="64"/>
      </bottom>
      <diagonal/>
    </border>
    <border>
      <left style="thick">
        <color rgb="FFFFC000"/>
      </left>
      <right style="medium">
        <color auto="1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ck">
        <color rgb="FF0070C0"/>
      </right>
      <top style="thin">
        <color auto="1"/>
      </top>
      <bottom style="medium">
        <color indexed="64"/>
      </bottom>
      <diagonal/>
    </border>
    <border>
      <left/>
      <right style="thick">
        <color rgb="FFFFC000"/>
      </right>
      <top style="medium">
        <color indexed="64"/>
      </top>
      <bottom style="thin">
        <color auto="1"/>
      </bottom>
      <diagonal/>
    </border>
    <border>
      <left/>
      <right style="thick">
        <color rgb="FFFFC000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ck">
        <color rgb="FFFFC000"/>
      </right>
      <top style="medium">
        <color indexed="64"/>
      </top>
      <bottom/>
      <diagonal/>
    </border>
    <border>
      <left style="thick">
        <color rgb="FFFFC000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 style="thick">
        <color rgb="FFFFC000"/>
      </right>
      <top/>
      <bottom style="thin">
        <color auto="1"/>
      </bottom>
      <diagonal/>
    </border>
    <border>
      <left style="thick">
        <color rgb="FF0070C0"/>
      </left>
      <right style="medium">
        <color auto="1"/>
      </right>
      <top style="thin">
        <color auto="1"/>
      </top>
      <bottom style="thick">
        <color rgb="FF0070C0"/>
      </bottom>
      <diagonal/>
    </border>
    <border>
      <left style="thick">
        <color rgb="FFFFC000"/>
      </left>
      <right style="medium">
        <color auto="1"/>
      </right>
      <top style="thin">
        <color auto="1"/>
      </top>
      <bottom style="thick">
        <color rgb="FFFFC000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ck">
        <color rgb="FFFFC000"/>
      </bottom>
      <diagonal/>
    </border>
    <border>
      <left style="medium">
        <color auto="1"/>
      </left>
      <right/>
      <top style="thin">
        <color auto="1"/>
      </top>
      <bottom style="thick">
        <color rgb="FFFFC000"/>
      </bottom>
      <diagonal/>
    </border>
    <border>
      <left style="thin">
        <color indexed="64"/>
      </left>
      <right style="thick">
        <color rgb="FFFFC000"/>
      </right>
      <top style="thin">
        <color auto="1"/>
      </top>
      <bottom style="thick">
        <color rgb="FFFFC000"/>
      </bottom>
      <diagonal/>
    </border>
    <border>
      <left style="thick">
        <color rgb="FF7030A0"/>
      </left>
      <right style="medium">
        <color auto="1"/>
      </right>
      <top style="thin">
        <color auto="1"/>
      </top>
      <bottom style="thick">
        <color rgb="FF7030A0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ck">
        <color rgb="FF7030A0"/>
      </bottom>
      <diagonal/>
    </border>
    <border>
      <left style="medium">
        <color auto="1"/>
      </left>
      <right style="thick">
        <color rgb="FF7030A0"/>
      </right>
      <top style="thin">
        <color auto="1"/>
      </top>
      <bottom style="thick">
        <color rgb="FF7030A0"/>
      </bottom>
      <diagonal/>
    </border>
    <border>
      <left style="thick">
        <color rgb="FFFF0000"/>
      </left>
      <right style="medium">
        <color auto="1"/>
      </right>
      <top style="thin">
        <color auto="1"/>
      </top>
      <bottom style="thick">
        <color rgb="FFFF0000"/>
      </bottom>
      <diagonal/>
    </border>
    <border>
      <left style="thick">
        <color rgb="FF0070C0"/>
      </left>
      <right style="thick">
        <color rgb="FFFFC000"/>
      </right>
      <top/>
      <bottom/>
      <diagonal/>
    </border>
    <border>
      <left style="thick">
        <color rgb="FFFFC000"/>
      </left>
      <right style="thick">
        <color rgb="FFFF0000"/>
      </right>
      <top/>
      <bottom/>
      <diagonal/>
    </border>
    <border>
      <left style="thick">
        <color rgb="FFFF0000"/>
      </left>
      <right/>
      <top style="thick">
        <color rgb="FFFF0000"/>
      </top>
      <bottom style="thick">
        <color rgb="FFFF0000"/>
      </bottom>
      <diagonal/>
    </border>
    <border>
      <left style="thick">
        <color rgb="FFFFC000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ck">
        <color rgb="FFFFC000"/>
      </right>
      <top/>
      <bottom style="medium">
        <color auto="1"/>
      </bottom>
      <diagonal/>
    </border>
    <border>
      <left style="thick">
        <color rgb="FF0070C0"/>
      </left>
      <right/>
      <top/>
      <bottom style="thin">
        <color auto="1"/>
      </bottom>
      <diagonal/>
    </border>
    <border>
      <left style="thick">
        <color rgb="FFFFC000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thick">
        <color rgb="FFFFC000"/>
      </right>
      <top/>
      <bottom style="thin">
        <color auto="1"/>
      </bottom>
      <diagonal/>
    </border>
    <border>
      <left style="thick">
        <color rgb="FF0070C0"/>
      </left>
      <right/>
      <top style="thin">
        <color auto="1"/>
      </top>
      <bottom style="thin">
        <color auto="1"/>
      </bottom>
      <diagonal/>
    </border>
    <border>
      <left style="thick">
        <color rgb="FFFFC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ck">
        <color rgb="FFFFC000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ck">
        <color rgb="FFFFC000"/>
      </right>
      <top style="thin">
        <color auto="1"/>
      </top>
      <bottom style="thick">
        <color rgb="FFFFC000"/>
      </bottom>
      <diagonal/>
    </border>
    <border>
      <left style="medium">
        <color rgb="FF00B0F0"/>
      </left>
      <right style="medium">
        <color auto="1"/>
      </right>
      <top style="medium">
        <color rgb="FF00B0F0"/>
      </top>
      <bottom/>
      <diagonal/>
    </border>
    <border>
      <left style="medium">
        <color auto="1"/>
      </left>
      <right style="medium">
        <color auto="1"/>
      </right>
      <top style="medium">
        <color rgb="FF00B0F0"/>
      </top>
      <bottom/>
      <diagonal/>
    </border>
    <border>
      <left style="medium">
        <color indexed="64"/>
      </left>
      <right style="medium">
        <color indexed="64"/>
      </right>
      <top style="medium">
        <color rgb="FF00B0F0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rgb="FF00B0F0"/>
      </top>
      <bottom style="thin">
        <color indexed="64"/>
      </bottom>
      <diagonal/>
    </border>
    <border>
      <left style="medium">
        <color auto="1"/>
      </left>
      <right style="thick">
        <color rgb="FF0070C0"/>
      </right>
      <top style="medium">
        <color rgb="FF00B0F0"/>
      </top>
      <bottom/>
      <diagonal/>
    </border>
    <border>
      <left style="thick">
        <color rgb="FF0070C0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 style="thin">
        <color indexed="64"/>
      </left>
      <right style="thin">
        <color indexed="64"/>
      </right>
      <top style="medium">
        <color rgb="FF00B0F0"/>
      </top>
      <bottom/>
      <diagonal/>
    </border>
    <border>
      <left style="thin">
        <color indexed="64"/>
      </left>
      <right style="medium">
        <color indexed="64"/>
      </right>
      <top style="medium">
        <color rgb="FF00B0F0"/>
      </top>
      <bottom/>
      <diagonal/>
    </border>
    <border>
      <left/>
      <right style="thick">
        <color rgb="FFFF0000"/>
      </right>
      <top style="medium">
        <color rgb="FF00B0F0"/>
      </top>
      <bottom/>
      <diagonal/>
    </border>
    <border>
      <left style="thick">
        <color rgb="FFFF0000"/>
      </left>
      <right style="medium">
        <color auto="1"/>
      </right>
      <top style="medium">
        <color rgb="FF00B0F0"/>
      </top>
      <bottom/>
      <diagonal/>
    </border>
    <border>
      <left/>
      <right style="medium">
        <color indexed="64"/>
      </right>
      <top style="medium">
        <color rgb="FF00B0F0"/>
      </top>
      <bottom style="thin">
        <color indexed="64"/>
      </bottom>
      <diagonal/>
    </border>
    <border>
      <left style="medium">
        <color auto="1"/>
      </left>
      <right style="thick">
        <color rgb="FFFF0000"/>
      </right>
      <top style="medium">
        <color rgb="FF00B0F0"/>
      </top>
      <bottom/>
      <diagonal/>
    </border>
    <border>
      <left/>
      <right/>
      <top style="medium">
        <color rgb="FF00B0F0"/>
      </top>
      <bottom/>
      <diagonal/>
    </border>
    <border>
      <left style="medium">
        <color rgb="FF00B0F0"/>
      </left>
      <right style="medium">
        <color auto="1"/>
      </right>
      <top/>
      <bottom style="medium">
        <color rgb="FF00B0F0"/>
      </bottom>
      <diagonal/>
    </border>
    <border>
      <left style="medium">
        <color auto="1"/>
      </left>
      <right style="medium">
        <color auto="1"/>
      </right>
      <top/>
      <bottom style="medium">
        <color rgb="FF00B0F0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rgb="FF00B0F0"/>
      </bottom>
      <diagonal/>
    </border>
    <border>
      <left/>
      <right style="medium">
        <color auto="1"/>
      </right>
      <top style="thin">
        <color auto="1"/>
      </top>
      <bottom style="medium">
        <color rgb="FF00B0F0"/>
      </bottom>
      <diagonal/>
    </border>
    <border>
      <left style="medium">
        <color auto="1"/>
      </left>
      <right style="thick">
        <color rgb="FF0070C0"/>
      </right>
      <top/>
      <bottom style="medium">
        <color rgb="FF00B0F0"/>
      </bottom>
      <diagonal/>
    </border>
    <border>
      <left style="thick">
        <color rgb="FF0070C0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 style="thin">
        <color indexed="64"/>
      </left>
      <right style="thin">
        <color indexed="64"/>
      </right>
      <top/>
      <bottom style="medium">
        <color rgb="FF00B0F0"/>
      </bottom>
      <diagonal/>
    </border>
    <border>
      <left style="thin">
        <color indexed="64"/>
      </left>
      <right style="medium">
        <color indexed="64"/>
      </right>
      <top/>
      <bottom style="medium">
        <color rgb="FF00B0F0"/>
      </bottom>
      <diagonal/>
    </border>
    <border>
      <left/>
      <right style="thick">
        <color rgb="FFFF0000"/>
      </right>
      <top/>
      <bottom style="medium">
        <color rgb="FF00B0F0"/>
      </bottom>
      <diagonal/>
    </border>
    <border>
      <left style="thick">
        <color rgb="FFFF0000"/>
      </left>
      <right style="medium">
        <color auto="1"/>
      </right>
      <top/>
      <bottom style="medium">
        <color rgb="FF00B0F0"/>
      </bottom>
      <diagonal/>
    </border>
    <border>
      <left style="medium">
        <color auto="1"/>
      </left>
      <right style="thick">
        <color rgb="FFFF0000"/>
      </right>
      <top/>
      <bottom style="medium">
        <color rgb="FF00B0F0"/>
      </bottom>
      <diagonal/>
    </border>
    <border>
      <left/>
      <right/>
      <top/>
      <bottom style="medium">
        <color rgb="FF00B0F0"/>
      </bottom>
      <diagonal/>
    </border>
    <border>
      <left style="thick">
        <color rgb="FF0070C0"/>
      </left>
      <right style="medium">
        <color auto="1"/>
      </right>
      <top/>
      <bottom/>
      <diagonal/>
    </border>
    <border>
      <left style="medium">
        <color auto="1"/>
      </left>
      <right style="thick">
        <color rgb="FF0070C0"/>
      </right>
      <top/>
      <bottom/>
      <diagonal/>
    </border>
    <border>
      <left style="medium">
        <color auto="1"/>
      </left>
      <right style="thick">
        <color rgb="FFFF0000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00B0F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B0F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B0F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rgb="FF00B0F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rgb="FF00B0F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rgb="FF00B0F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rgb="FF00B0F0"/>
      </right>
      <top style="thin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medium">
        <color auto="1"/>
      </right>
      <top style="medium">
        <color rgb="FF00B0F0"/>
      </top>
      <bottom/>
      <diagonal/>
    </border>
    <border>
      <left/>
      <right style="medium">
        <color auto="1"/>
      </right>
      <top/>
      <bottom style="medium">
        <color rgb="FF00B0F0"/>
      </bottom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95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14" fontId="2" fillId="0" borderId="22" xfId="0" applyNumberFormat="1" applyFont="1" applyBorder="1" applyAlignment="1">
      <alignment horizontal="center" vertical="center"/>
    </xf>
    <xf numFmtId="14" fontId="2" fillId="0" borderId="43" xfId="0" applyNumberFormat="1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0" fontId="2" fillId="0" borderId="0" xfId="0" applyFont="1"/>
    <xf numFmtId="0" fontId="2" fillId="0" borderId="21" xfId="0" applyFont="1" applyBorder="1" applyAlignment="1">
      <alignment horizontal="center" vertical="center" wrapText="1"/>
    </xf>
    <xf numFmtId="164" fontId="4" fillId="0" borderId="14" xfId="0" applyNumberFormat="1" applyFont="1" applyBorder="1" applyAlignment="1">
      <alignment horizontal="center" vertical="center"/>
    </xf>
    <xf numFmtId="16" fontId="2" fillId="0" borderId="49" xfId="0" applyNumberFormat="1" applyFont="1" applyBorder="1" applyAlignment="1">
      <alignment horizontal="center" vertical="center"/>
    </xf>
    <xf numFmtId="14" fontId="2" fillId="0" borderId="13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54" xfId="0" applyFont="1" applyBorder="1" applyAlignment="1">
      <alignment horizontal="center" vertical="center"/>
    </xf>
    <xf numFmtId="0" fontId="2" fillId="0" borderId="55" xfId="0" applyFont="1" applyBorder="1" applyAlignment="1">
      <alignment horizontal="center" vertical="center"/>
    </xf>
    <xf numFmtId="0" fontId="2" fillId="0" borderId="54" xfId="0" applyFont="1" applyBorder="1"/>
    <xf numFmtId="0" fontId="2" fillId="0" borderId="22" xfId="0" applyFont="1" applyBorder="1"/>
    <xf numFmtId="0" fontId="2" fillId="0" borderId="43" xfId="0" applyFont="1" applyBorder="1"/>
    <xf numFmtId="0" fontId="2" fillId="0" borderId="49" xfId="0" applyFont="1" applyBorder="1"/>
    <xf numFmtId="0" fontId="2" fillId="0" borderId="13" xfId="0" applyFont="1" applyBorder="1"/>
    <xf numFmtId="0" fontId="2" fillId="0" borderId="44" xfId="0" applyFont="1" applyBorder="1"/>
    <xf numFmtId="0" fontId="2" fillId="0" borderId="19" xfId="0" applyFont="1" applyBorder="1"/>
    <xf numFmtId="14" fontId="2" fillId="3" borderId="1" xfId="0" applyNumberFormat="1" applyFont="1" applyFill="1" applyBorder="1" applyAlignment="1">
      <alignment horizontal="center" vertical="center"/>
    </xf>
    <xf numFmtId="0" fontId="2" fillId="0" borderId="56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 wrapText="1"/>
    </xf>
    <xf numFmtId="14" fontId="2" fillId="5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39" xfId="0" applyFont="1" applyBorder="1"/>
    <xf numFmtId="0" fontId="2" fillId="0" borderId="58" xfId="0" applyFont="1" applyBorder="1"/>
    <xf numFmtId="14" fontId="2" fillId="0" borderId="33" xfId="0" applyNumberFormat="1" applyFont="1" applyBorder="1" applyAlignment="1">
      <alignment horizontal="center" vertical="center"/>
    </xf>
    <xf numFmtId="14" fontId="2" fillId="0" borderId="34" xfId="0" applyNumberFormat="1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164" fontId="2" fillId="0" borderId="35" xfId="0" applyNumberFormat="1" applyFont="1" applyBorder="1" applyAlignment="1">
      <alignment horizontal="center" vertical="center"/>
    </xf>
    <xf numFmtId="0" fontId="2" fillId="0" borderId="20" xfId="0" applyFont="1" applyBorder="1"/>
    <xf numFmtId="0" fontId="2" fillId="0" borderId="23" xfId="0" applyFont="1" applyBorder="1"/>
    <xf numFmtId="0" fontId="2" fillId="0" borderId="40" xfId="0" applyFont="1" applyBorder="1"/>
    <xf numFmtId="0" fontId="2" fillId="0" borderId="40" xfId="0" applyFont="1" applyBorder="1" applyAlignment="1">
      <alignment horizontal="center"/>
    </xf>
    <xf numFmtId="14" fontId="2" fillId="0" borderId="40" xfId="0" applyNumberFormat="1" applyFont="1" applyBorder="1" applyAlignment="1">
      <alignment horizontal="center"/>
    </xf>
    <xf numFmtId="14" fontId="2" fillId="0" borderId="61" xfId="0" applyNumberFormat="1" applyFont="1" applyBorder="1" applyAlignment="1">
      <alignment horizontal="center"/>
    </xf>
    <xf numFmtId="0" fontId="2" fillId="0" borderId="62" xfId="0" applyFont="1" applyBorder="1"/>
    <xf numFmtId="14" fontId="2" fillId="0" borderId="15" xfId="0" applyNumberFormat="1" applyFont="1" applyBorder="1" applyAlignment="1">
      <alignment horizontal="center" vertical="center"/>
    </xf>
    <xf numFmtId="14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164" fontId="2" fillId="0" borderId="17" xfId="0" applyNumberFormat="1" applyFont="1" applyBorder="1" applyAlignment="1">
      <alignment horizontal="center" vertical="center"/>
    </xf>
    <xf numFmtId="0" fontId="2" fillId="0" borderId="63" xfId="0" applyFont="1" applyBorder="1"/>
    <xf numFmtId="0" fontId="2" fillId="0" borderId="65" xfId="0" applyFont="1" applyBorder="1"/>
    <xf numFmtId="0" fontId="2" fillId="0" borderId="19" xfId="0" applyFont="1" applyBorder="1" applyAlignment="1">
      <alignment horizontal="center" vertical="center"/>
    </xf>
    <xf numFmtId="0" fontId="2" fillId="0" borderId="58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/>
    </xf>
    <xf numFmtId="167" fontId="8" fillId="0" borderId="0" xfId="0" applyNumberFormat="1" applyFont="1" applyAlignment="1">
      <alignment horizontal="center" vertical="center"/>
    </xf>
    <xf numFmtId="14" fontId="8" fillId="0" borderId="0" xfId="0" applyNumberFormat="1" applyFont="1" applyAlignment="1">
      <alignment horizontal="center" vertical="center"/>
    </xf>
    <xf numFmtId="0" fontId="2" fillId="0" borderId="71" xfId="0" applyFont="1" applyBorder="1" applyAlignment="1">
      <alignment horizontal="center" vertical="center"/>
    </xf>
    <xf numFmtId="0" fontId="2" fillId="0" borderId="72" xfId="0" applyFont="1" applyBorder="1" applyAlignment="1">
      <alignment horizontal="center" vertical="center"/>
    </xf>
    <xf numFmtId="0" fontId="2" fillId="0" borderId="73" xfId="0" applyFont="1" applyBorder="1" applyAlignment="1">
      <alignment horizontal="center" vertical="center"/>
    </xf>
    <xf numFmtId="0" fontId="2" fillId="5" borderId="22" xfId="0" applyFont="1" applyFill="1" applyBorder="1" applyAlignment="1">
      <alignment horizontal="center" vertical="center"/>
    </xf>
    <xf numFmtId="14" fontId="2" fillId="5" borderId="22" xfId="0" applyNumberFormat="1" applyFont="1" applyFill="1" applyBorder="1" applyAlignment="1">
      <alignment horizontal="center" vertical="center"/>
    </xf>
    <xf numFmtId="0" fontId="2" fillId="0" borderId="74" xfId="0" applyFont="1" applyBorder="1" applyAlignment="1">
      <alignment horizontal="center" vertical="center"/>
    </xf>
    <xf numFmtId="0" fontId="2" fillId="0" borderId="59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 wrapText="1"/>
    </xf>
    <xf numFmtId="0" fontId="2" fillId="0" borderId="57" xfId="0" applyFont="1" applyBorder="1" applyAlignment="1">
      <alignment horizontal="center" vertical="center"/>
    </xf>
    <xf numFmtId="14" fontId="2" fillId="0" borderId="40" xfId="0" applyNumberFormat="1" applyFont="1" applyBorder="1" applyAlignment="1">
      <alignment horizontal="center" vertical="center"/>
    </xf>
    <xf numFmtId="166" fontId="4" fillId="0" borderId="40" xfId="0" applyNumberFormat="1" applyFont="1" applyBorder="1" applyAlignment="1">
      <alignment horizontal="center" vertical="center"/>
    </xf>
    <xf numFmtId="0" fontId="2" fillId="0" borderId="64" xfId="0" applyFont="1" applyBorder="1" applyAlignment="1">
      <alignment horizontal="center" vertical="center"/>
    </xf>
    <xf numFmtId="0" fontId="2" fillId="0" borderId="65" xfId="0" applyFont="1" applyBorder="1" applyAlignment="1">
      <alignment horizontal="center" vertical="center"/>
    </xf>
    <xf numFmtId="0" fontId="2" fillId="0" borderId="66" xfId="0" applyFont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4" xfId="0" applyBorder="1" applyAlignment="1">
      <alignment horizontal="center" vertical="center" wrapText="1"/>
    </xf>
    <xf numFmtId="0" fontId="2" fillId="0" borderId="105" xfId="0" applyFont="1" applyBorder="1" applyAlignment="1">
      <alignment horizontal="center" vertical="center" wrapText="1"/>
    </xf>
    <xf numFmtId="0" fontId="2" fillId="0" borderId="106" xfId="0" applyFont="1" applyBorder="1" applyAlignment="1">
      <alignment horizontal="center" vertical="center" wrapText="1"/>
    </xf>
    <xf numFmtId="0" fontId="2" fillId="0" borderId="107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8" xfId="0" applyFont="1" applyBorder="1" applyAlignment="1">
      <alignment horizontal="center" vertical="center" wrapText="1"/>
    </xf>
    <xf numFmtId="0" fontId="2" fillId="3" borderId="21" xfId="0" applyFont="1" applyFill="1" applyBorder="1" applyAlignment="1">
      <alignment horizontal="center" vertical="center" wrapText="1"/>
    </xf>
    <xf numFmtId="0" fontId="2" fillId="3" borderId="54" xfId="0" applyFont="1" applyFill="1" applyBorder="1" applyAlignment="1">
      <alignment horizontal="center" vertical="center" wrapText="1"/>
    </xf>
    <xf numFmtId="0" fontId="5" fillId="3" borderId="22" xfId="0" applyFont="1" applyFill="1" applyBorder="1" applyAlignment="1">
      <alignment horizontal="center" vertical="center" wrapText="1"/>
    </xf>
    <xf numFmtId="0" fontId="2" fillId="3" borderId="38" xfId="0" applyFont="1" applyFill="1" applyBorder="1" applyAlignment="1">
      <alignment horizontal="center" vertical="center" wrapText="1"/>
    </xf>
    <xf numFmtId="0" fontId="2" fillId="0" borderId="67" xfId="0" applyFont="1" applyBorder="1" applyAlignment="1">
      <alignment vertical="top" wrapText="1"/>
    </xf>
    <xf numFmtId="0" fontId="2" fillId="3" borderId="22" xfId="0" applyFont="1" applyFill="1" applyBorder="1" applyAlignment="1">
      <alignment horizontal="center" vertical="center" wrapText="1"/>
    </xf>
    <xf numFmtId="0" fontId="2" fillId="0" borderId="19" xfId="0" applyFont="1" applyBorder="1" applyAlignment="1">
      <alignment vertical="top" wrapText="1"/>
    </xf>
    <xf numFmtId="14" fontId="2" fillId="0" borderId="127" xfId="0" applyNumberFormat="1" applyFont="1" applyBorder="1" applyAlignment="1">
      <alignment horizontal="center" vertical="center" wrapText="1"/>
    </xf>
    <xf numFmtId="0" fontId="2" fillId="0" borderId="136" xfId="0" applyFont="1" applyBorder="1" applyAlignment="1">
      <alignment horizontal="center" vertical="center" wrapText="1"/>
    </xf>
    <xf numFmtId="0" fontId="2" fillId="0" borderId="20" xfId="0" applyFont="1" applyBorder="1" applyAlignment="1">
      <alignment vertical="top" wrapText="1"/>
    </xf>
    <xf numFmtId="0" fontId="2" fillId="3" borderId="23" xfId="0" applyFont="1" applyFill="1" applyBorder="1" applyAlignment="1">
      <alignment horizontal="center" vertical="center" wrapText="1"/>
    </xf>
    <xf numFmtId="0" fontId="2" fillId="3" borderId="39" xfId="0" applyFont="1" applyFill="1" applyBorder="1" applyAlignment="1">
      <alignment horizontal="center" vertical="center" wrapText="1"/>
    </xf>
    <xf numFmtId="14" fontId="9" fillId="4" borderId="127" xfId="0" applyNumberFormat="1" applyFont="1" applyFill="1" applyBorder="1" applyAlignment="1">
      <alignment horizontal="center" vertical="center" wrapText="1"/>
    </xf>
    <xf numFmtId="14" fontId="2" fillId="0" borderId="143" xfId="0" applyNumberFormat="1" applyFont="1" applyBorder="1" applyAlignment="1">
      <alignment horizontal="center" vertical="center" wrapText="1"/>
    </xf>
    <xf numFmtId="0" fontId="16" fillId="3" borderId="129" xfId="0" applyFont="1" applyFill="1" applyBorder="1" applyAlignment="1">
      <alignment horizontal="center" vertical="center" wrapText="1"/>
    </xf>
    <xf numFmtId="0" fontId="2" fillId="3" borderId="37" xfId="0" applyFont="1" applyFill="1" applyBorder="1" applyAlignment="1">
      <alignment horizontal="center" vertical="center" wrapText="1"/>
    </xf>
    <xf numFmtId="14" fontId="2" fillId="2" borderId="21" xfId="0" applyNumberFormat="1" applyFont="1" applyFill="1" applyBorder="1" applyAlignment="1">
      <alignment horizontal="center" vertical="center" wrapText="1"/>
    </xf>
    <xf numFmtId="0" fontId="2" fillId="3" borderId="19" xfId="0" applyFont="1" applyFill="1" applyBorder="1" applyAlignment="1">
      <alignment vertical="top" wrapText="1"/>
    </xf>
    <xf numFmtId="14" fontId="5" fillId="4" borderId="21" xfId="0" applyNumberFormat="1" applyFont="1" applyFill="1" applyBorder="1" applyAlignment="1">
      <alignment horizontal="center" vertical="center" wrapText="1"/>
    </xf>
    <xf numFmtId="0" fontId="0" fillId="0" borderId="54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  <xf numFmtId="0" fontId="8" fillId="0" borderId="0" xfId="0" applyFont="1" applyAlignment="1">
      <alignment horizontal="right" vertical="center" wrapText="1"/>
    </xf>
    <xf numFmtId="15" fontId="8" fillId="0" borderId="0" xfId="0" applyNumberFormat="1" applyFont="1" applyAlignment="1">
      <alignment horizontal="center" vertical="center" wrapText="1"/>
    </xf>
    <xf numFmtId="16" fontId="8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2" fillId="0" borderId="156" xfId="0" applyFont="1" applyBorder="1" applyAlignment="1">
      <alignment horizontal="center" vertical="center" wrapText="1"/>
    </xf>
    <xf numFmtId="0" fontId="2" fillId="0" borderId="157" xfId="0" applyFont="1" applyBorder="1" applyAlignment="1">
      <alignment horizontal="center" vertical="center" wrapText="1"/>
    </xf>
    <xf numFmtId="0" fontId="2" fillId="0" borderId="102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0" fontId="2" fillId="0" borderId="103" xfId="0" applyFont="1" applyBorder="1" applyAlignment="1">
      <alignment horizontal="center" vertical="center" wrapText="1"/>
    </xf>
    <xf numFmtId="0" fontId="2" fillId="0" borderId="159" xfId="0" applyFont="1" applyBorder="1" applyAlignment="1">
      <alignment horizontal="center" vertical="center" wrapText="1"/>
    </xf>
    <xf numFmtId="0" fontId="2" fillId="0" borderId="81" xfId="0" applyFont="1" applyBorder="1" applyAlignment="1">
      <alignment horizontal="center" vertical="center" wrapText="1"/>
    </xf>
    <xf numFmtId="0" fontId="2" fillId="0" borderId="160" xfId="0" applyFont="1" applyBorder="1" applyAlignment="1">
      <alignment horizontal="center" vertical="center" wrapText="1"/>
    </xf>
    <xf numFmtId="0" fontId="2" fillId="0" borderId="131" xfId="0" applyFont="1" applyBorder="1" applyAlignment="1">
      <alignment horizontal="center" vertical="center" wrapText="1"/>
    </xf>
    <xf numFmtId="0" fontId="2" fillId="0" borderId="46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161" xfId="0" applyBorder="1" applyAlignment="1">
      <alignment horizontal="center" vertical="center" wrapText="1"/>
    </xf>
    <xf numFmtId="0" fontId="2" fillId="0" borderId="54" xfId="0" applyFont="1" applyBorder="1" applyAlignment="1">
      <alignment horizontal="center" vertical="center" wrapText="1"/>
    </xf>
    <xf numFmtId="14" fontId="2" fillId="0" borderId="54" xfId="0" applyNumberFormat="1" applyFont="1" applyBorder="1" applyAlignment="1">
      <alignment horizontal="center" vertical="center" wrapText="1"/>
    </xf>
    <xf numFmtId="164" fontId="0" fillId="0" borderId="42" xfId="0" applyNumberFormat="1" applyBorder="1" applyAlignment="1">
      <alignment horizontal="center" vertical="center" wrapText="1"/>
    </xf>
    <xf numFmtId="164" fontId="0" fillId="0" borderId="156" xfId="0" applyNumberFormat="1" applyBorder="1" applyAlignment="1">
      <alignment horizontal="center" vertical="center" wrapText="1"/>
    </xf>
    <xf numFmtId="0" fontId="0" fillId="0" borderId="162" xfId="0" applyBorder="1" applyAlignment="1">
      <alignment horizontal="center" vertical="center" wrapText="1"/>
    </xf>
    <xf numFmtId="14" fontId="5" fillId="0" borderId="125" xfId="0" applyNumberFormat="1" applyFont="1" applyBorder="1" applyAlignment="1">
      <alignment horizontal="center" vertical="center" wrapText="1"/>
    </xf>
    <xf numFmtId="14" fontId="2" fillId="0" borderId="163" xfId="0" applyNumberFormat="1" applyFont="1" applyBorder="1" applyAlignment="1">
      <alignment horizontal="center" vertical="center" wrapText="1"/>
    </xf>
    <xf numFmtId="0" fontId="2" fillId="0" borderId="78" xfId="0" applyFont="1" applyBorder="1" applyAlignment="1">
      <alignment horizontal="center" vertical="center" wrapText="1"/>
    </xf>
    <xf numFmtId="0" fontId="2" fillId="0" borderId="55" xfId="0" applyFont="1" applyBorder="1" applyAlignment="1">
      <alignment horizontal="center" vertical="center" wrapText="1"/>
    </xf>
    <xf numFmtId="0" fontId="2" fillId="0" borderId="18" xfId="0" applyFont="1" applyBorder="1" applyAlignment="1">
      <alignment wrapText="1"/>
    </xf>
    <xf numFmtId="0" fontId="2" fillId="0" borderId="54" xfId="0" applyFont="1" applyBorder="1" applyAlignment="1">
      <alignment wrapText="1"/>
    </xf>
    <xf numFmtId="0" fontId="0" fillId="0" borderId="164" xfId="0" applyBorder="1" applyAlignment="1">
      <alignment horizontal="center" vertical="center" wrapText="1"/>
    </xf>
    <xf numFmtId="0" fontId="2" fillId="0" borderId="22" xfId="0" applyFont="1" applyBorder="1" applyAlignment="1">
      <alignment wrapText="1"/>
    </xf>
    <xf numFmtId="164" fontId="0" fillId="0" borderId="43" xfId="0" applyNumberFormat="1" applyBorder="1" applyAlignment="1">
      <alignment horizontal="center" vertical="center" wrapText="1"/>
    </xf>
    <xf numFmtId="0" fontId="0" fillId="0" borderId="165" xfId="0" applyBorder="1" applyAlignment="1">
      <alignment horizontal="center" vertical="center" wrapText="1"/>
    </xf>
    <xf numFmtId="14" fontId="2" fillId="0" borderId="22" xfId="0" applyNumberFormat="1" applyFont="1" applyBorder="1" applyAlignment="1">
      <alignment horizontal="center" vertical="center" wrapText="1"/>
    </xf>
    <xf numFmtId="14" fontId="5" fillId="0" borderId="127" xfId="0" applyNumberFormat="1" applyFont="1" applyBorder="1" applyAlignment="1">
      <alignment horizontal="center" vertical="center" wrapText="1"/>
    </xf>
    <xf numFmtId="0" fontId="2" fillId="0" borderId="157" xfId="0" applyFont="1" applyBorder="1" applyAlignment="1">
      <alignment wrapText="1"/>
    </xf>
    <xf numFmtId="0" fontId="2" fillId="0" borderId="60" xfId="0" applyFont="1" applyBorder="1" applyAlignment="1">
      <alignment horizontal="center" vertical="center" wrapText="1"/>
    </xf>
    <xf numFmtId="0" fontId="2" fillId="0" borderId="56" xfId="0" applyFont="1" applyBorder="1" applyAlignment="1">
      <alignment wrapText="1"/>
    </xf>
    <xf numFmtId="0" fontId="2" fillId="0" borderId="19" xfId="0" applyFont="1" applyBorder="1" applyAlignment="1">
      <alignment wrapText="1"/>
    </xf>
    <xf numFmtId="0" fontId="0" fillId="0" borderId="126" xfId="0" applyBorder="1" applyAlignment="1">
      <alignment horizontal="center" vertical="center" wrapText="1"/>
    </xf>
    <xf numFmtId="0" fontId="2" fillId="0" borderId="164" xfId="0" applyFont="1" applyBorder="1" applyAlignment="1">
      <alignment horizontal="center" vertical="center" wrapText="1"/>
    </xf>
    <xf numFmtId="0" fontId="2" fillId="0" borderId="43" xfId="0" applyFont="1" applyBorder="1" applyAlignment="1">
      <alignment wrapText="1"/>
    </xf>
    <xf numFmtId="0" fontId="2" fillId="0" borderId="156" xfId="0" applyFont="1" applyBorder="1" applyAlignment="1">
      <alignment wrapText="1"/>
    </xf>
    <xf numFmtId="14" fontId="2" fillId="0" borderId="145" xfId="0" applyNumberFormat="1" applyFont="1" applyBorder="1" applyAlignment="1">
      <alignment horizontal="center" vertical="center" wrapText="1"/>
    </xf>
    <xf numFmtId="0" fontId="2" fillId="0" borderId="127" xfId="0" applyFont="1" applyBorder="1" applyAlignment="1">
      <alignment horizontal="center" vertical="center" wrapText="1"/>
    </xf>
    <xf numFmtId="0" fontId="2" fillId="0" borderId="166" xfId="0" applyFont="1" applyBorder="1" applyAlignment="1">
      <alignment wrapText="1"/>
    </xf>
    <xf numFmtId="14" fontId="2" fillId="0" borderId="126" xfId="0" applyNumberFormat="1" applyFont="1" applyBorder="1" applyAlignment="1">
      <alignment horizontal="center" vertical="center" wrapText="1"/>
    </xf>
    <xf numFmtId="0" fontId="2" fillId="0" borderId="73" xfId="0" applyFont="1" applyBorder="1" applyAlignment="1">
      <alignment horizontal="center" vertical="center" wrapText="1"/>
    </xf>
    <xf numFmtId="0" fontId="2" fillId="0" borderId="60" xfId="0" applyFont="1" applyBorder="1" applyAlignment="1">
      <alignment wrapText="1"/>
    </xf>
    <xf numFmtId="0" fontId="2" fillId="0" borderId="126" xfId="0" applyFont="1" applyBorder="1" applyAlignment="1">
      <alignment horizontal="center" vertical="center" wrapText="1"/>
    </xf>
    <xf numFmtId="0" fontId="2" fillId="0" borderId="147" xfId="0" applyFont="1" applyBorder="1" applyAlignment="1">
      <alignment horizontal="center" vertical="center" wrapText="1"/>
    </xf>
    <xf numFmtId="0" fontId="2" fillId="0" borderId="40" xfId="0" applyFont="1" applyBorder="1" applyAlignment="1">
      <alignment horizontal="center" vertical="center" wrapText="1"/>
    </xf>
    <xf numFmtId="0" fontId="2" fillId="0" borderId="40" xfId="0" applyFont="1" applyBorder="1" applyAlignment="1">
      <alignment wrapText="1"/>
    </xf>
    <xf numFmtId="0" fontId="2" fillId="0" borderId="61" xfId="0" applyFont="1" applyBorder="1" applyAlignment="1">
      <alignment wrapText="1"/>
    </xf>
    <xf numFmtId="0" fontId="2" fillId="0" borderId="148" xfId="0" applyFont="1" applyBorder="1" applyAlignment="1">
      <alignment horizontal="center" vertical="center" wrapText="1"/>
    </xf>
    <xf numFmtId="0" fontId="2" fillId="0" borderId="149" xfId="0" applyFont="1" applyBorder="1" applyAlignment="1">
      <alignment horizontal="center" vertical="center" wrapText="1"/>
    </xf>
    <xf numFmtId="0" fontId="2" fillId="0" borderId="150" xfId="0" applyFont="1" applyBorder="1" applyAlignment="1">
      <alignment horizontal="center" vertical="center" wrapText="1"/>
    </xf>
    <xf numFmtId="0" fontId="2" fillId="0" borderId="167" xfId="0" applyFont="1" applyBorder="1" applyAlignment="1">
      <alignment wrapText="1"/>
    </xf>
    <xf numFmtId="0" fontId="2" fillId="0" borderId="155" xfId="0" applyFont="1" applyBorder="1" applyAlignment="1">
      <alignment wrapText="1"/>
    </xf>
    <xf numFmtId="0" fontId="2" fillId="0" borderId="65" xfId="0" applyFont="1" applyBorder="1" applyAlignment="1">
      <alignment wrapText="1"/>
    </xf>
    <xf numFmtId="0" fontId="2" fillId="0" borderId="66" xfId="0" applyFont="1" applyBorder="1" applyAlignment="1">
      <alignment wrapText="1"/>
    </xf>
    <xf numFmtId="0" fontId="2" fillId="0" borderId="20" xfId="0" applyFont="1" applyBorder="1" applyAlignment="1">
      <alignment wrapText="1"/>
    </xf>
    <xf numFmtId="0" fontId="2" fillId="0" borderId="23" xfId="0" applyFont="1" applyBorder="1" applyAlignment="1">
      <alignment wrapText="1"/>
    </xf>
    <xf numFmtId="0" fontId="2" fillId="0" borderId="0" xfId="0" applyFont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 wrapText="1"/>
    </xf>
    <xf numFmtId="168" fontId="8" fillId="0" borderId="0" xfId="0" applyNumberFormat="1" applyFont="1" applyAlignment="1">
      <alignment horizontal="center" vertical="center" wrapText="1"/>
    </xf>
    <xf numFmtId="0" fontId="2" fillId="5" borderId="0" xfId="0" applyFont="1" applyFill="1" applyAlignment="1">
      <alignment wrapText="1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horizontal="right" vertical="center" wrapText="1"/>
    </xf>
    <xf numFmtId="14" fontId="8" fillId="0" borderId="0" xfId="0" applyNumberFormat="1" applyFont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2" fillId="0" borderId="95" xfId="0" applyFont="1" applyBorder="1" applyAlignment="1">
      <alignment horizontal="center" vertical="center" wrapText="1"/>
    </xf>
    <xf numFmtId="14" fontId="2" fillId="0" borderId="38" xfId="0" applyNumberFormat="1" applyFont="1" applyBorder="1" applyAlignment="1">
      <alignment horizontal="center" vertical="center" wrapText="1"/>
    </xf>
    <xf numFmtId="168" fontId="8" fillId="0" borderId="103" xfId="0" applyNumberFormat="1" applyFont="1" applyBorder="1" applyAlignment="1">
      <alignment horizontal="center" vertical="center" wrapText="1"/>
    </xf>
    <xf numFmtId="0" fontId="5" fillId="7" borderId="9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5" fillId="11" borderId="47" xfId="0" applyFont="1" applyFill="1" applyBorder="1" applyAlignment="1">
      <alignment horizontal="center" vertical="center" wrapText="1"/>
    </xf>
    <xf numFmtId="0" fontId="2" fillId="0" borderId="104" xfId="0" applyFont="1" applyBorder="1" applyAlignment="1">
      <alignment horizontal="center" vertical="center" wrapText="1"/>
    </xf>
    <xf numFmtId="0" fontId="2" fillId="0" borderId="108" xfId="0" applyFont="1" applyBorder="1" applyAlignment="1">
      <alignment horizontal="center" vertical="center" wrapText="1"/>
    </xf>
    <xf numFmtId="0" fontId="2" fillId="0" borderId="109" xfId="0" applyFont="1" applyBorder="1" applyAlignment="1">
      <alignment horizontal="center" vertical="center" wrapText="1"/>
    </xf>
    <xf numFmtId="0" fontId="5" fillId="0" borderId="110" xfId="0" applyFont="1" applyBorder="1" applyAlignment="1">
      <alignment horizontal="center" vertical="center" wrapText="1"/>
    </xf>
    <xf numFmtId="14" fontId="5" fillId="0" borderId="38" xfId="0" applyNumberFormat="1" applyFont="1" applyBorder="1" applyAlignment="1">
      <alignment horizontal="center" vertical="center" wrapText="1"/>
    </xf>
    <xf numFmtId="168" fontId="4" fillId="3" borderId="42" xfId="0" applyNumberFormat="1" applyFont="1" applyFill="1" applyBorder="1" applyAlignment="1">
      <alignment horizontal="center" vertical="center" wrapText="1"/>
    </xf>
    <xf numFmtId="0" fontId="5" fillId="7" borderId="111" xfId="0" applyFont="1" applyFill="1" applyBorder="1" applyAlignment="1">
      <alignment horizontal="center" vertical="center" wrapText="1"/>
    </xf>
    <xf numFmtId="0" fontId="5" fillId="7" borderId="47" xfId="0" applyFont="1" applyFill="1" applyBorder="1" applyAlignment="1">
      <alignment horizontal="center" vertical="center" wrapText="1"/>
    </xf>
    <xf numFmtId="164" fontId="5" fillId="0" borderId="112" xfId="0" applyNumberFormat="1" applyFont="1" applyBorder="1" applyAlignment="1">
      <alignment horizontal="center" vertical="center" wrapText="1"/>
    </xf>
    <xf numFmtId="0" fontId="5" fillId="0" borderId="39" xfId="0" applyFont="1" applyBorder="1" applyAlignment="1">
      <alignment horizontal="center" vertical="center" wrapText="1"/>
    </xf>
    <xf numFmtId="14" fontId="5" fillId="0" borderId="39" xfId="0" applyNumberFormat="1" applyFont="1" applyBorder="1" applyAlignment="1">
      <alignment horizontal="center" vertical="center" wrapText="1"/>
    </xf>
    <xf numFmtId="14" fontId="5" fillId="0" borderId="113" xfId="0" applyNumberFormat="1" applyFont="1" applyBorder="1" applyAlignment="1">
      <alignment horizontal="center" vertical="center" wrapText="1"/>
    </xf>
    <xf numFmtId="14" fontId="5" fillId="0" borderId="114" xfId="0" applyNumberFormat="1" applyFont="1" applyBorder="1" applyAlignment="1">
      <alignment horizontal="center" vertical="center" wrapText="1"/>
    </xf>
    <xf numFmtId="0" fontId="5" fillId="0" borderId="95" xfId="0" applyFont="1" applyBorder="1" applyAlignment="1">
      <alignment horizontal="center" vertical="center" wrapText="1"/>
    </xf>
    <xf numFmtId="0" fontId="5" fillId="0" borderId="115" xfId="0" applyFont="1" applyBorder="1" applyAlignment="1">
      <alignment horizontal="center" vertical="center" wrapText="1"/>
    </xf>
    <xf numFmtId="14" fontId="5" fillId="0" borderId="116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75" xfId="0" applyFont="1" applyBorder="1" applyAlignment="1">
      <alignment horizontal="center" vertical="center" wrapText="1"/>
    </xf>
    <xf numFmtId="0" fontId="5" fillId="0" borderId="59" xfId="0" applyFont="1" applyBorder="1" applyAlignment="1">
      <alignment horizontal="center" vertical="center" wrapText="1"/>
    </xf>
    <xf numFmtId="0" fontId="7" fillId="0" borderId="0" xfId="0" applyFont="1" applyAlignment="1">
      <alignment wrapText="1"/>
    </xf>
    <xf numFmtId="0" fontId="5" fillId="0" borderId="47" xfId="0" applyFont="1" applyBorder="1" applyAlignment="1">
      <alignment vertical="top" wrapText="1"/>
    </xf>
    <xf numFmtId="0" fontId="5" fillId="0" borderId="48" xfId="0" applyFont="1" applyBorder="1" applyAlignment="1">
      <alignment wrapText="1"/>
    </xf>
    <xf numFmtId="0" fontId="5" fillId="0" borderId="0" xfId="0" applyFont="1" applyAlignment="1">
      <alignment wrapText="1"/>
    </xf>
    <xf numFmtId="0" fontId="2" fillId="3" borderId="84" xfId="0" applyFont="1" applyFill="1" applyBorder="1" applyAlignment="1">
      <alignment horizontal="center" vertical="center" wrapText="1"/>
    </xf>
    <xf numFmtId="0" fontId="5" fillId="3" borderId="21" xfId="0" applyFont="1" applyFill="1" applyBorder="1" applyAlignment="1">
      <alignment horizontal="center" vertical="center" wrapText="1"/>
    </xf>
    <xf numFmtId="14" fontId="2" fillId="3" borderId="21" xfId="0" applyNumberFormat="1" applyFont="1" applyFill="1" applyBorder="1" applyAlignment="1">
      <alignment horizontal="center" vertical="center" wrapText="1"/>
    </xf>
    <xf numFmtId="14" fontId="2" fillId="3" borderId="37" xfId="0" applyNumberFormat="1" applyFont="1" applyFill="1" applyBorder="1" applyAlignment="1">
      <alignment horizontal="center" vertical="center" wrapText="1"/>
    </xf>
    <xf numFmtId="168" fontId="8" fillId="3" borderId="117" xfId="0" applyNumberFormat="1" applyFont="1" applyFill="1" applyBorder="1" applyAlignment="1">
      <alignment horizontal="center" vertical="center" wrapText="1"/>
    </xf>
    <xf numFmtId="0" fontId="2" fillId="7" borderId="118" xfId="0" applyFont="1" applyFill="1" applyBorder="1" applyAlignment="1">
      <alignment horizontal="center" vertical="center" wrapText="1"/>
    </xf>
    <xf numFmtId="0" fontId="2" fillId="7" borderId="51" xfId="0" applyFont="1" applyFill="1" applyBorder="1" applyAlignment="1">
      <alignment horizontal="center" vertical="center" wrapText="1"/>
    </xf>
    <xf numFmtId="0" fontId="2" fillId="11" borderId="51" xfId="0" applyFont="1" applyFill="1" applyBorder="1" applyAlignment="1">
      <alignment horizontal="center" vertical="center" wrapText="1"/>
    </xf>
    <xf numFmtId="164" fontId="2" fillId="3" borderId="119" xfId="0" applyNumberFormat="1" applyFont="1" applyFill="1" applyBorder="1" applyAlignment="1">
      <alignment horizontal="center" vertical="center" wrapText="1"/>
    </xf>
    <xf numFmtId="14" fontId="2" fillId="3" borderId="50" xfId="0" applyNumberFormat="1" applyFont="1" applyFill="1" applyBorder="1" applyAlignment="1">
      <alignment horizontal="center" vertical="center" wrapText="1"/>
    </xf>
    <xf numFmtId="14" fontId="2" fillId="3" borderId="84" xfId="0" applyNumberFormat="1" applyFont="1" applyFill="1" applyBorder="1" applyAlignment="1">
      <alignment horizontal="center" vertical="center" wrapText="1"/>
    </xf>
    <xf numFmtId="14" fontId="2" fillId="3" borderId="120" xfId="0" applyNumberFormat="1" applyFont="1" applyFill="1" applyBorder="1" applyAlignment="1">
      <alignment horizontal="center" vertical="center" wrapText="1"/>
    </xf>
    <xf numFmtId="0" fontId="2" fillId="3" borderId="121" xfId="0" applyFont="1" applyFill="1" applyBorder="1" applyAlignment="1">
      <alignment horizontal="center" vertical="center" wrapText="1"/>
    </xf>
    <xf numFmtId="0" fontId="2" fillId="3" borderId="122" xfId="0" applyFont="1" applyFill="1" applyBorder="1" applyAlignment="1">
      <alignment horizontal="center" vertical="center" wrapText="1"/>
    </xf>
    <xf numFmtId="0" fontId="10" fillId="3" borderId="21" xfId="0" applyFont="1" applyFill="1" applyBorder="1" applyAlignment="1">
      <alignment horizontal="center" vertical="center" wrapText="1"/>
    </xf>
    <xf numFmtId="14" fontId="2" fillId="3" borderId="123" xfId="0" applyNumberFormat="1" applyFont="1" applyFill="1" applyBorder="1" applyAlignment="1">
      <alignment horizontal="center" vertical="center" wrapText="1"/>
    </xf>
    <xf numFmtId="0" fontId="2" fillId="3" borderId="41" xfId="0" applyFont="1" applyFill="1" applyBorder="1" applyAlignment="1">
      <alignment horizontal="center" vertical="center" wrapText="1"/>
    </xf>
    <xf numFmtId="0" fontId="2" fillId="3" borderId="118" xfId="0" applyFont="1" applyFill="1" applyBorder="1" applyAlignment="1">
      <alignment horizontal="center" vertical="center" wrapText="1"/>
    </xf>
    <xf numFmtId="0" fontId="2" fillId="0" borderId="124" xfId="0" applyFont="1" applyBorder="1" applyAlignment="1">
      <alignment horizontal="center" vertical="center" wrapText="1"/>
    </xf>
    <xf numFmtId="0" fontId="2" fillId="0" borderId="41" xfId="0" applyFont="1" applyBorder="1" applyAlignment="1">
      <alignment wrapText="1"/>
    </xf>
    <xf numFmtId="0" fontId="2" fillId="0" borderId="50" xfId="0" applyFont="1" applyBorder="1" applyAlignment="1">
      <alignment wrapText="1"/>
    </xf>
    <xf numFmtId="0" fontId="2" fillId="3" borderId="125" xfId="0" applyFont="1" applyFill="1" applyBorder="1" applyAlignment="1">
      <alignment horizontal="center" vertical="center" wrapText="1"/>
    </xf>
    <xf numFmtId="0" fontId="2" fillId="12" borderId="0" xfId="0" applyFont="1" applyFill="1" applyAlignment="1">
      <alignment horizontal="center" vertical="center" wrapText="1"/>
    </xf>
    <xf numFmtId="14" fontId="2" fillId="3" borderId="54" xfId="0" applyNumberFormat="1" applyFont="1" applyFill="1" applyBorder="1" applyAlignment="1">
      <alignment horizontal="center" vertical="center" wrapText="1"/>
    </xf>
    <xf numFmtId="14" fontId="2" fillId="3" borderId="22" xfId="0" applyNumberFormat="1" applyFont="1" applyFill="1" applyBorder="1" applyAlignment="1">
      <alignment horizontal="center" vertical="center" wrapText="1"/>
    </xf>
    <xf numFmtId="168" fontId="8" fillId="3" borderId="43" xfId="0" applyNumberFormat="1" applyFont="1" applyFill="1" applyBorder="1" applyAlignment="1">
      <alignment horizontal="center" vertical="center" wrapText="1"/>
    </xf>
    <xf numFmtId="0" fontId="2" fillId="7" borderId="78" xfId="0" applyFont="1" applyFill="1" applyBorder="1" applyAlignment="1">
      <alignment horizontal="center" vertical="center" wrapText="1"/>
    </xf>
    <xf numFmtId="0" fontId="2" fillId="7" borderId="22" xfId="0" applyFont="1" applyFill="1" applyBorder="1" applyAlignment="1">
      <alignment horizontal="center" vertical="center" wrapText="1"/>
    </xf>
    <xf numFmtId="0" fontId="2" fillId="11" borderId="18" xfId="0" applyFont="1" applyFill="1" applyBorder="1" applyAlignment="1">
      <alignment horizontal="center" vertical="center" wrapText="1"/>
    </xf>
    <xf numFmtId="164" fontId="2" fillId="3" borderId="126" xfId="0" applyNumberFormat="1" applyFont="1" applyFill="1" applyBorder="1" applyAlignment="1">
      <alignment horizontal="center" vertical="center" wrapText="1"/>
    </xf>
    <xf numFmtId="14" fontId="2" fillId="3" borderId="127" xfId="0" applyNumberFormat="1" applyFont="1" applyFill="1" applyBorder="1" applyAlignment="1">
      <alignment horizontal="center" vertical="center" wrapText="1"/>
    </xf>
    <xf numFmtId="14" fontId="2" fillId="2" borderId="128" xfId="0" applyNumberFormat="1" applyFont="1" applyFill="1" applyBorder="1" applyAlignment="1">
      <alignment horizontal="center" vertical="center" wrapText="1"/>
    </xf>
    <xf numFmtId="0" fontId="2" fillId="3" borderId="95" xfId="0" applyFont="1" applyFill="1" applyBorder="1" applyAlignment="1">
      <alignment horizontal="center" vertical="center" wrapText="1"/>
    </xf>
    <xf numFmtId="0" fontId="2" fillId="3" borderId="129" xfId="0" applyFont="1" applyFill="1" applyBorder="1" applyAlignment="1">
      <alignment horizontal="center" vertical="center" wrapText="1"/>
    </xf>
    <xf numFmtId="0" fontId="10" fillId="3" borderId="22" xfId="0" applyFont="1" applyFill="1" applyBorder="1" applyAlignment="1">
      <alignment horizontal="center" vertical="center" wrapText="1"/>
    </xf>
    <xf numFmtId="14" fontId="11" fillId="0" borderId="130" xfId="0" applyNumberFormat="1" applyFont="1" applyBorder="1" applyAlignment="1">
      <alignment horizontal="center" vertical="center" wrapText="1"/>
    </xf>
    <xf numFmtId="0" fontId="2" fillId="0" borderId="56" xfId="0" applyFont="1" applyBorder="1" applyAlignment="1">
      <alignment horizontal="center" vertical="center" wrapText="1"/>
    </xf>
    <xf numFmtId="0" fontId="2" fillId="0" borderId="18" xfId="0" applyFont="1" applyBorder="1" applyAlignment="1">
      <alignment vertical="top" wrapText="1"/>
    </xf>
    <xf numFmtId="0" fontId="2" fillId="0" borderId="48" xfId="0" applyFont="1" applyBorder="1" applyAlignment="1">
      <alignment wrapText="1"/>
    </xf>
    <xf numFmtId="168" fontId="8" fillId="3" borderId="77" xfId="0" applyNumberFormat="1" applyFont="1" applyFill="1" applyBorder="1" applyAlignment="1">
      <alignment horizontal="center" vertical="center" wrapText="1"/>
    </xf>
    <xf numFmtId="0" fontId="2" fillId="7" borderId="18" xfId="0" applyFont="1" applyFill="1" applyBorder="1" applyAlignment="1">
      <alignment horizontal="center" vertical="center" wrapText="1"/>
    </xf>
    <xf numFmtId="14" fontId="2" fillId="0" borderId="130" xfId="0" applyNumberFormat="1" applyFont="1" applyBorder="1" applyAlignment="1">
      <alignment horizontal="center" vertical="center" wrapText="1"/>
    </xf>
    <xf numFmtId="14" fontId="2" fillId="3" borderId="128" xfId="0" applyNumberFormat="1" applyFont="1" applyFill="1" applyBorder="1" applyAlignment="1">
      <alignment horizontal="center" vertical="center" wrapText="1"/>
    </xf>
    <xf numFmtId="0" fontId="2" fillId="3" borderId="81" xfId="0" applyFont="1" applyFill="1" applyBorder="1" applyAlignment="1">
      <alignment horizontal="center" vertical="center" wrapText="1"/>
    </xf>
    <xf numFmtId="0" fontId="2" fillId="2" borderId="38" xfId="0" applyFont="1" applyFill="1" applyBorder="1" applyAlignment="1">
      <alignment horizontal="center" vertical="center" wrapText="1"/>
    </xf>
    <xf numFmtId="14" fontId="2" fillId="3" borderId="38" xfId="0" applyNumberFormat="1" applyFont="1" applyFill="1" applyBorder="1" applyAlignment="1">
      <alignment horizontal="center" vertical="center" wrapText="1"/>
    </xf>
    <xf numFmtId="14" fontId="2" fillId="2" borderId="38" xfId="0" applyNumberFormat="1" applyFont="1" applyFill="1" applyBorder="1" applyAlignment="1">
      <alignment horizontal="center" vertical="center" wrapText="1"/>
    </xf>
    <xf numFmtId="168" fontId="8" fillId="5" borderId="103" xfId="0" applyNumberFormat="1" applyFont="1" applyFill="1" applyBorder="1" applyAlignment="1">
      <alignment horizontal="center" vertical="center" wrapText="1"/>
    </xf>
    <xf numFmtId="0" fontId="2" fillId="7" borderId="131" xfId="0" applyFont="1" applyFill="1" applyBorder="1" applyAlignment="1">
      <alignment horizontal="center" vertical="center" wrapText="1"/>
    </xf>
    <xf numFmtId="0" fontId="2" fillId="7" borderId="45" xfId="0" applyFont="1" applyFill="1" applyBorder="1" applyAlignment="1">
      <alignment horizontal="center" vertical="center" wrapText="1"/>
    </xf>
    <xf numFmtId="0" fontId="2" fillId="11" borderId="45" xfId="0" applyFont="1" applyFill="1" applyBorder="1" applyAlignment="1">
      <alignment horizontal="center" vertical="center" wrapText="1"/>
    </xf>
    <xf numFmtId="164" fontId="2" fillId="5" borderId="132" xfId="0" applyNumberFormat="1" applyFont="1" applyFill="1" applyBorder="1" applyAlignment="1">
      <alignment horizontal="center" vertical="center" wrapText="1"/>
    </xf>
    <xf numFmtId="0" fontId="2" fillId="5" borderId="23" xfId="0" applyFont="1" applyFill="1" applyBorder="1" applyAlignment="1">
      <alignment horizontal="center" vertical="center" wrapText="1"/>
    </xf>
    <xf numFmtId="14" fontId="2" fillId="5" borderId="23" xfId="0" applyNumberFormat="1" applyFont="1" applyFill="1" applyBorder="1" applyAlignment="1">
      <alignment horizontal="center" vertical="center" wrapText="1"/>
    </xf>
    <xf numFmtId="14" fontId="2" fillId="5" borderId="133" xfId="0" applyNumberFormat="1" applyFont="1" applyFill="1" applyBorder="1" applyAlignment="1">
      <alignment horizontal="center" vertical="center" wrapText="1"/>
    </xf>
    <xf numFmtId="14" fontId="2" fillId="5" borderId="134" xfId="0" applyNumberFormat="1" applyFont="1" applyFill="1" applyBorder="1" applyAlignment="1">
      <alignment horizontal="center" vertical="center" wrapText="1"/>
    </xf>
    <xf numFmtId="0" fontId="2" fillId="5" borderId="135" xfId="0" applyFont="1" applyFill="1" applyBorder="1" applyAlignment="1">
      <alignment horizontal="center" vertical="center" wrapText="1"/>
    </xf>
    <xf numFmtId="0" fontId="2" fillId="5" borderId="136" xfId="0" applyFont="1" applyFill="1" applyBorder="1" applyAlignment="1">
      <alignment horizontal="center" vertical="center" wrapText="1"/>
    </xf>
    <xf numFmtId="14" fontId="2" fillId="0" borderId="23" xfId="0" applyNumberFormat="1" applyFont="1" applyBorder="1" applyAlignment="1">
      <alignment horizontal="center" vertical="center" wrapText="1"/>
    </xf>
    <xf numFmtId="14" fontId="2" fillId="0" borderId="137" xfId="0" applyNumberFormat="1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138" xfId="0" applyFont="1" applyBorder="1" applyAlignment="1">
      <alignment horizontal="center" vertical="center" wrapText="1"/>
    </xf>
    <xf numFmtId="0" fontId="2" fillId="0" borderId="139" xfId="0" applyFont="1" applyBorder="1" applyAlignment="1">
      <alignment horizontal="center" vertical="center" wrapText="1"/>
    </xf>
    <xf numFmtId="0" fontId="2" fillId="0" borderId="25" xfId="0" applyFont="1" applyBorder="1" applyAlignment="1">
      <alignment wrapText="1"/>
    </xf>
    <xf numFmtId="0" fontId="2" fillId="0" borderId="45" xfId="0" applyFont="1" applyBorder="1" applyAlignment="1">
      <alignment vertical="top" wrapText="1"/>
    </xf>
    <xf numFmtId="0" fontId="2" fillId="0" borderId="81" xfId="0" applyFont="1" applyBorder="1" applyAlignment="1">
      <alignment wrapText="1"/>
    </xf>
    <xf numFmtId="0" fontId="5" fillId="0" borderId="84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21" xfId="0" applyFont="1" applyBorder="1" applyAlignment="1">
      <alignment wrapText="1"/>
    </xf>
    <xf numFmtId="14" fontId="5" fillId="0" borderId="21" xfId="0" applyNumberFormat="1" applyFont="1" applyBorder="1" applyAlignment="1">
      <alignment horizontal="center" vertical="center" wrapText="1"/>
    </xf>
    <xf numFmtId="168" fontId="4" fillId="0" borderId="42" xfId="0" applyNumberFormat="1" applyFont="1" applyBorder="1" applyAlignment="1">
      <alignment horizontal="center" vertical="center" wrapText="1"/>
    </xf>
    <xf numFmtId="0" fontId="5" fillId="7" borderId="118" xfId="0" applyFont="1" applyFill="1" applyBorder="1" applyAlignment="1">
      <alignment wrapText="1"/>
    </xf>
    <xf numFmtId="0" fontId="5" fillId="7" borderId="67" xfId="0" applyFont="1" applyFill="1" applyBorder="1" applyAlignment="1">
      <alignment wrapText="1"/>
    </xf>
    <xf numFmtId="0" fontId="5" fillId="11" borderId="67" xfId="0" applyFont="1" applyFill="1" applyBorder="1" applyAlignment="1">
      <alignment wrapText="1"/>
    </xf>
    <xf numFmtId="164" fontId="5" fillId="0" borderId="140" xfId="0" applyNumberFormat="1" applyFont="1" applyBorder="1" applyAlignment="1">
      <alignment horizontal="center" vertical="center" wrapText="1"/>
    </xf>
    <xf numFmtId="14" fontId="5" fillId="0" borderId="84" xfId="0" applyNumberFormat="1" applyFont="1" applyBorder="1" applyAlignment="1">
      <alignment horizontal="center" vertical="center" wrapText="1"/>
    </xf>
    <xf numFmtId="14" fontId="5" fillId="0" borderId="120" xfId="0" applyNumberFormat="1" applyFont="1" applyBorder="1" applyAlignment="1">
      <alignment horizontal="center" vertical="center" wrapText="1"/>
    </xf>
    <xf numFmtId="0" fontId="5" fillId="0" borderId="121" xfId="0" applyFont="1" applyBorder="1" applyAlignment="1">
      <alignment wrapText="1"/>
    </xf>
    <xf numFmtId="0" fontId="5" fillId="0" borderId="122" xfId="0" applyFont="1" applyBorder="1" applyAlignment="1">
      <alignment wrapText="1"/>
    </xf>
    <xf numFmtId="14" fontId="5" fillId="0" borderId="123" xfId="0" applyNumberFormat="1" applyFont="1" applyBorder="1" applyAlignment="1">
      <alignment horizontal="center" vertical="center" wrapText="1"/>
    </xf>
    <xf numFmtId="0" fontId="5" fillId="0" borderId="41" xfId="0" applyFont="1" applyBorder="1" applyAlignment="1">
      <alignment wrapText="1"/>
    </xf>
    <xf numFmtId="0" fontId="5" fillId="0" borderId="118" xfId="0" applyFont="1" applyBorder="1" applyAlignment="1">
      <alignment wrapText="1"/>
    </xf>
    <xf numFmtId="0" fontId="5" fillId="0" borderId="124" xfId="0" applyFont="1" applyBorder="1" applyAlignment="1">
      <alignment wrapText="1"/>
    </xf>
    <xf numFmtId="0" fontId="5" fillId="0" borderId="67" xfId="0" applyFont="1" applyBorder="1" applyAlignment="1">
      <alignment wrapText="1"/>
    </xf>
    <xf numFmtId="0" fontId="5" fillId="0" borderId="50" xfId="0" applyFont="1" applyBorder="1" applyAlignment="1">
      <alignment wrapText="1"/>
    </xf>
    <xf numFmtId="0" fontId="2" fillId="3" borderId="127" xfId="0" applyFont="1" applyFill="1" applyBorder="1" applyAlignment="1">
      <alignment horizontal="center" vertical="center" wrapText="1"/>
    </xf>
    <xf numFmtId="0" fontId="2" fillId="7" borderId="60" xfId="0" applyFont="1" applyFill="1" applyBorder="1" applyAlignment="1">
      <alignment wrapText="1"/>
    </xf>
    <xf numFmtId="0" fontId="2" fillId="7" borderId="19" xfId="0" applyFont="1" applyFill="1" applyBorder="1" applyAlignment="1">
      <alignment wrapText="1"/>
    </xf>
    <xf numFmtId="0" fontId="2" fillId="11" borderId="19" xfId="0" applyFont="1" applyFill="1" applyBorder="1" applyAlignment="1">
      <alignment wrapText="1"/>
    </xf>
    <xf numFmtId="0" fontId="2" fillId="3" borderId="95" xfId="0" applyFont="1" applyFill="1" applyBorder="1" applyAlignment="1">
      <alignment wrapText="1"/>
    </xf>
    <xf numFmtId="0" fontId="2" fillId="3" borderId="22" xfId="0" applyFont="1" applyFill="1" applyBorder="1" applyAlignment="1">
      <alignment wrapText="1"/>
    </xf>
    <xf numFmtId="168" fontId="8" fillId="3" borderId="43" xfId="0" applyNumberFormat="1" applyFont="1" applyFill="1" applyBorder="1" applyAlignment="1">
      <alignment wrapText="1"/>
    </xf>
    <xf numFmtId="0" fontId="2" fillId="0" borderId="95" xfId="0" applyFont="1" applyBorder="1" applyAlignment="1">
      <alignment wrapText="1"/>
    </xf>
    <xf numFmtId="0" fontId="2" fillId="0" borderId="19" xfId="0" applyFont="1" applyBorder="1" applyAlignment="1">
      <alignment horizontal="left" vertical="center" wrapText="1"/>
    </xf>
    <xf numFmtId="0" fontId="2" fillId="3" borderId="133" xfId="0" applyFont="1" applyFill="1" applyBorder="1" applyAlignment="1">
      <alignment horizontal="center" vertical="center" wrapText="1"/>
    </xf>
    <xf numFmtId="0" fontId="2" fillId="3" borderId="23" xfId="0" applyFont="1" applyFill="1" applyBorder="1" applyAlignment="1">
      <alignment wrapText="1"/>
    </xf>
    <xf numFmtId="14" fontId="2" fillId="3" borderId="23" xfId="0" applyNumberFormat="1" applyFont="1" applyFill="1" applyBorder="1" applyAlignment="1">
      <alignment horizontal="center" vertical="center" wrapText="1"/>
    </xf>
    <xf numFmtId="168" fontId="8" fillId="3" borderId="141" xfId="0" applyNumberFormat="1" applyFont="1" applyFill="1" applyBorder="1" applyAlignment="1">
      <alignment wrapText="1"/>
    </xf>
    <xf numFmtId="0" fontId="2" fillId="7" borderId="138" xfId="0" applyFont="1" applyFill="1" applyBorder="1" applyAlignment="1">
      <alignment wrapText="1"/>
    </xf>
    <xf numFmtId="0" fontId="2" fillId="7" borderId="20" xfId="0" applyFont="1" applyFill="1" applyBorder="1" applyAlignment="1">
      <alignment wrapText="1"/>
    </xf>
    <xf numFmtId="0" fontId="2" fillId="11" borderId="20" xfId="0" applyFont="1" applyFill="1" applyBorder="1" applyAlignment="1">
      <alignment wrapText="1"/>
    </xf>
    <xf numFmtId="164" fontId="2" fillId="3" borderId="132" xfId="0" applyNumberFormat="1" applyFont="1" applyFill="1" applyBorder="1" applyAlignment="1">
      <alignment horizontal="center" vertical="center" wrapText="1"/>
    </xf>
    <xf numFmtId="14" fontId="2" fillId="3" borderId="133" xfId="0" applyNumberFormat="1" applyFont="1" applyFill="1" applyBorder="1" applyAlignment="1">
      <alignment horizontal="center" vertical="center" wrapText="1"/>
    </xf>
    <xf numFmtId="14" fontId="2" fillId="3" borderId="134" xfId="0" applyNumberFormat="1" applyFont="1" applyFill="1" applyBorder="1" applyAlignment="1">
      <alignment horizontal="center" vertical="center" wrapText="1"/>
    </xf>
    <xf numFmtId="0" fontId="2" fillId="3" borderId="135" xfId="0" applyFont="1" applyFill="1" applyBorder="1" applyAlignment="1">
      <alignment wrapText="1"/>
    </xf>
    <xf numFmtId="0" fontId="2" fillId="3" borderId="136" xfId="0" applyFont="1" applyFill="1" applyBorder="1" applyAlignment="1">
      <alignment horizontal="center" vertical="center" wrapText="1"/>
    </xf>
    <xf numFmtId="0" fontId="2" fillId="0" borderId="138" xfId="0" applyFont="1" applyBorder="1" applyAlignment="1">
      <alignment wrapText="1"/>
    </xf>
    <xf numFmtId="0" fontId="2" fillId="0" borderId="139" xfId="0" applyFont="1" applyBorder="1" applyAlignment="1">
      <alignment wrapText="1"/>
    </xf>
    <xf numFmtId="0" fontId="2" fillId="3" borderId="21" xfId="0" applyFont="1" applyFill="1" applyBorder="1" applyAlignment="1">
      <alignment wrapText="1"/>
    </xf>
    <xf numFmtId="168" fontId="8" fillId="3" borderId="42" xfId="0" applyNumberFormat="1" applyFont="1" applyFill="1" applyBorder="1" applyAlignment="1">
      <alignment horizontal="center" vertical="center" wrapText="1"/>
    </xf>
    <xf numFmtId="0" fontId="2" fillId="7" borderId="118" xfId="0" applyFont="1" applyFill="1" applyBorder="1" applyAlignment="1">
      <alignment wrapText="1"/>
    </xf>
    <xf numFmtId="0" fontId="2" fillId="7" borderId="67" xfId="0" applyFont="1" applyFill="1" applyBorder="1" applyAlignment="1">
      <alignment wrapText="1"/>
    </xf>
    <xf numFmtId="0" fontId="2" fillId="11" borderId="67" xfId="0" applyFont="1" applyFill="1" applyBorder="1" applyAlignment="1">
      <alignment wrapText="1"/>
    </xf>
    <xf numFmtId="164" fontId="2" fillId="5" borderId="140" xfId="0" applyNumberFormat="1" applyFont="1" applyFill="1" applyBorder="1" applyAlignment="1">
      <alignment horizontal="center" vertical="center" wrapText="1"/>
    </xf>
    <xf numFmtId="0" fontId="2" fillId="5" borderId="21" xfId="0" applyFont="1" applyFill="1" applyBorder="1" applyAlignment="1">
      <alignment horizontal="center" vertical="center" wrapText="1"/>
    </xf>
    <xf numFmtId="14" fontId="2" fillId="5" borderId="21" xfId="0" applyNumberFormat="1" applyFont="1" applyFill="1" applyBorder="1" applyAlignment="1">
      <alignment horizontal="center" vertical="center" wrapText="1"/>
    </xf>
    <xf numFmtId="14" fontId="2" fillId="0" borderId="84" xfId="0" applyNumberFormat="1" applyFont="1" applyBorder="1" applyAlignment="1">
      <alignment horizontal="center" vertical="center" wrapText="1"/>
    </xf>
    <xf numFmtId="14" fontId="12" fillId="0" borderId="84" xfId="0" applyNumberFormat="1" applyFont="1" applyBorder="1" applyAlignment="1">
      <alignment horizontal="center" vertical="center" wrapText="1"/>
    </xf>
    <xf numFmtId="14" fontId="2" fillId="0" borderId="120" xfId="0" applyNumberFormat="1" applyFont="1" applyBorder="1" applyAlignment="1">
      <alignment horizontal="center" vertical="center" wrapText="1"/>
    </xf>
    <xf numFmtId="0" fontId="2" fillId="0" borderId="121" xfId="0" applyFont="1" applyBorder="1" applyAlignment="1">
      <alignment wrapText="1"/>
    </xf>
    <xf numFmtId="0" fontId="2" fillId="0" borderId="122" xfId="0" applyFont="1" applyBorder="1" applyAlignment="1">
      <alignment wrapText="1"/>
    </xf>
    <xf numFmtId="0" fontId="2" fillId="0" borderId="21" xfId="0" applyFont="1" applyBorder="1" applyAlignment="1">
      <alignment wrapText="1"/>
    </xf>
    <xf numFmtId="14" fontId="2" fillId="0" borderId="21" xfId="0" applyNumberFormat="1" applyFont="1" applyBorder="1" applyAlignment="1">
      <alignment horizontal="center" vertical="center" wrapText="1"/>
    </xf>
    <xf numFmtId="14" fontId="2" fillId="0" borderId="123" xfId="0" applyNumberFormat="1" applyFont="1" applyBorder="1" applyAlignment="1">
      <alignment horizontal="center" vertical="center" wrapText="1"/>
    </xf>
    <xf numFmtId="0" fontId="2" fillId="0" borderId="118" xfId="0" applyFont="1" applyBorder="1" applyAlignment="1">
      <alignment wrapText="1"/>
    </xf>
    <xf numFmtId="0" fontId="2" fillId="0" borderId="124" xfId="0" applyFont="1" applyBorder="1" applyAlignment="1">
      <alignment wrapText="1"/>
    </xf>
    <xf numFmtId="14" fontId="2" fillId="2" borderId="22" xfId="0" applyNumberFormat="1" applyFont="1" applyFill="1" applyBorder="1" applyAlignment="1">
      <alignment horizontal="center" vertical="center" wrapText="1"/>
    </xf>
    <xf numFmtId="168" fontId="8" fillId="2" borderId="43" xfId="0" applyNumberFormat="1" applyFont="1" applyFill="1" applyBorder="1" applyAlignment="1">
      <alignment horizontal="center" vertical="center" wrapText="1"/>
    </xf>
    <xf numFmtId="14" fontId="12" fillId="0" borderId="127" xfId="0" applyNumberFormat="1" applyFont="1" applyBorder="1" applyAlignment="1">
      <alignment horizontal="center" vertical="center" wrapText="1"/>
    </xf>
    <xf numFmtId="14" fontId="2" fillId="4" borderId="127" xfId="0" applyNumberFormat="1" applyFont="1" applyFill="1" applyBorder="1" applyAlignment="1">
      <alignment horizontal="center" vertical="center" wrapText="1"/>
    </xf>
    <xf numFmtId="14" fontId="2" fillId="0" borderId="128" xfId="0" applyNumberFormat="1" applyFont="1" applyBorder="1" applyAlignment="1">
      <alignment horizontal="center" vertical="center" wrapText="1"/>
    </xf>
    <xf numFmtId="0" fontId="2" fillId="2" borderId="129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wrapText="1"/>
    </xf>
    <xf numFmtId="168" fontId="8" fillId="0" borderId="43" xfId="0" applyNumberFormat="1" applyFont="1" applyBorder="1" applyAlignment="1">
      <alignment wrapText="1"/>
    </xf>
    <xf numFmtId="164" fontId="2" fillId="0" borderId="126" xfId="0" applyNumberFormat="1" applyFont="1" applyBorder="1" applyAlignment="1">
      <alignment horizontal="center" vertical="center" wrapText="1"/>
    </xf>
    <xf numFmtId="0" fontId="2" fillId="0" borderId="129" xfId="0" applyFont="1" applyBorder="1" applyAlignment="1">
      <alignment horizontal="center" vertical="center" wrapText="1"/>
    </xf>
    <xf numFmtId="14" fontId="2" fillId="3" borderId="0" xfId="0" applyNumberFormat="1" applyFont="1" applyFill="1" applyAlignment="1">
      <alignment horizontal="center" vertical="center" wrapText="1"/>
    </xf>
    <xf numFmtId="164" fontId="2" fillId="3" borderId="22" xfId="0" applyNumberFormat="1" applyFont="1" applyFill="1" applyBorder="1" applyAlignment="1">
      <alignment horizontal="center" vertical="center" wrapText="1"/>
    </xf>
    <xf numFmtId="14" fontId="2" fillId="4" borderId="133" xfId="0" applyNumberFormat="1" applyFont="1" applyFill="1" applyBorder="1" applyAlignment="1">
      <alignment horizontal="center" vertical="center" wrapText="1"/>
    </xf>
    <xf numFmtId="14" fontId="2" fillId="0" borderId="113" xfId="0" applyNumberFormat="1" applyFont="1" applyBorder="1" applyAlignment="1">
      <alignment horizontal="center" vertical="center" wrapText="1"/>
    </xf>
    <xf numFmtId="0" fontId="2" fillId="0" borderId="133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168" fontId="8" fillId="0" borderId="141" xfId="0" applyNumberFormat="1" applyFont="1" applyBorder="1" applyAlignment="1">
      <alignment wrapText="1"/>
    </xf>
    <xf numFmtId="164" fontId="2" fillId="0" borderId="132" xfId="0" applyNumberFormat="1" applyFont="1" applyBorder="1" applyAlignment="1">
      <alignment horizontal="center" vertical="center" wrapText="1"/>
    </xf>
    <xf numFmtId="14" fontId="2" fillId="0" borderId="134" xfId="0" applyNumberFormat="1" applyFont="1" applyBorder="1" applyAlignment="1">
      <alignment horizontal="center" vertical="center" wrapText="1"/>
    </xf>
    <xf numFmtId="0" fontId="2" fillId="0" borderId="135" xfId="0" applyFont="1" applyBorder="1" applyAlignment="1">
      <alignment wrapText="1"/>
    </xf>
    <xf numFmtId="164" fontId="2" fillId="3" borderId="140" xfId="0" applyNumberFormat="1" applyFont="1" applyFill="1" applyBorder="1" applyAlignment="1">
      <alignment horizontal="center" vertical="center" wrapText="1"/>
    </xf>
    <xf numFmtId="14" fontId="2" fillId="3" borderId="142" xfId="0" applyNumberFormat="1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14" fontId="2" fillId="5" borderId="127" xfId="0" applyNumberFormat="1" applyFont="1" applyFill="1" applyBorder="1" applyAlignment="1">
      <alignment horizontal="center" vertical="center" wrapText="1"/>
    </xf>
    <xf numFmtId="168" fontId="8" fillId="5" borderId="56" xfId="0" applyNumberFormat="1" applyFont="1" applyFill="1" applyBorder="1" applyAlignment="1">
      <alignment horizontal="center" vertical="center" wrapText="1"/>
    </xf>
    <xf numFmtId="14" fontId="2" fillId="5" borderId="22" xfId="0" applyNumberFormat="1" applyFont="1" applyFill="1" applyBorder="1" applyAlignment="1">
      <alignment horizontal="center" vertical="center" wrapText="1"/>
    </xf>
    <xf numFmtId="14" fontId="2" fillId="4" borderId="22" xfId="0" applyNumberFormat="1" applyFont="1" applyFill="1" applyBorder="1" applyAlignment="1">
      <alignment horizontal="center" vertical="center" wrapText="1"/>
    </xf>
    <xf numFmtId="14" fontId="2" fillId="5" borderId="143" xfId="0" applyNumberFormat="1" applyFont="1" applyFill="1" applyBorder="1" applyAlignment="1">
      <alignment horizontal="center" vertical="center" wrapText="1"/>
    </xf>
    <xf numFmtId="164" fontId="2" fillId="7" borderId="60" xfId="0" applyNumberFormat="1" applyFont="1" applyFill="1" applyBorder="1" applyAlignment="1">
      <alignment horizontal="center" vertical="center" wrapText="1"/>
    </xf>
    <xf numFmtId="0" fontId="2" fillId="7" borderId="19" xfId="0" applyFont="1" applyFill="1" applyBorder="1" applyAlignment="1">
      <alignment horizontal="center" vertical="center" wrapText="1"/>
    </xf>
    <xf numFmtId="0" fontId="2" fillId="5" borderId="129" xfId="0" applyFont="1" applyFill="1" applyBorder="1" applyAlignment="1">
      <alignment horizontal="center" vertical="center" wrapText="1"/>
    </xf>
    <xf numFmtId="164" fontId="8" fillId="3" borderId="43" xfId="0" applyNumberFormat="1" applyFont="1" applyFill="1" applyBorder="1" applyAlignment="1">
      <alignment horizontal="center" vertical="center" wrapText="1"/>
    </xf>
    <xf numFmtId="14" fontId="2" fillId="2" borderId="127" xfId="0" applyNumberFormat="1" applyFont="1" applyFill="1" applyBorder="1" applyAlignment="1">
      <alignment horizontal="center" vertical="center" wrapText="1"/>
    </xf>
    <xf numFmtId="14" fontId="2" fillId="3" borderId="143" xfId="0" applyNumberFormat="1" applyFont="1" applyFill="1" applyBorder="1" applyAlignment="1">
      <alignment horizontal="center" vertical="center" wrapText="1"/>
    </xf>
    <xf numFmtId="0" fontId="5" fillId="3" borderId="23" xfId="0" applyFont="1" applyFill="1" applyBorder="1" applyAlignment="1">
      <alignment horizontal="center" vertical="center" wrapText="1"/>
    </xf>
    <xf numFmtId="14" fontId="2" fillId="4" borderId="23" xfId="0" applyNumberFormat="1" applyFont="1" applyFill="1" applyBorder="1" applyAlignment="1">
      <alignment horizontal="center" vertical="center" wrapText="1"/>
    </xf>
    <xf numFmtId="14" fontId="13" fillId="4" borderId="82" xfId="0" applyNumberFormat="1" applyFont="1" applyFill="1" applyBorder="1" applyAlignment="1">
      <alignment horizontal="center" vertical="center" wrapText="1"/>
    </xf>
    <xf numFmtId="14" fontId="2" fillId="5" borderId="84" xfId="0" applyNumberFormat="1" applyFont="1" applyFill="1" applyBorder="1" applyAlignment="1">
      <alignment horizontal="center" vertical="center" wrapText="1"/>
    </xf>
    <xf numFmtId="14" fontId="2" fillId="5" borderId="125" xfId="0" applyNumberFormat="1" applyFont="1" applyFill="1" applyBorder="1" applyAlignment="1">
      <alignment horizontal="center" vertical="center" wrapText="1"/>
    </xf>
    <xf numFmtId="14" fontId="2" fillId="5" borderId="120" xfId="0" applyNumberFormat="1" applyFont="1" applyFill="1" applyBorder="1" applyAlignment="1">
      <alignment horizontal="center" vertical="center" wrapText="1"/>
    </xf>
    <xf numFmtId="14" fontId="2" fillId="4" borderId="1" xfId="0" applyNumberFormat="1" applyFont="1" applyFill="1" applyBorder="1" applyAlignment="1">
      <alignment horizontal="center" vertical="center" wrapText="1"/>
    </xf>
    <xf numFmtId="14" fontId="2" fillId="2" borderId="125" xfId="0" applyNumberFormat="1" applyFont="1" applyFill="1" applyBorder="1" applyAlignment="1">
      <alignment horizontal="center" vertical="center" wrapText="1"/>
    </xf>
    <xf numFmtId="0" fontId="2" fillId="0" borderId="113" xfId="0" applyFont="1" applyBorder="1" applyAlignment="1">
      <alignment horizontal="center" vertical="center" wrapText="1"/>
    </xf>
    <xf numFmtId="14" fontId="2" fillId="3" borderId="39" xfId="0" applyNumberFormat="1" applyFont="1" applyFill="1" applyBorder="1" applyAlignment="1">
      <alignment horizontal="center" vertical="center" wrapText="1"/>
    </xf>
    <xf numFmtId="168" fontId="8" fillId="3" borderId="57" xfId="0" applyNumberFormat="1" applyFont="1" applyFill="1" applyBorder="1" applyAlignment="1">
      <alignment horizontal="center" vertical="center" wrapText="1"/>
    </xf>
    <xf numFmtId="0" fontId="2" fillId="7" borderId="75" xfId="0" applyFont="1" applyFill="1" applyBorder="1" applyAlignment="1">
      <alignment wrapText="1"/>
    </xf>
    <xf numFmtId="0" fontId="2" fillId="7" borderId="58" xfId="0" applyFont="1" applyFill="1" applyBorder="1" applyAlignment="1">
      <alignment wrapText="1"/>
    </xf>
    <xf numFmtId="0" fontId="2" fillId="11" borderId="58" xfId="0" applyFont="1" applyFill="1" applyBorder="1" applyAlignment="1">
      <alignment wrapText="1"/>
    </xf>
    <xf numFmtId="164" fontId="2" fillId="0" borderId="112" xfId="0" applyNumberFormat="1" applyFont="1" applyBorder="1" applyAlignment="1">
      <alignment horizontal="center" vertical="center" wrapText="1"/>
    </xf>
    <xf numFmtId="14" fontId="2" fillId="0" borderId="39" xfId="0" applyNumberFormat="1" applyFont="1" applyBorder="1" applyAlignment="1">
      <alignment horizontal="center" vertical="center" wrapText="1"/>
    </xf>
    <xf numFmtId="14" fontId="2" fillId="0" borderId="82" xfId="0" applyNumberFormat="1" applyFont="1" applyBorder="1" applyAlignment="1">
      <alignment horizontal="center" vertical="center" wrapText="1"/>
    </xf>
    <xf numFmtId="14" fontId="2" fillId="2" borderId="82" xfId="0" applyNumberFormat="1" applyFont="1" applyFill="1" applyBorder="1" applyAlignment="1">
      <alignment horizontal="center" vertical="center" wrapText="1"/>
    </xf>
    <xf numFmtId="14" fontId="2" fillId="0" borderId="114" xfId="0" applyNumberFormat="1" applyFont="1" applyBorder="1" applyAlignment="1">
      <alignment horizontal="center" vertical="center" wrapText="1"/>
    </xf>
    <xf numFmtId="0" fontId="2" fillId="0" borderId="115" xfId="0" applyFont="1" applyBorder="1" applyAlignment="1">
      <alignment horizontal="center" vertical="center" wrapText="1"/>
    </xf>
    <xf numFmtId="0" fontId="2" fillId="0" borderId="39" xfId="0" applyFont="1" applyBorder="1" applyAlignment="1">
      <alignment wrapText="1"/>
    </xf>
    <xf numFmtId="14" fontId="2" fillId="0" borderId="116" xfId="0" applyNumberFormat="1" applyFont="1" applyBorder="1" applyAlignment="1">
      <alignment horizontal="center" vertical="center" wrapText="1"/>
    </xf>
    <xf numFmtId="0" fontId="2" fillId="0" borderId="75" xfId="0" applyFont="1" applyBorder="1" applyAlignment="1">
      <alignment wrapText="1"/>
    </xf>
    <xf numFmtId="0" fontId="2" fillId="0" borderId="59" xfId="0" applyFont="1" applyBorder="1" applyAlignment="1">
      <alignment wrapText="1"/>
    </xf>
    <xf numFmtId="0" fontId="2" fillId="0" borderId="58" xfId="0" applyFont="1" applyBorder="1" applyAlignment="1">
      <alignment vertical="top" wrapText="1"/>
    </xf>
    <xf numFmtId="14" fontId="2" fillId="3" borderId="82" xfId="0" applyNumberFormat="1" applyFont="1" applyFill="1" applyBorder="1" applyAlignment="1">
      <alignment horizontal="center" vertical="center" wrapText="1"/>
    </xf>
    <xf numFmtId="14" fontId="2" fillId="4" borderId="82" xfId="0" applyNumberFormat="1" applyFont="1" applyFill="1" applyBorder="1" applyAlignment="1">
      <alignment horizontal="center" vertical="center" wrapText="1"/>
    </xf>
    <xf numFmtId="14" fontId="2" fillId="4" borderId="134" xfId="0" applyNumberFormat="1" applyFont="1" applyFill="1" applyBorder="1" applyAlignment="1">
      <alignment horizontal="center" vertical="center" wrapText="1"/>
    </xf>
    <xf numFmtId="0" fontId="2" fillId="3" borderId="60" xfId="0" applyFont="1" applyFill="1" applyBorder="1" applyAlignment="1">
      <alignment wrapText="1"/>
    </xf>
    <xf numFmtId="0" fontId="2" fillId="3" borderId="19" xfId="0" applyFont="1" applyFill="1" applyBorder="1" applyAlignment="1">
      <alignment wrapText="1"/>
    </xf>
    <xf numFmtId="0" fontId="2" fillId="3" borderId="0" xfId="0" applyFont="1" applyFill="1" applyAlignment="1">
      <alignment horizontal="center" vertical="center" wrapText="1"/>
    </xf>
    <xf numFmtId="14" fontId="2" fillId="3" borderId="130" xfId="0" applyNumberFormat="1" applyFont="1" applyFill="1" applyBorder="1" applyAlignment="1">
      <alignment horizontal="center" vertical="center" wrapText="1"/>
    </xf>
    <xf numFmtId="0" fontId="2" fillId="3" borderId="0" xfId="0" applyFont="1" applyFill="1" applyAlignment="1">
      <alignment wrapText="1"/>
    </xf>
    <xf numFmtId="0" fontId="2" fillId="3" borderId="56" xfId="0" applyFont="1" applyFill="1" applyBorder="1" applyAlignment="1">
      <alignment wrapText="1"/>
    </xf>
    <xf numFmtId="0" fontId="0" fillId="3" borderId="0" xfId="0" applyFill="1" applyAlignment="1">
      <alignment wrapText="1"/>
    </xf>
    <xf numFmtId="0" fontId="2" fillId="3" borderId="48" xfId="0" applyFont="1" applyFill="1" applyBorder="1" applyAlignment="1">
      <alignment wrapText="1"/>
    </xf>
    <xf numFmtId="14" fontId="2" fillId="2" borderId="133" xfId="0" applyNumberFormat="1" applyFont="1" applyFill="1" applyBorder="1" applyAlignment="1">
      <alignment horizontal="center" vertical="center" wrapText="1"/>
    </xf>
    <xf numFmtId="0" fontId="2" fillId="0" borderId="84" xfId="0" applyFont="1" applyBorder="1" applyAlignment="1">
      <alignment horizontal="center" vertical="center" wrapText="1"/>
    </xf>
    <xf numFmtId="168" fontId="8" fillId="0" borderId="42" xfId="0" applyNumberFormat="1" applyFont="1" applyBorder="1" applyAlignment="1">
      <alignment wrapText="1"/>
    </xf>
    <xf numFmtId="0" fontId="2" fillId="0" borderId="140" xfId="0" applyFont="1" applyBorder="1" applyAlignment="1">
      <alignment wrapText="1"/>
    </xf>
    <xf numFmtId="0" fontId="2" fillId="0" borderId="67" xfId="0" applyFont="1" applyBorder="1" applyAlignment="1">
      <alignment horizontal="left" vertical="center" wrapText="1"/>
    </xf>
    <xf numFmtId="0" fontId="2" fillId="0" borderId="126" xfId="0" applyFont="1" applyBorder="1" applyAlignment="1">
      <alignment wrapText="1"/>
    </xf>
    <xf numFmtId="0" fontId="2" fillId="0" borderId="132" xfId="0" applyFont="1" applyBorder="1" applyAlignment="1">
      <alignment wrapText="1"/>
    </xf>
    <xf numFmtId="14" fontId="2" fillId="0" borderId="133" xfId="0" applyNumberFormat="1" applyFont="1" applyBorder="1" applyAlignment="1">
      <alignment horizontal="center" vertical="center" wrapText="1"/>
    </xf>
    <xf numFmtId="0" fontId="2" fillId="3" borderId="140" xfId="0" applyFont="1" applyFill="1" applyBorder="1" applyAlignment="1">
      <alignment wrapText="1"/>
    </xf>
    <xf numFmtId="14" fontId="5" fillId="2" borderId="127" xfId="0" applyNumberFormat="1" applyFont="1" applyFill="1" applyBorder="1" applyAlignment="1">
      <alignment horizontal="center" vertical="center" wrapText="1"/>
    </xf>
    <xf numFmtId="0" fontId="2" fillId="3" borderId="126" xfId="0" applyFont="1" applyFill="1" applyBorder="1" applyAlignment="1">
      <alignment wrapText="1"/>
    </xf>
    <xf numFmtId="0" fontId="2" fillId="2" borderId="127" xfId="0" applyFont="1" applyFill="1" applyBorder="1" applyAlignment="1">
      <alignment horizontal="center" vertical="center" wrapText="1"/>
    </xf>
    <xf numFmtId="168" fontId="8" fillId="0" borderId="43" xfId="0" applyNumberFormat="1" applyFont="1" applyBorder="1" applyAlignment="1">
      <alignment horizontal="center" vertical="center" wrapText="1"/>
    </xf>
    <xf numFmtId="168" fontId="8" fillId="0" borderId="57" xfId="0" applyNumberFormat="1" applyFont="1" applyBorder="1" applyAlignment="1">
      <alignment horizontal="center" vertical="center" wrapText="1"/>
    </xf>
    <xf numFmtId="0" fontId="2" fillId="0" borderId="112" xfId="0" applyFont="1" applyBorder="1" applyAlignment="1">
      <alignment wrapText="1"/>
    </xf>
    <xf numFmtId="14" fontId="2" fillId="4" borderId="113" xfId="0" applyNumberFormat="1" applyFont="1" applyFill="1" applyBorder="1" applyAlignment="1">
      <alignment horizontal="center" vertical="center" wrapText="1"/>
    </xf>
    <xf numFmtId="0" fontId="2" fillId="3" borderId="138" xfId="0" applyFont="1" applyFill="1" applyBorder="1" applyAlignment="1">
      <alignment wrapText="1"/>
    </xf>
    <xf numFmtId="0" fontId="2" fillId="3" borderId="20" xfId="0" applyFont="1" applyFill="1" applyBorder="1" applyAlignment="1">
      <alignment wrapText="1"/>
    </xf>
    <xf numFmtId="0" fontId="2" fillId="3" borderId="132" xfId="0" applyFont="1" applyFill="1" applyBorder="1" applyAlignment="1">
      <alignment wrapText="1"/>
    </xf>
    <xf numFmtId="14" fontId="2" fillId="3" borderId="137" xfId="0" applyNumberFormat="1" applyFont="1" applyFill="1" applyBorder="1" applyAlignment="1">
      <alignment horizontal="center" vertical="center" wrapText="1"/>
    </xf>
    <xf numFmtId="0" fontId="2" fillId="3" borderId="25" xfId="0" applyFont="1" applyFill="1" applyBorder="1" applyAlignment="1">
      <alignment wrapText="1"/>
    </xf>
    <xf numFmtId="0" fontId="2" fillId="3" borderId="139" xfId="0" applyFont="1" applyFill="1" applyBorder="1" applyAlignment="1">
      <alignment wrapText="1"/>
    </xf>
    <xf numFmtId="0" fontId="2" fillId="3" borderId="20" xfId="0" applyFont="1" applyFill="1" applyBorder="1" applyAlignment="1">
      <alignment vertical="top" wrapText="1"/>
    </xf>
    <xf numFmtId="0" fontId="2" fillId="3" borderId="81" xfId="0" applyFont="1" applyFill="1" applyBorder="1" applyAlignment="1">
      <alignment wrapText="1"/>
    </xf>
    <xf numFmtId="14" fontId="2" fillId="0" borderId="144" xfId="0" applyNumberFormat="1" applyFont="1" applyBorder="1" applyAlignment="1">
      <alignment horizontal="center" vertical="center" wrapText="1"/>
    </xf>
    <xf numFmtId="0" fontId="2" fillId="0" borderId="67" xfId="0" applyFont="1" applyBorder="1" applyAlignment="1">
      <alignment wrapText="1"/>
    </xf>
    <xf numFmtId="0" fontId="5" fillId="2" borderId="22" xfId="0" applyFont="1" applyFill="1" applyBorder="1" applyAlignment="1">
      <alignment horizontal="center" vertical="center" wrapText="1"/>
    </xf>
    <xf numFmtId="0" fontId="2" fillId="0" borderId="130" xfId="0" applyFont="1" applyBorder="1" applyAlignment="1">
      <alignment horizontal="center" vertical="center" wrapText="1"/>
    </xf>
    <xf numFmtId="0" fontId="2" fillId="3" borderId="130" xfId="0" applyFont="1" applyFill="1" applyBorder="1" applyAlignment="1">
      <alignment horizontal="center" vertical="center" wrapText="1"/>
    </xf>
    <xf numFmtId="0" fontId="2" fillId="0" borderId="137" xfId="0" applyFont="1" applyBorder="1" applyAlignment="1">
      <alignment horizontal="center" vertical="center" wrapText="1"/>
    </xf>
    <xf numFmtId="0" fontId="2" fillId="0" borderId="76" xfId="0" applyFont="1" applyBorder="1" applyAlignment="1">
      <alignment horizontal="center" vertical="center" wrapText="1"/>
    </xf>
    <xf numFmtId="14" fontId="2" fillId="0" borderId="54" xfId="0" applyNumberFormat="1" applyFont="1" applyBorder="1" applyAlignment="1">
      <alignment wrapText="1"/>
    </xf>
    <xf numFmtId="168" fontId="8" fillId="0" borderId="77" xfId="0" applyNumberFormat="1" applyFont="1" applyBorder="1" applyAlignment="1">
      <alignment wrapText="1"/>
    </xf>
    <xf numFmtId="0" fontId="2" fillId="7" borderId="78" xfId="0" applyFont="1" applyFill="1" applyBorder="1" applyAlignment="1">
      <alignment wrapText="1"/>
    </xf>
    <xf numFmtId="0" fontId="2" fillId="7" borderId="18" xfId="0" applyFont="1" applyFill="1" applyBorder="1" applyAlignment="1">
      <alignment wrapText="1"/>
    </xf>
    <xf numFmtId="0" fontId="2" fillId="11" borderId="18" xfId="0" applyFont="1" applyFill="1" applyBorder="1" applyAlignment="1">
      <alignment wrapText="1"/>
    </xf>
    <xf numFmtId="0" fontId="2" fillId="0" borderId="145" xfId="0" applyFont="1" applyBorder="1" applyAlignment="1">
      <alignment wrapText="1"/>
    </xf>
    <xf numFmtId="0" fontId="2" fillId="0" borderId="125" xfId="0" applyFont="1" applyBorder="1" applyAlignment="1">
      <alignment horizontal="center" vertical="center" wrapText="1"/>
    </xf>
    <xf numFmtId="0" fontId="2" fillId="0" borderId="146" xfId="0" applyFont="1" applyBorder="1" applyAlignment="1">
      <alignment horizontal="center" vertical="center" wrapText="1"/>
    </xf>
    <xf numFmtId="0" fontId="2" fillId="0" borderId="108" xfId="0" applyFont="1" applyBorder="1" applyAlignment="1">
      <alignment wrapText="1"/>
    </xf>
    <xf numFmtId="0" fontId="2" fillId="0" borderId="78" xfId="0" applyFont="1" applyBorder="1" applyAlignment="1">
      <alignment wrapText="1"/>
    </xf>
    <xf numFmtId="0" fontId="2" fillId="0" borderId="55" xfId="0" applyFont="1" applyBorder="1" applyAlignment="1">
      <alignment wrapText="1"/>
    </xf>
    <xf numFmtId="14" fontId="2" fillId="0" borderId="22" xfId="0" applyNumberFormat="1" applyFont="1" applyBorder="1" applyAlignment="1">
      <alignment wrapText="1"/>
    </xf>
    <xf numFmtId="0" fontId="2" fillId="0" borderId="128" xfId="0" applyFont="1" applyBorder="1" applyAlignment="1">
      <alignment horizontal="center" vertical="center" wrapText="1"/>
    </xf>
    <xf numFmtId="0" fontId="2" fillId="0" borderId="129" xfId="0" applyFont="1" applyBorder="1" applyAlignment="1">
      <alignment wrapText="1"/>
    </xf>
    <xf numFmtId="14" fontId="2" fillId="0" borderId="40" xfId="0" applyNumberFormat="1" applyFont="1" applyBorder="1" applyAlignment="1">
      <alignment wrapText="1"/>
    </xf>
    <xf numFmtId="14" fontId="2" fillId="0" borderId="40" xfId="0" applyNumberFormat="1" applyFont="1" applyBorder="1" applyAlignment="1">
      <alignment horizontal="center" vertical="center" wrapText="1"/>
    </xf>
    <xf numFmtId="168" fontId="8" fillId="0" borderId="61" xfId="0" applyNumberFormat="1" applyFont="1" applyBorder="1" applyAlignment="1">
      <alignment wrapText="1"/>
    </xf>
    <xf numFmtId="0" fontId="2" fillId="0" borderId="148" xfId="0" applyFont="1" applyBorder="1" applyAlignment="1">
      <alignment wrapText="1"/>
    </xf>
    <xf numFmtId="0" fontId="2" fillId="0" borderId="151" xfId="0" applyFont="1" applyBorder="1" applyAlignment="1">
      <alignment horizontal="center" vertical="center" wrapText="1"/>
    </xf>
    <xf numFmtId="0" fontId="2" fillId="0" borderId="152" xfId="0" applyFont="1" applyBorder="1" applyAlignment="1">
      <alignment wrapText="1"/>
    </xf>
    <xf numFmtId="0" fontId="2" fillId="0" borderId="153" xfId="0" applyFont="1" applyBorder="1" applyAlignment="1">
      <alignment wrapText="1"/>
    </xf>
    <xf numFmtId="0" fontId="2" fillId="0" borderId="153" xfId="0" applyFont="1" applyBorder="1" applyAlignment="1">
      <alignment horizontal="center" vertical="center" wrapText="1"/>
    </xf>
    <xf numFmtId="0" fontId="2" fillId="0" borderId="154" xfId="0" applyFont="1" applyBorder="1" applyAlignment="1">
      <alignment horizontal="center" vertical="center" wrapText="1"/>
    </xf>
    <xf numFmtId="0" fontId="2" fillId="7" borderId="0" xfId="0" applyFont="1" applyFill="1" applyAlignment="1">
      <alignment wrapText="1"/>
    </xf>
    <xf numFmtId="0" fontId="2" fillId="11" borderId="0" xfId="0" applyFont="1" applyFill="1" applyAlignment="1">
      <alignment wrapText="1"/>
    </xf>
    <xf numFmtId="0" fontId="17" fillId="0" borderId="0" xfId="0" applyFont="1"/>
    <xf numFmtId="0" fontId="18" fillId="0" borderId="0" xfId="0" applyFont="1" applyAlignment="1">
      <alignment horizontal="left" vertical="center"/>
    </xf>
    <xf numFmtId="0" fontId="17" fillId="5" borderId="0" xfId="0" applyFont="1" applyFill="1"/>
    <xf numFmtId="0" fontId="19" fillId="5" borderId="0" xfId="0" applyFont="1" applyFill="1"/>
    <xf numFmtId="0" fontId="19" fillId="5" borderId="0" xfId="0" applyFont="1" applyFill="1" applyAlignment="1">
      <alignment wrapText="1"/>
    </xf>
    <xf numFmtId="169" fontId="17" fillId="5" borderId="0" xfId="0" applyNumberFormat="1" applyFont="1" applyFill="1" applyAlignment="1">
      <alignment horizontal="center" vertical="center"/>
    </xf>
    <xf numFmtId="0" fontId="17" fillId="5" borderId="0" xfId="0" applyFont="1" applyFill="1" applyAlignment="1">
      <alignment horizontal="center" vertical="center"/>
    </xf>
    <xf numFmtId="0" fontId="17" fillId="5" borderId="0" xfId="0" applyFont="1" applyFill="1" applyAlignment="1">
      <alignment horizontal="center"/>
    </xf>
    <xf numFmtId="169" fontId="17" fillId="5" borderId="0" xfId="0" applyNumberFormat="1" applyFont="1" applyFill="1" applyAlignment="1">
      <alignment horizontal="center"/>
    </xf>
    <xf numFmtId="0" fontId="20" fillId="5" borderId="0" xfId="0" applyFont="1" applyFill="1" applyAlignment="1">
      <alignment horizontal="center"/>
    </xf>
    <xf numFmtId="0" fontId="21" fillId="0" borderId="0" xfId="0" applyFont="1" applyAlignment="1">
      <alignment vertical="center"/>
    </xf>
    <xf numFmtId="0" fontId="21" fillId="0" borderId="0" xfId="0" applyFont="1" applyAlignment="1">
      <alignment vertical="center" wrapText="1"/>
    </xf>
    <xf numFmtId="0" fontId="22" fillId="0" borderId="2" xfId="0" applyFont="1" applyBorder="1" applyAlignment="1">
      <alignment horizontal="center" vertical="center"/>
    </xf>
    <xf numFmtId="0" fontId="22" fillId="0" borderId="88" xfId="0" applyFont="1" applyBorder="1" applyAlignment="1">
      <alignment horizontal="center" vertical="center" wrapText="1"/>
    </xf>
    <xf numFmtId="0" fontId="22" fillId="0" borderId="5" xfId="0" applyFont="1" applyBorder="1" applyAlignment="1">
      <alignment horizontal="center" vertical="center" wrapText="1"/>
    </xf>
    <xf numFmtId="0" fontId="22" fillId="0" borderId="36" xfId="0" applyFont="1" applyBorder="1" applyAlignment="1">
      <alignment horizontal="center" vertical="center" wrapText="1"/>
    </xf>
    <xf numFmtId="0" fontId="22" fillId="0" borderId="6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37" xfId="0" applyFont="1" applyBorder="1" applyAlignment="1">
      <alignment horizontal="center" vertical="center" wrapText="1"/>
    </xf>
    <xf numFmtId="169" fontId="23" fillId="5" borderId="26" xfId="0" applyNumberFormat="1" applyFont="1" applyFill="1" applyBorder="1" applyAlignment="1">
      <alignment horizontal="center" vertical="center" textRotation="84" wrapText="1"/>
    </xf>
    <xf numFmtId="169" fontId="23" fillId="5" borderId="37" xfId="0" applyNumberFormat="1" applyFont="1" applyFill="1" applyBorder="1" applyAlignment="1">
      <alignment horizontal="center" vertical="center" textRotation="84" wrapText="1"/>
    </xf>
    <xf numFmtId="0" fontId="22" fillId="0" borderId="0" xfId="0" applyFont="1" applyAlignment="1">
      <alignment horizontal="center" vertical="center"/>
    </xf>
    <xf numFmtId="0" fontId="17" fillId="0" borderId="22" xfId="0" applyFont="1" applyBorder="1" applyAlignment="1">
      <alignment horizontal="center" vertical="center"/>
    </xf>
    <xf numFmtId="0" fontId="24" fillId="5" borderId="27" xfId="0" applyFont="1" applyFill="1" applyBorder="1" applyAlignment="1">
      <alignment vertical="center"/>
    </xf>
    <xf numFmtId="0" fontId="24" fillId="5" borderId="28" xfId="0" applyFont="1" applyFill="1" applyBorder="1" applyAlignment="1">
      <alignment vertical="center" wrapText="1"/>
    </xf>
    <xf numFmtId="0" fontId="17" fillId="0" borderId="28" xfId="0" applyFont="1" applyBorder="1" applyAlignment="1">
      <alignment horizontal="center" vertical="center" wrapText="1"/>
    </xf>
    <xf numFmtId="0" fontId="17" fillId="0" borderId="72" xfId="0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72" xfId="0" applyBorder="1" applyAlignment="1">
      <alignment horizontal="center" vertical="center" wrapText="1"/>
    </xf>
    <xf numFmtId="0" fontId="25" fillId="0" borderId="30" xfId="0" applyFont="1" applyBorder="1" applyAlignment="1">
      <alignment horizontal="center" vertical="center" wrapText="1"/>
    </xf>
    <xf numFmtId="169" fontId="23" fillId="0" borderId="29" xfId="0" applyNumberFormat="1" applyFont="1" applyBorder="1" applyAlignment="1">
      <alignment horizontal="center" vertical="center" textRotation="84" wrapText="1"/>
    </xf>
    <xf numFmtId="169" fontId="23" fillId="0" borderId="28" xfId="0" applyNumberFormat="1" applyFont="1" applyBorder="1" applyAlignment="1">
      <alignment horizontal="center" vertical="center" textRotation="84" wrapText="1"/>
    </xf>
    <xf numFmtId="169" fontId="23" fillId="13" borderId="28" xfId="0" applyNumberFormat="1" applyFont="1" applyFill="1" applyBorder="1" applyAlignment="1">
      <alignment horizontal="center" vertical="center" textRotation="84" wrapText="1"/>
    </xf>
    <xf numFmtId="0" fontId="17" fillId="14" borderId="1" xfId="0" applyFont="1" applyFill="1" applyBorder="1" applyAlignment="1">
      <alignment horizontal="left" vertical="center"/>
    </xf>
    <xf numFmtId="169" fontId="23" fillId="6" borderId="28" xfId="0" applyNumberFormat="1" applyFont="1" applyFill="1" applyBorder="1" applyAlignment="1">
      <alignment horizontal="center" vertical="center" textRotation="84" wrapText="1"/>
    </xf>
    <xf numFmtId="169" fontId="23" fillId="7" borderId="28" xfId="0" applyNumberFormat="1" applyFont="1" applyFill="1" applyBorder="1" applyAlignment="1">
      <alignment horizontal="center" vertical="center" textRotation="84" wrapText="1"/>
    </xf>
    <xf numFmtId="169" fontId="23" fillId="2" borderId="28" xfId="0" applyNumberFormat="1" applyFont="1" applyFill="1" applyBorder="1" applyAlignment="1">
      <alignment horizontal="center" vertical="center" textRotation="84" wrapText="1"/>
    </xf>
    <xf numFmtId="169" fontId="23" fillId="15" borderId="28" xfId="0" applyNumberFormat="1" applyFont="1" applyFill="1" applyBorder="1" applyAlignment="1">
      <alignment horizontal="center" vertical="center" textRotation="84" wrapText="1"/>
    </xf>
    <xf numFmtId="0" fontId="17" fillId="0" borderId="28" xfId="0" applyFont="1" applyBorder="1" applyAlignment="1">
      <alignment horizontal="left" vertical="center"/>
    </xf>
    <xf numFmtId="169" fontId="23" fillId="0" borderId="30" xfId="0" applyNumberFormat="1" applyFont="1" applyBorder="1" applyAlignment="1">
      <alignment horizontal="center" vertical="center" textRotation="84" wrapText="1"/>
    </xf>
    <xf numFmtId="0" fontId="24" fillId="5" borderId="13" xfId="0" applyFont="1" applyFill="1" applyBorder="1" applyAlignment="1">
      <alignment vertical="center"/>
    </xf>
    <xf numFmtId="0" fontId="24" fillId="5" borderId="1" xfId="0" applyFont="1" applyFill="1" applyBorder="1" applyAlignment="1">
      <alignment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25" fillId="0" borderId="14" xfId="0" applyFont="1" applyBorder="1" applyAlignment="1">
      <alignment horizontal="center" vertical="center" wrapText="1"/>
    </xf>
    <xf numFmtId="169" fontId="23" fillId="0" borderId="10" xfId="0" applyNumberFormat="1" applyFont="1" applyBorder="1" applyAlignment="1">
      <alignment horizontal="center" vertical="center" textRotation="84" wrapText="1"/>
    </xf>
    <xf numFmtId="169" fontId="23" fillId="0" borderId="1" xfId="0" applyNumberFormat="1" applyFont="1" applyBorder="1" applyAlignment="1">
      <alignment horizontal="center" vertical="center" textRotation="84" wrapText="1"/>
    </xf>
    <xf numFmtId="169" fontId="23" fillId="13" borderId="1" xfId="0" applyNumberFormat="1" applyFont="1" applyFill="1" applyBorder="1" applyAlignment="1">
      <alignment horizontal="center" vertical="center" textRotation="84" wrapText="1"/>
    </xf>
    <xf numFmtId="169" fontId="23" fillId="14" borderId="1" xfId="0" applyNumberFormat="1" applyFont="1" applyFill="1" applyBorder="1" applyAlignment="1">
      <alignment horizontal="center" vertical="center" textRotation="84" wrapText="1"/>
    </xf>
    <xf numFmtId="0" fontId="17" fillId="6" borderId="1" xfId="0" applyFont="1" applyFill="1" applyBorder="1" applyAlignment="1">
      <alignment horizontal="left" vertical="center"/>
    </xf>
    <xf numFmtId="169" fontId="23" fillId="6" borderId="1" xfId="0" applyNumberFormat="1" applyFont="1" applyFill="1" applyBorder="1" applyAlignment="1">
      <alignment horizontal="center" vertical="center" textRotation="84" wrapText="1"/>
    </xf>
    <xf numFmtId="169" fontId="23" fillId="7" borderId="1" xfId="0" applyNumberFormat="1" applyFont="1" applyFill="1" applyBorder="1" applyAlignment="1">
      <alignment horizontal="center" vertical="center" textRotation="84" wrapText="1"/>
    </xf>
    <xf numFmtId="0" fontId="17" fillId="7" borderId="1" xfId="0" applyFont="1" applyFill="1" applyBorder="1" applyAlignment="1">
      <alignment horizontal="left" vertical="center"/>
    </xf>
    <xf numFmtId="169" fontId="23" fillId="2" borderId="1" xfId="0" applyNumberFormat="1" applyFont="1" applyFill="1" applyBorder="1" applyAlignment="1">
      <alignment horizontal="center" vertical="center" textRotation="84" wrapText="1"/>
    </xf>
    <xf numFmtId="169" fontId="23" fillId="15" borderId="1" xfId="0" applyNumberFormat="1" applyFont="1" applyFill="1" applyBorder="1" applyAlignment="1">
      <alignment horizontal="center" vertical="center" textRotation="84" wrapText="1"/>
    </xf>
    <xf numFmtId="0" fontId="17" fillId="0" borderId="1" xfId="0" applyFont="1" applyBorder="1" applyAlignment="1">
      <alignment horizontal="left" vertical="center"/>
    </xf>
    <xf numFmtId="169" fontId="23" fillId="0" borderId="14" xfId="0" applyNumberFormat="1" applyFont="1" applyBorder="1" applyAlignment="1">
      <alignment horizontal="center" vertical="center" textRotation="84" wrapText="1"/>
    </xf>
    <xf numFmtId="169" fontId="23" fillId="0" borderId="3" xfId="0" applyNumberFormat="1" applyFont="1" applyBorder="1" applyAlignment="1">
      <alignment horizontal="center" vertical="center" textRotation="84" wrapText="1"/>
    </xf>
    <xf numFmtId="169" fontId="23" fillId="13" borderId="3" xfId="0" applyNumberFormat="1" applyFont="1" applyFill="1" applyBorder="1" applyAlignment="1">
      <alignment horizontal="center" vertical="center" textRotation="84" wrapText="1"/>
    </xf>
    <xf numFmtId="169" fontId="23" fillId="14" borderId="3" xfId="0" applyNumberFormat="1" applyFont="1" applyFill="1" applyBorder="1" applyAlignment="1">
      <alignment horizontal="center" vertical="center" textRotation="84" wrapText="1"/>
    </xf>
    <xf numFmtId="0" fontId="17" fillId="6" borderId="3" xfId="0" applyFont="1" applyFill="1" applyBorder="1" applyAlignment="1">
      <alignment horizontal="left" vertical="center"/>
    </xf>
    <xf numFmtId="169" fontId="23" fillId="7" borderId="3" xfId="0" applyNumberFormat="1" applyFont="1" applyFill="1" applyBorder="1" applyAlignment="1">
      <alignment horizontal="center" vertical="center" textRotation="84" wrapText="1"/>
    </xf>
    <xf numFmtId="0" fontId="17" fillId="7" borderId="3" xfId="0" applyFont="1" applyFill="1" applyBorder="1" applyAlignment="1">
      <alignment horizontal="left" vertical="center"/>
    </xf>
    <xf numFmtId="169" fontId="23" fillId="2" borderId="3" xfId="0" applyNumberFormat="1" applyFont="1" applyFill="1" applyBorder="1" applyAlignment="1">
      <alignment horizontal="center" vertical="center" textRotation="84" wrapText="1"/>
    </xf>
    <xf numFmtId="169" fontId="23" fillId="15" borderId="3" xfId="0" applyNumberFormat="1" applyFont="1" applyFill="1" applyBorder="1" applyAlignment="1">
      <alignment horizontal="center" vertical="center" textRotation="84" wrapText="1"/>
    </xf>
    <xf numFmtId="0" fontId="17" fillId="0" borderId="54" xfId="0" applyFont="1" applyBorder="1" applyAlignment="1">
      <alignment horizontal="center" vertical="center"/>
    </xf>
    <xf numFmtId="0" fontId="24" fillId="5" borderId="11" xfId="0" applyFont="1" applyFill="1" applyBorder="1" applyAlignment="1">
      <alignment vertical="center"/>
    </xf>
    <xf numFmtId="0" fontId="24" fillId="5" borderId="3" xfId="0" applyFont="1" applyFill="1" applyBorder="1" applyAlignment="1">
      <alignment vertical="center" wrapText="1"/>
    </xf>
    <xf numFmtId="0" fontId="17" fillId="0" borderId="3" xfId="0" applyFont="1" applyBorder="1" applyAlignment="1">
      <alignment horizontal="center" vertical="center" wrapText="1"/>
    </xf>
    <xf numFmtId="0" fontId="17" fillId="0" borderId="83" xfId="0" applyFont="1" applyBorder="1" applyAlignment="1">
      <alignment horizontal="center" vertical="center" wrapText="1"/>
    </xf>
    <xf numFmtId="169" fontId="23" fillId="6" borderId="3" xfId="0" applyNumberFormat="1" applyFont="1" applyFill="1" applyBorder="1" applyAlignment="1">
      <alignment horizontal="center" vertical="center" textRotation="84" wrapText="1"/>
    </xf>
    <xf numFmtId="0" fontId="17" fillId="0" borderId="3" xfId="0" applyFont="1" applyBorder="1"/>
    <xf numFmtId="169" fontId="23" fillId="7" borderId="10" xfId="0" applyNumberFormat="1" applyFont="1" applyFill="1" applyBorder="1" applyAlignment="1">
      <alignment horizontal="center" vertical="center" textRotation="84" wrapText="1"/>
    </xf>
    <xf numFmtId="0" fontId="17" fillId="0" borderId="1" xfId="0" applyFont="1" applyBorder="1"/>
    <xf numFmtId="0" fontId="17" fillId="0" borderId="14" xfId="0" applyFont="1" applyBorder="1"/>
    <xf numFmtId="0" fontId="17" fillId="0" borderId="23" xfId="0" applyFont="1" applyBorder="1" applyAlignment="1">
      <alignment horizontal="center" vertical="center"/>
    </xf>
    <xf numFmtId="0" fontId="24" fillId="0" borderId="15" xfId="0" applyFont="1" applyBorder="1" applyAlignment="1">
      <alignment vertical="center"/>
    </xf>
    <xf numFmtId="0" fontId="24" fillId="5" borderId="16" xfId="0" applyFont="1" applyFill="1" applyBorder="1" applyAlignment="1">
      <alignment vertical="center" wrapText="1"/>
    </xf>
    <xf numFmtId="0" fontId="17" fillId="0" borderId="16" xfId="0" applyFont="1" applyBorder="1" applyAlignment="1">
      <alignment horizontal="center" vertical="center" wrapText="1"/>
    </xf>
    <xf numFmtId="0" fontId="17" fillId="0" borderId="80" xfId="0" applyFont="1" applyBorder="1" applyAlignment="1">
      <alignment horizontal="center" vertical="center" wrapText="1"/>
    </xf>
    <xf numFmtId="0" fontId="17" fillId="0" borderId="80" xfId="0" quotePrefix="1" applyFont="1" applyBorder="1" applyAlignment="1">
      <alignment horizontal="left" vertical="center" wrapText="1"/>
    </xf>
    <xf numFmtId="0" fontId="25" fillId="0" borderId="17" xfId="0" applyFont="1" applyBorder="1" applyAlignment="1">
      <alignment horizontal="center" vertical="center" wrapText="1"/>
    </xf>
    <xf numFmtId="169" fontId="23" fillId="0" borderId="32" xfId="0" applyNumberFormat="1" applyFont="1" applyBorder="1" applyAlignment="1">
      <alignment vertical="center" wrapText="1"/>
    </xf>
    <xf numFmtId="169" fontId="23" fillId="0" borderId="16" xfId="0" applyNumberFormat="1" applyFont="1" applyBorder="1" applyAlignment="1">
      <alignment vertical="center" wrapText="1"/>
    </xf>
    <xf numFmtId="169" fontId="23" fillId="0" borderId="31" xfId="0" applyNumberFormat="1" applyFont="1" applyBorder="1" applyAlignment="1">
      <alignment vertical="center" wrapText="1"/>
    </xf>
    <xf numFmtId="169" fontId="23" fillId="14" borderId="16" xfId="0" applyNumberFormat="1" applyFont="1" applyFill="1" applyBorder="1" applyAlignment="1">
      <alignment vertical="center" wrapText="1"/>
    </xf>
    <xf numFmtId="169" fontId="23" fillId="13" borderId="16" xfId="0" applyNumberFormat="1" applyFont="1" applyFill="1" applyBorder="1" applyAlignment="1">
      <alignment horizontal="center" vertical="center" textRotation="84" wrapText="1"/>
    </xf>
    <xf numFmtId="0" fontId="17" fillId="6" borderId="16" xfId="0" applyFont="1" applyFill="1" applyBorder="1" applyAlignment="1">
      <alignment horizontal="left" vertical="center"/>
    </xf>
    <xf numFmtId="169" fontId="23" fillId="6" borderId="16" xfId="0" applyNumberFormat="1" applyFont="1" applyFill="1" applyBorder="1" applyAlignment="1">
      <alignment horizontal="center" vertical="center" textRotation="84" wrapText="1"/>
    </xf>
    <xf numFmtId="0" fontId="17" fillId="0" borderId="16" xfId="0" applyFont="1" applyBorder="1"/>
    <xf numFmtId="169" fontId="23" fillId="14" borderId="16" xfId="0" applyNumberFormat="1" applyFont="1" applyFill="1" applyBorder="1" applyAlignment="1">
      <alignment horizontal="center" vertical="center" textRotation="84" wrapText="1"/>
    </xf>
    <xf numFmtId="169" fontId="23" fillId="7" borderId="16" xfId="0" applyNumberFormat="1" applyFont="1" applyFill="1" applyBorder="1" applyAlignment="1">
      <alignment horizontal="center" vertical="center" textRotation="84" wrapText="1"/>
    </xf>
    <xf numFmtId="169" fontId="23" fillId="2" borderId="16" xfId="0" applyNumberFormat="1" applyFont="1" applyFill="1" applyBorder="1" applyAlignment="1">
      <alignment horizontal="center" vertical="center" textRotation="84" wrapText="1"/>
    </xf>
    <xf numFmtId="169" fontId="23" fillId="15" borderId="16" xfId="0" applyNumberFormat="1" applyFont="1" applyFill="1" applyBorder="1" applyAlignment="1">
      <alignment horizontal="center" vertical="center" textRotation="84" wrapText="1"/>
    </xf>
    <xf numFmtId="169" fontId="23" fillId="0" borderId="16" xfId="0" applyNumberFormat="1" applyFont="1" applyBorder="1" applyAlignment="1">
      <alignment horizontal="center" vertical="center" wrapText="1"/>
    </xf>
    <xf numFmtId="169" fontId="23" fillId="0" borderId="17" xfId="0" applyNumberFormat="1" applyFont="1" applyBorder="1" applyAlignment="1">
      <alignment horizontal="center" vertical="center" wrapText="1"/>
    </xf>
    <xf numFmtId="0" fontId="24" fillId="0" borderId="0" xfId="0" applyFont="1" applyAlignment="1">
      <alignment vertical="center"/>
    </xf>
    <xf numFmtId="0" fontId="24" fillId="0" borderId="0" xfId="0" applyFont="1" applyAlignment="1">
      <alignment vertical="center" wrapText="1"/>
    </xf>
    <xf numFmtId="0" fontId="22" fillId="0" borderId="0" xfId="0" applyFont="1" applyAlignment="1">
      <alignment horizontal="center" vertical="center" wrapText="1"/>
    </xf>
    <xf numFmtId="169" fontId="23" fillId="0" borderId="0" xfId="0" applyNumberFormat="1" applyFont="1" applyAlignment="1">
      <alignment horizontal="center" vertical="center" textRotation="84" wrapText="1"/>
    </xf>
    <xf numFmtId="0" fontId="17" fillId="0" borderId="0" xfId="0" applyFont="1" applyAlignment="1">
      <alignment horizontal="left" vertical="center"/>
    </xf>
    <xf numFmtId="0" fontId="17" fillId="0" borderId="0" xfId="0" applyFont="1" applyAlignment="1">
      <alignment vertical="center"/>
    </xf>
    <xf numFmtId="0" fontId="26" fillId="0" borderId="0" xfId="0" applyFont="1" applyAlignment="1">
      <alignment vertical="center" wrapText="1"/>
    </xf>
    <xf numFmtId="0" fontId="17" fillId="0" borderId="0" xfId="0" applyFont="1" applyAlignment="1">
      <alignment horizontal="center" vertical="center"/>
    </xf>
    <xf numFmtId="169" fontId="17" fillId="0" borderId="0" xfId="0" applyNumberFormat="1" applyFont="1" applyAlignment="1">
      <alignment horizontal="center" vertical="center"/>
    </xf>
    <xf numFmtId="0" fontId="25" fillId="0" borderId="0" xfId="0" applyFont="1" applyAlignment="1">
      <alignment vertical="center" wrapText="1"/>
    </xf>
    <xf numFmtId="0" fontId="27" fillId="0" borderId="0" xfId="0" applyFont="1" applyAlignment="1">
      <alignment vertical="center" wrapText="1"/>
    </xf>
    <xf numFmtId="169" fontId="19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169" fontId="19" fillId="0" borderId="0" xfId="0" applyNumberFormat="1" applyFont="1" applyAlignment="1">
      <alignment horizontal="left" vertical="center"/>
    </xf>
    <xf numFmtId="0" fontId="19" fillId="0" borderId="0" xfId="0" applyFont="1"/>
    <xf numFmtId="0" fontId="19" fillId="0" borderId="0" xfId="0" applyFont="1" applyAlignment="1">
      <alignment wrapText="1"/>
    </xf>
    <xf numFmtId="0" fontId="17" fillId="0" borderId="0" xfId="0" applyFont="1" applyAlignment="1">
      <alignment wrapText="1"/>
    </xf>
    <xf numFmtId="0" fontId="17" fillId="7" borderId="0" xfId="0" applyFont="1" applyFill="1"/>
    <xf numFmtId="164" fontId="4" fillId="0" borderId="35" xfId="0" applyNumberFormat="1" applyFont="1" applyBorder="1" applyAlignment="1">
      <alignment horizontal="center" vertical="center"/>
    </xf>
    <xf numFmtId="164" fontId="4" fillId="0" borderId="12" xfId="0" applyNumberFormat="1" applyFont="1" applyBorder="1" applyAlignment="1">
      <alignment horizontal="center" vertical="center"/>
    </xf>
    <xf numFmtId="0" fontId="2" fillId="0" borderId="76" xfId="0" applyFont="1" applyBorder="1" applyAlignment="1">
      <alignment horizontal="center" vertical="center"/>
    </xf>
    <xf numFmtId="14" fontId="2" fillId="0" borderId="39" xfId="0" applyNumberFormat="1" applyFont="1" applyBorder="1" applyAlignment="1">
      <alignment horizontal="center" vertical="center"/>
    </xf>
    <xf numFmtId="14" fontId="2" fillId="0" borderId="54" xfId="0" applyNumberFormat="1" applyFont="1" applyBorder="1" applyAlignment="1">
      <alignment horizontal="center" vertical="center"/>
    </xf>
    <xf numFmtId="14" fontId="2" fillId="0" borderId="57" xfId="0" applyNumberFormat="1" applyFont="1" applyBorder="1" applyAlignment="1">
      <alignment horizontal="center" vertical="center"/>
    </xf>
    <xf numFmtId="14" fontId="2" fillId="0" borderId="77" xfId="0" applyNumberFormat="1" applyFont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48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0" fontId="2" fillId="0" borderId="64" xfId="0" applyFont="1" applyBorder="1" applyAlignment="1">
      <alignment wrapText="1"/>
    </xf>
    <xf numFmtId="0" fontId="0" fillId="10" borderId="41" xfId="0" applyFill="1" applyBorder="1" applyAlignment="1">
      <alignment horizontal="center" vertical="center" wrapText="1"/>
    </xf>
    <xf numFmtId="0" fontId="0" fillId="10" borderId="25" xfId="0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0" fontId="7" fillId="10" borderId="7" xfId="0" applyFont="1" applyFill="1" applyBorder="1" applyAlignment="1">
      <alignment horizontal="center" vertical="center" wrapText="1"/>
    </xf>
    <xf numFmtId="0" fontId="7" fillId="16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16" borderId="3" xfId="0" applyFill="1" applyBorder="1" applyAlignment="1">
      <alignment horizontal="center" vertical="center" wrapText="1"/>
    </xf>
    <xf numFmtId="0" fontId="29" fillId="2" borderId="3" xfId="0" applyFont="1" applyFill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86" xfId="0" applyBorder="1" applyAlignment="1">
      <alignment horizontal="center" vertical="center" wrapText="1"/>
    </xf>
    <xf numFmtId="0" fontId="0" fillId="0" borderId="85" xfId="0" applyBorder="1" applyAlignment="1">
      <alignment horizontal="center" vertical="center" wrapText="1"/>
    </xf>
    <xf numFmtId="0" fontId="0" fillId="17" borderId="3" xfId="0" applyFill="1" applyBorder="1" applyAlignment="1">
      <alignment horizontal="center" vertical="center" wrapText="1"/>
    </xf>
    <xf numFmtId="0" fontId="0" fillId="17" borderId="12" xfId="0" applyFill="1" applyBorder="1" applyAlignment="1">
      <alignment horizontal="center" vertical="center" wrapText="1"/>
    </xf>
    <xf numFmtId="0" fontId="0" fillId="17" borderId="11" xfId="0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7" fillId="0" borderId="48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2" borderId="3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30" fillId="2" borderId="3" xfId="0" applyFont="1" applyFill="1" applyBorder="1" applyAlignment="1">
      <alignment horizontal="center" vertical="center" wrapText="1"/>
    </xf>
    <xf numFmtId="14" fontId="2" fillId="5" borderId="39" xfId="0" applyNumberFormat="1" applyFont="1" applyFill="1" applyBorder="1" applyAlignment="1">
      <alignment horizontal="center" vertical="center"/>
    </xf>
    <xf numFmtId="0" fontId="2" fillId="0" borderId="33" xfId="0" applyFont="1" applyBorder="1"/>
    <xf numFmtId="14" fontId="2" fillId="3" borderId="34" xfId="0" applyNumberFormat="1" applyFont="1" applyFill="1" applyBorder="1" applyAlignment="1">
      <alignment horizontal="center" vertical="center"/>
    </xf>
    <xf numFmtId="0" fontId="2" fillId="0" borderId="170" xfId="0" applyFont="1" applyBorder="1" applyAlignment="1">
      <alignment horizontal="center" vertical="center" wrapText="1"/>
    </xf>
    <xf numFmtId="164" fontId="4" fillId="0" borderId="171" xfId="0" applyNumberFormat="1" applyFont="1" applyBorder="1" applyAlignment="1">
      <alignment horizontal="center" vertical="center"/>
    </xf>
    <xf numFmtId="0" fontId="2" fillId="0" borderId="173" xfId="0" applyFont="1" applyBorder="1"/>
    <xf numFmtId="0" fontId="2" fillId="0" borderId="177" xfId="0" applyFont="1" applyBorder="1"/>
    <xf numFmtId="0" fontId="2" fillId="0" borderId="179" xfId="0" applyFont="1" applyBorder="1" applyAlignment="1">
      <alignment horizontal="center" vertical="center"/>
    </xf>
    <xf numFmtId="0" fontId="2" fillId="0" borderId="179" xfId="0" applyFont="1" applyBorder="1"/>
    <xf numFmtId="0" fontId="2" fillId="0" borderId="170" xfId="0" applyFont="1" applyBorder="1"/>
    <xf numFmtId="0" fontId="2" fillId="0" borderId="181" xfId="0" applyFont="1" applyBorder="1"/>
    <xf numFmtId="0" fontId="2" fillId="0" borderId="184" xfId="0" applyFont="1" applyBorder="1" applyAlignment="1">
      <alignment horizontal="center" vertical="center" wrapText="1"/>
    </xf>
    <xf numFmtId="164" fontId="4" fillId="0" borderId="185" xfId="0" applyNumberFormat="1" applyFont="1" applyBorder="1" applyAlignment="1">
      <alignment horizontal="center" vertical="center"/>
    </xf>
    <xf numFmtId="0" fontId="2" fillId="0" borderId="187" xfId="0" applyFont="1" applyBorder="1"/>
    <xf numFmtId="0" fontId="2" fillId="0" borderId="191" xfId="0" applyFont="1" applyBorder="1"/>
    <xf numFmtId="0" fontId="2" fillId="0" borderId="185" xfId="0" applyFont="1" applyBorder="1" applyAlignment="1">
      <alignment horizontal="center" vertical="center"/>
    </xf>
    <xf numFmtId="0" fontId="2" fillId="0" borderId="185" xfId="0" applyFont="1" applyBorder="1"/>
    <xf numFmtId="0" fontId="2" fillId="0" borderId="184" xfId="0" applyFont="1" applyBorder="1"/>
    <xf numFmtId="0" fontId="2" fillId="0" borderId="194" xfId="0" applyFont="1" applyBorder="1"/>
    <xf numFmtId="0" fontId="2" fillId="0" borderId="11" xfId="0" applyFont="1" applyBorder="1"/>
    <xf numFmtId="14" fontId="2" fillId="3" borderId="3" xfId="0" applyNumberFormat="1" applyFont="1" applyFill="1" applyBorder="1" applyAlignment="1">
      <alignment horizontal="center" vertical="center"/>
    </xf>
    <xf numFmtId="14" fontId="5" fillId="4" borderId="3" xfId="0" applyNumberFormat="1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95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4" xfId="0" applyFont="1" applyBorder="1"/>
    <xf numFmtId="0" fontId="2" fillId="0" borderId="47" xfId="0" applyFont="1" applyBorder="1" applyAlignment="1">
      <alignment horizontal="center" vertical="center"/>
    </xf>
    <xf numFmtId="0" fontId="2" fillId="0" borderId="197" xfId="0" applyFont="1" applyBorder="1" applyAlignment="1">
      <alignment horizontal="center" vertical="center"/>
    </xf>
    <xf numFmtId="0" fontId="2" fillId="0" borderId="47" xfId="0" applyFont="1" applyBorder="1"/>
    <xf numFmtId="0" fontId="31" fillId="0" borderId="24" xfId="0" applyFont="1" applyBorder="1" applyAlignment="1">
      <alignment horizontal="center" vertical="center"/>
    </xf>
    <xf numFmtId="14" fontId="2" fillId="0" borderId="199" xfId="0" applyNumberFormat="1" applyFont="1" applyBorder="1" applyAlignment="1">
      <alignment horizontal="center" vertical="center"/>
    </xf>
    <xf numFmtId="164" fontId="4" fillId="0" borderId="200" xfId="0" applyNumberFormat="1" applyFont="1" applyBorder="1" applyAlignment="1">
      <alignment horizontal="center" vertical="center"/>
    </xf>
    <xf numFmtId="165" fontId="4" fillId="0" borderId="171" xfId="0" applyNumberFormat="1" applyFont="1" applyBorder="1" applyAlignment="1">
      <alignment horizontal="center" vertical="center"/>
    </xf>
    <xf numFmtId="165" fontId="4" fillId="0" borderId="185" xfId="0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0" fontId="0" fillId="0" borderId="201" xfId="0" applyBorder="1" applyAlignment="1">
      <alignment horizontal="center" vertical="center" wrapText="1"/>
    </xf>
    <xf numFmtId="14" fontId="7" fillId="0" borderId="3" xfId="0" applyNumberFormat="1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0" fontId="0" fillId="7" borderId="13" xfId="0" applyFill="1" applyBorder="1" applyAlignment="1">
      <alignment horizontal="center" vertical="center" wrapText="1"/>
    </xf>
    <xf numFmtId="0" fontId="7" fillId="10" borderId="2" xfId="0" applyFont="1" applyFill="1" applyBorder="1" applyAlignment="1">
      <alignment horizontal="center" vertical="center" wrapText="1"/>
    </xf>
    <xf numFmtId="0" fontId="7" fillId="10" borderId="87" xfId="0" applyFont="1" applyFill="1" applyBorder="1" applyAlignment="1">
      <alignment horizontal="center" vertical="center" wrapText="1"/>
    </xf>
    <xf numFmtId="14" fontId="7" fillId="0" borderId="5" xfId="0" applyNumberFormat="1" applyFont="1" applyBorder="1" applyAlignment="1">
      <alignment horizontal="center" vertical="center" wrapText="1"/>
    </xf>
    <xf numFmtId="14" fontId="7" fillId="0" borderId="6" xfId="0" applyNumberFormat="1" applyFont="1" applyBorder="1" applyAlignment="1">
      <alignment horizontal="center" vertical="center" wrapText="1"/>
    </xf>
    <xf numFmtId="14" fontId="7" fillId="0" borderId="4" xfId="0" applyNumberFormat="1" applyFont="1" applyBorder="1" applyAlignment="1">
      <alignment horizontal="center" vertical="center" wrapText="1"/>
    </xf>
    <xf numFmtId="14" fontId="7" fillId="2" borderId="5" xfId="0" applyNumberFormat="1" applyFont="1" applyFill="1" applyBorder="1" applyAlignment="1">
      <alignment horizontal="center" vertical="center" wrapText="1"/>
    </xf>
    <xf numFmtId="14" fontId="0" fillId="0" borderId="203" xfId="0" applyNumberFormat="1" applyBorder="1" applyAlignment="1">
      <alignment horizontal="center" vertical="center"/>
    </xf>
    <xf numFmtId="164" fontId="2" fillId="0" borderId="22" xfId="0" applyNumberFormat="1" applyFont="1" applyBorder="1"/>
    <xf numFmtId="164" fontId="2" fillId="0" borderId="24" xfId="0" applyNumberFormat="1" applyFont="1" applyBorder="1"/>
    <xf numFmtId="164" fontId="2" fillId="0" borderId="39" xfId="0" applyNumberFormat="1" applyFont="1" applyBorder="1"/>
    <xf numFmtId="164" fontId="4" fillId="0" borderId="40" xfId="0" applyNumberFormat="1" applyFont="1" applyBorder="1" applyAlignment="1">
      <alignment horizontal="center" vertical="center"/>
    </xf>
    <xf numFmtId="164" fontId="4" fillId="0" borderId="14" xfId="1" applyNumberFormat="1" applyFont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0" fontId="0" fillId="0" borderId="208" xfId="0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14" fontId="7" fillId="0" borderId="5" xfId="0" applyNumberFormat="1" applyFont="1" applyBorder="1" applyAlignment="1">
      <alignment horizontal="center" vertical="center"/>
    </xf>
    <xf numFmtId="0" fontId="0" fillId="0" borderId="199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14" fontId="0" fillId="0" borderId="34" xfId="0" applyNumberFormat="1" applyBorder="1" applyAlignment="1">
      <alignment horizontal="center" vertical="center"/>
    </xf>
    <xf numFmtId="0" fontId="0" fillId="0" borderId="210" xfId="0" applyBorder="1" applyAlignment="1">
      <alignment horizontal="center" vertical="center" wrapText="1"/>
    </xf>
    <xf numFmtId="0" fontId="0" fillId="0" borderId="210" xfId="0" applyBorder="1" applyAlignment="1">
      <alignment horizontal="center" vertical="center"/>
    </xf>
    <xf numFmtId="14" fontId="2" fillId="0" borderId="211" xfId="0" applyNumberFormat="1" applyFont="1" applyBorder="1" applyAlignment="1">
      <alignment horizontal="center" vertical="center"/>
    </xf>
    <xf numFmtId="14" fontId="0" fillId="0" borderId="199" xfId="0" applyNumberFormat="1" applyBorder="1" applyAlignment="1">
      <alignment horizontal="center" vertical="center"/>
    </xf>
    <xf numFmtId="14" fontId="0" fillId="0" borderId="210" xfId="0" applyNumberFormat="1" applyBorder="1" applyAlignment="1">
      <alignment horizontal="center" vertical="center"/>
    </xf>
    <xf numFmtId="0" fontId="0" fillId="0" borderId="202" xfId="0" applyBorder="1" applyAlignment="1">
      <alignment horizontal="center" vertical="center" wrapText="1"/>
    </xf>
    <xf numFmtId="0" fontId="0" fillId="0" borderId="212" xfId="0" applyBorder="1" applyAlignment="1">
      <alignment horizontal="center" vertical="center" wrapText="1"/>
    </xf>
    <xf numFmtId="14" fontId="0" fillId="0" borderId="203" xfId="0" applyNumberFormat="1" applyBorder="1" applyAlignment="1">
      <alignment horizontal="center" vertical="center" wrapText="1"/>
    </xf>
    <xf numFmtId="0" fontId="0" fillId="25" borderId="3" xfId="0" applyFill="1" applyBorder="1" applyAlignment="1">
      <alignment horizontal="center" vertical="center" wrapText="1"/>
    </xf>
    <xf numFmtId="14" fontId="7" fillId="16" borderId="3" xfId="0" applyNumberFormat="1" applyFont="1" applyFill="1" applyBorder="1" applyAlignment="1">
      <alignment horizontal="center" vertical="center" wrapText="1"/>
    </xf>
    <xf numFmtId="14" fontId="7" fillId="0" borderId="1" xfId="0" applyNumberFormat="1" applyFont="1" applyBorder="1" applyAlignment="1">
      <alignment horizontal="center" vertical="center" wrapText="1"/>
    </xf>
    <xf numFmtId="14" fontId="7" fillId="16" borderId="1" xfId="0" applyNumberFormat="1" applyFont="1" applyFill="1" applyBorder="1" applyAlignment="1">
      <alignment horizontal="center" vertical="center" wrapText="1"/>
    </xf>
    <xf numFmtId="0" fontId="0" fillId="7" borderId="209" xfId="0" applyFill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14" fontId="2" fillId="3" borderId="1" xfId="0" applyNumberFormat="1" applyFont="1" applyFill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 wrapText="1"/>
    </xf>
    <xf numFmtId="0" fontId="0" fillId="16" borderId="34" xfId="0" applyFill="1" applyBorder="1" applyAlignment="1">
      <alignment horizontal="center" vertical="center" wrapText="1"/>
    </xf>
    <xf numFmtId="14" fontId="7" fillId="0" borderId="34" xfId="0" applyNumberFormat="1" applyFont="1" applyBorder="1" applyAlignment="1">
      <alignment horizontal="center" vertical="center"/>
    </xf>
    <xf numFmtId="0" fontId="0" fillId="2" borderId="34" xfId="0" applyFill="1" applyBorder="1" applyAlignment="1">
      <alignment horizontal="center" vertical="center" wrapText="1"/>
    </xf>
    <xf numFmtId="14" fontId="5" fillId="0" borderId="210" xfId="0" applyNumberFormat="1" applyFont="1" applyBorder="1" applyAlignment="1">
      <alignment horizontal="center" vertical="center" wrapText="1"/>
    </xf>
    <xf numFmtId="0" fontId="0" fillId="2" borderId="210" xfId="0" applyFill="1" applyBorder="1" applyAlignment="1">
      <alignment horizontal="center" vertical="center" wrapText="1"/>
    </xf>
    <xf numFmtId="0" fontId="0" fillId="0" borderId="213" xfId="0" applyBorder="1" applyAlignment="1">
      <alignment horizontal="center" vertical="center" wrapText="1"/>
    </xf>
    <xf numFmtId="14" fontId="7" fillId="0" borderId="199" xfId="0" applyNumberFormat="1" applyFont="1" applyBorder="1" applyAlignment="1">
      <alignment horizontal="center" vertical="center"/>
    </xf>
    <xf numFmtId="0" fontId="0" fillId="0" borderId="35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7" borderId="34" xfId="0" applyFill="1" applyBorder="1" applyAlignment="1">
      <alignment horizontal="center" vertical="center" wrapText="1"/>
    </xf>
    <xf numFmtId="0" fontId="7" fillId="16" borderId="210" xfId="0" applyFont="1" applyFill="1" applyBorder="1" applyAlignment="1">
      <alignment horizontal="center" vertical="center" wrapText="1"/>
    </xf>
    <xf numFmtId="0" fontId="0" fillId="16" borderId="210" xfId="0" applyFill="1" applyBorder="1" applyAlignment="1">
      <alignment horizontal="center" vertical="center" wrapText="1"/>
    </xf>
    <xf numFmtId="14" fontId="7" fillId="0" borderId="210" xfId="0" applyNumberFormat="1" applyFont="1" applyBorder="1" applyAlignment="1">
      <alignment horizontal="center" vertical="center"/>
    </xf>
    <xf numFmtId="0" fontId="0" fillId="0" borderId="214" xfId="0" applyBorder="1" applyAlignment="1">
      <alignment horizontal="center" vertical="center" wrapText="1"/>
    </xf>
    <xf numFmtId="0" fontId="0" fillId="0" borderId="215" xfId="0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0" fillId="0" borderId="216" xfId="0" applyBorder="1" applyAlignment="1">
      <alignment horizontal="center" vertical="center"/>
    </xf>
    <xf numFmtId="14" fontId="2" fillId="0" borderId="24" xfId="0" applyNumberFormat="1" applyFont="1" applyBorder="1" applyAlignment="1">
      <alignment horizontal="center" vertical="center"/>
    </xf>
    <xf numFmtId="164" fontId="4" fillId="0" borderId="24" xfId="0" applyNumberFormat="1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 wrapText="1"/>
    </xf>
    <xf numFmtId="14" fontId="2" fillId="0" borderId="196" xfId="0" applyNumberFormat="1" applyFont="1" applyBorder="1" applyAlignment="1">
      <alignment horizontal="center" vertical="center"/>
    </xf>
    <xf numFmtId="0" fontId="2" fillId="0" borderId="169" xfId="0" applyFont="1" applyBorder="1" applyAlignment="1">
      <alignment horizontal="center" vertical="center" wrapText="1"/>
    </xf>
    <xf numFmtId="0" fontId="2" fillId="0" borderId="183" xfId="0" applyFont="1" applyBorder="1" applyAlignment="1">
      <alignment horizontal="center" vertical="center" wrapText="1"/>
    </xf>
    <xf numFmtId="0" fontId="2" fillId="0" borderId="84" xfId="0" applyFont="1" applyBorder="1" applyAlignment="1">
      <alignment horizontal="center" vertical="center"/>
    </xf>
    <xf numFmtId="0" fontId="2" fillId="0" borderId="169" xfId="0" applyFont="1" applyBorder="1" applyAlignment="1">
      <alignment vertical="center" wrapText="1"/>
    </xf>
    <xf numFmtId="0" fontId="2" fillId="0" borderId="183" xfId="0" applyFont="1" applyBorder="1" applyAlignment="1">
      <alignment vertical="center" wrapText="1"/>
    </xf>
    <xf numFmtId="14" fontId="2" fillId="0" borderId="198" xfId="0" applyNumberFormat="1" applyFont="1" applyBorder="1" applyAlignment="1">
      <alignment horizontal="center" vertical="center"/>
    </xf>
    <xf numFmtId="0" fontId="0" fillId="0" borderId="1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1" xfId="0" applyBorder="1"/>
    <xf numFmtId="0" fontId="0" fillId="0" borderId="3" xfId="0" applyBorder="1"/>
    <xf numFmtId="0" fontId="0" fillId="0" borderId="12" xfId="0" applyBorder="1"/>
    <xf numFmtId="0" fontId="7" fillId="0" borderId="16" xfId="0" applyFont="1" applyBorder="1"/>
    <xf numFmtId="0" fontId="7" fillId="0" borderId="17" xfId="0" applyFont="1" applyBorder="1"/>
    <xf numFmtId="0" fontId="0" fillId="0" borderId="83" xfId="0" applyBorder="1"/>
    <xf numFmtId="0" fontId="0" fillId="0" borderId="8" xfId="0" applyBorder="1"/>
    <xf numFmtId="0" fontId="0" fillId="0" borderId="80" xfId="0" applyBorder="1"/>
    <xf numFmtId="0" fontId="7" fillId="0" borderId="32" xfId="0" applyFont="1" applyBorder="1"/>
    <xf numFmtId="0" fontId="0" fillId="0" borderId="206" xfId="0" applyBorder="1"/>
    <xf numFmtId="0" fontId="0" fillId="0" borderId="10" xfId="0" applyBorder="1"/>
    <xf numFmtId="0" fontId="0" fillId="0" borderId="32" xfId="0" applyBorder="1"/>
    <xf numFmtId="0" fontId="7" fillId="0" borderId="80" xfId="0" applyFont="1" applyBorder="1"/>
    <xf numFmtId="0" fontId="7" fillId="0" borderId="15" xfId="0" applyFont="1" applyBorder="1"/>
    <xf numFmtId="0" fontId="0" fillId="0" borderId="127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133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05" xfId="0" applyBorder="1" applyAlignment="1">
      <alignment horizontal="center" vertical="center"/>
    </xf>
    <xf numFmtId="14" fontId="0" fillId="0" borderId="22" xfId="0" applyNumberFormat="1" applyBorder="1" applyAlignment="1">
      <alignment horizontal="center" vertical="center"/>
    </xf>
    <xf numFmtId="0" fontId="0" fillId="5" borderId="3" xfId="0" applyFill="1" applyBorder="1"/>
    <xf numFmtId="0" fontId="0" fillId="5" borderId="12" xfId="0" applyFill="1" applyBorder="1"/>
    <xf numFmtId="0" fontId="0" fillId="5" borderId="1" xfId="0" applyFill="1" applyBorder="1"/>
    <xf numFmtId="0" fontId="0" fillId="5" borderId="14" xfId="0" applyFill="1" applyBorder="1"/>
    <xf numFmtId="0" fontId="0" fillId="19" borderId="1" xfId="0" applyFill="1" applyBorder="1" applyAlignment="1">
      <alignment horizontal="center" vertical="center"/>
    </xf>
    <xf numFmtId="0" fontId="0" fillId="19" borderId="127" xfId="0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22" borderId="13" xfId="0" applyFill="1" applyBorder="1"/>
    <xf numFmtId="0" fontId="0" fillId="5" borderId="10" xfId="0" applyFill="1" applyBorder="1"/>
    <xf numFmtId="0" fontId="0" fillId="5" borderId="8" xfId="0" applyFill="1" applyBorder="1"/>
    <xf numFmtId="0" fontId="0" fillId="5" borderId="22" xfId="0" applyFill="1" applyBorder="1" applyAlignment="1">
      <alignment horizontal="center" vertical="center"/>
    </xf>
    <xf numFmtId="14" fontId="0" fillId="5" borderId="22" xfId="0" applyNumberFormat="1" applyFill="1" applyBorder="1" applyAlignment="1">
      <alignment horizontal="center" vertical="center"/>
    </xf>
    <xf numFmtId="0" fontId="0" fillId="5" borderId="13" xfId="0" applyFill="1" applyBorder="1"/>
    <xf numFmtId="0" fontId="30" fillId="5" borderId="1" xfId="0" applyFont="1" applyFill="1" applyBorder="1" applyAlignment="1">
      <alignment horizontal="center" vertical="center"/>
    </xf>
    <xf numFmtId="0" fontId="0" fillId="5" borderId="11" xfId="0" applyFill="1" applyBorder="1"/>
    <xf numFmtId="0" fontId="30" fillId="5" borderId="3" xfId="0" applyFont="1" applyFill="1" applyBorder="1" applyAlignment="1">
      <alignment horizontal="center" vertical="center"/>
    </xf>
    <xf numFmtId="0" fontId="0" fillId="5" borderId="15" xfId="0" applyFill="1" applyBorder="1"/>
    <xf numFmtId="0" fontId="0" fillId="5" borderId="16" xfId="0" applyFill="1" applyBorder="1"/>
    <xf numFmtId="0" fontId="30" fillId="5" borderId="16" xfId="0" applyFont="1" applyFill="1" applyBorder="1" applyAlignment="1">
      <alignment horizontal="center" vertical="center"/>
    </xf>
    <xf numFmtId="0" fontId="0" fillId="10" borderId="54" xfId="0" applyFill="1" applyBorder="1" applyAlignment="1">
      <alignment horizontal="center" vertical="center"/>
    </xf>
    <xf numFmtId="0" fontId="0" fillId="22" borderId="22" xfId="0" applyFill="1" applyBorder="1" applyAlignment="1">
      <alignment horizontal="center" vertical="center"/>
    </xf>
    <xf numFmtId="0" fontId="0" fillId="21" borderId="22" xfId="0" applyFill="1" applyBorder="1" applyAlignment="1">
      <alignment horizontal="center" vertical="center"/>
    </xf>
    <xf numFmtId="0" fontId="0" fillId="20" borderId="23" xfId="0" applyFill="1" applyBorder="1" applyAlignment="1">
      <alignment horizontal="center" vertical="center"/>
    </xf>
    <xf numFmtId="0" fontId="0" fillId="22" borderId="1" xfId="0" applyFill="1" applyBorder="1"/>
    <xf numFmtId="0" fontId="0" fillId="5" borderId="127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10" borderId="1" xfId="0" applyFill="1" applyBorder="1"/>
    <xf numFmtId="0" fontId="0" fillId="10" borderId="14" xfId="0" applyFill="1" applyBorder="1"/>
    <xf numFmtId="0" fontId="0" fillId="23" borderId="2" xfId="0" applyFill="1" applyBorder="1" applyAlignment="1">
      <alignment horizontal="center"/>
    </xf>
    <xf numFmtId="0" fontId="0" fillId="7" borderId="127" xfId="0" applyFill="1" applyBorder="1" applyAlignment="1">
      <alignment horizontal="center" vertical="center"/>
    </xf>
    <xf numFmtId="0" fontId="30" fillId="18" borderId="3" xfId="0" applyFont="1" applyFill="1" applyBorder="1" applyAlignment="1">
      <alignment horizontal="center" vertical="center"/>
    </xf>
    <xf numFmtId="0" fontId="30" fillId="18" borderId="1" xfId="0" applyFont="1" applyFill="1" applyBorder="1" applyAlignment="1">
      <alignment horizontal="center" vertical="center"/>
    </xf>
    <xf numFmtId="0" fontId="30" fillId="18" borderId="16" xfId="0" applyFont="1" applyFill="1" applyBorder="1" applyAlignment="1">
      <alignment horizontal="center" vertical="center"/>
    </xf>
    <xf numFmtId="0" fontId="0" fillId="10" borderId="11" xfId="0" applyFill="1" applyBorder="1"/>
    <xf numFmtId="0" fontId="0" fillId="5" borderId="82" xfId="0" applyFill="1" applyBorder="1" applyAlignment="1">
      <alignment horizontal="center" vertical="center"/>
    </xf>
    <xf numFmtId="0" fontId="0" fillId="6" borderId="127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22" borderId="14" xfId="0" applyFill="1" applyBorder="1"/>
    <xf numFmtId="0" fontId="0" fillId="22" borderId="10" xfId="0" applyFill="1" applyBorder="1"/>
    <xf numFmtId="0" fontId="0" fillId="20" borderId="8" xfId="0" applyFill="1" applyBorder="1"/>
    <xf numFmtId="0" fontId="0" fillId="21" borderId="1" xfId="0" applyFill="1" applyBorder="1"/>
    <xf numFmtId="0" fontId="0" fillId="21" borderId="10" xfId="0" applyFill="1" applyBorder="1"/>
    <xf numFmtId="0" fontId="0" fillId="21" borderId="8" xfId="0" applyFill="1" applyBorder="1"/>
    <xf numFmtId="0" fontId="0" fillId="20" borderId="1" xfId="0" applyFill="1" applyBorder="1"/>
    <xf numFmtId="0" fontId="0" fillId="20" borderId="14" xfId="0" applyFill="1" applyBorder="1"/>
    <xf numFmtId="0" fontId="0" fillId="0" borderId="125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204" xfId="0" applyBorder="1" applyAlignment="1">
      <alignment horizontal="center" vertical="center"/>
    </xf>
    <xf numFmtId="14" fontId="0" fillId="0" borderId="54" xfId="0" applyNumberFormat="1" applyBorder="1" applyAlignment="1">
      <alignment horizontal="center" vertical="center"/>
    </xf>
    <xf numFmtId="0" fontId="0" fillId="5" borderId="83" xfId="0" applyFill="1" applyBorder="1"/>
    <xf numFmtId="0" fontId="0" fillId="5" borderId="206" xfId="0" applyFill="1" applyBorder="1"/>
    <xf numFmtId="0" fontId="0" fillId="22" borderId="11" xfId="0" applyFill="1" applyBorder="1"/>
    <xf numFmtId="0" fontId="0" fillId="22" borderId="3" xfId="0" applyFill="1" applyBorder="1"/>
    <xf numFmtId="14" fontId="0" fillId="0" borderId="23" xfId="0" applyNumberFormat="1" applyBorder="1" applyAlignment="1">
      <alignment horizontal="center" vertical="center"/>
    </xf>
    <xf numFmtId="0" fontId="0" fillId="7" borderId="133" xfId="0" applyFill="1" applyBorder="1" applyAlignment="1">
      <alignment horizontal="center" vertical="center"/>
    </xf>
    <xf numFmtId="0" fontId="0" fillId="7" borderId="16" xfId="0" applyFill="1" applyBorder="1" applyAlignment="1">
      <alignment horizontal="center" vertical="center"/>
    </xf>
    <xf numFmtId="0" fontId="0" fillId="5" borderId="17" xfId="0" applyFill="1" applyBorder="1"/>
    <xf numFmtId="0" fontId="0" fillId="5" borderId="80" xfId="0" applyFill="1" applyBorder="1"/>
    <xf numFmtId="0" fontId="0" fillId="5" borderId="32" xfId="0" applyFill="1" applyBorder="1"/>
    <xf numFmtId="0" fontId="0" fillId="21" borderId="14" xfId="0" applyFill="1" applyBorder="1"/>
    <xf numFmtId="0" fontId="0" fillId="10" borderId="13" xfId="0" applyFill="1" applyBorder="1"/>
    <xf numFmtId="0" fontId="0" fillId="20" borderId="13" xfId="0" applyFill="1" applyBorder="1"/>
    <xf numFmtId="0" fontId="0" fillId="2" borderId="125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14" fontId="2" fillId="0" borderId="169" xfId="0" applyNumberFormat="1" applyFont="1" applyBorder="1" applyAlignment="1">
      <alignment vertical="center"/>
    </xf>
    <xf numFmtId="14" fontId="2" fillId="0" borderId="183" xfId="0" applyNumberFormat="1" applyFont="1" applyBorder="1" applyAlignment="1">
      <alignment vertical="center"/>
    </xf>
    <xf numFmtId="44" fontId="8" fillId="0" borderId="8" xfId="1" applyFont="1" applyBorder="1" applyAlignment="1">
      <alignment horizontal="center" vertical="center"/>
    </xf>
    <xf numFmtId="44" fontId="8" fillId="0" borderId="79" xfId="1" applyFont="1" applyBorder="1" applyAlignment="1">
      <alignment horizontal="center" vertical="center"/>
    </xf>
    <xf numFmtId="44" fontId="8" fillId="0" borderId="175" xfId="1" applyFont="1" applyBorder="1" applyAlignment="1">
      <alignment vertical="center"/>
    </xf>
    <xf numFmtId="44" fontId="8" fillId="0" borderId="189" xfId="1" applyFont="1" applyBorder="1" applyAlignment="1">
      <alignment vertical="center"/>
    </xf>
    <xf numFmtId="44" fontId="8" fillId="0" borderId="83" xfId="1" applyFont="1" applyBorder="1" applyAlignment="1">
      <alignment horizontal="center" vertical="center"/>
    </xf>
    <xf numFmtId="44" fontId="8" fillId="0" borderId="80" xfId="1" applyFont="1" applyBorder="1" applyAlignment="1">
      <alignment horizontal="center" vertical="center"/>
    </xf>
    <xf numFmtId="164" fontId="4" fillId="0" borderId="47" xfId="0" applyNumberFormat="1" applyFont="1" applyBorder="1" applyAlignment="1">
      <alignment horizontal="center" vertical="center"/>
    </xf>
    <xf numFmtId="164" fontId="2" fillId="0" borderId="47" xfId="0" applyNumberFormat="1" applyFont="1" applyBorder="1"/>
    <xf numFmtId="164" fontId="8" fillId="0" borderId="0" xfId="0" applyNumberFormat="1" applyFont="1" applyAlignment="1">
      <alignment horizontal="center" vertical="center"/>
    </xf>
    <xf numFmtId="164" fontId="8" fillId="0" borderId="175" xfId="1" applyNumberFormat="1" applyFont="1" applyBorder="1" applyAlignment="1">
      <alignment horizontal="center" vertical="center"/>
    </xf>
    <xf numFmtId="164" fontId="2" fillId="0" borderId="18" xfId="0" applyNumberFormat="1" applyFont="1" applyBorder="1" applyAlignment="1">
      <alignment horizontal="center" vertical="center"/>
    </xf>
    <xf numFmtId="164" fontId="2" fillId="0" borderId="19" xfId="0" applyNumberFormat="1" applyFont="1" applyBorder="1" applyAlignment="1">
      <alignment horizontal="center" vertical="center"/>
    </xf>
    <xf numFmtId="164" fontId="2" fillId="0" borderId="58" xfId="0" applyNumberFormat="1" applyFont="1" applyBorder="1" applyAlignment="1">
      <alignment horizontal="center" vertical="center"/>
    </xf>
    <xf numFmtId="164" fontId="2" fillId="0" borderId="185" xfId="0" applyNumberFormat="1" applyFont="1" applyBorder="1" applyAlignment="1">
      <alignment horizontal="center" vertical="center"/>
    </xf>
    <xf numFmtId="164" fontId="2" fillId="0" borderId="20" xfId="0" applyNumberFormat="1" applyFont="1" applyBorder="1" applyAlignment="1">
      <alignment horizontal="center" vertical="center"/>
    </xf>
    <xf numFmtId="164" fontId="4" fillId="0" borderId="19" xfId="0" applyNumberFormat="1" applyFont="1" applyBorder="1" applyAlignment="1">
      <alignment horizontal="center" vertical="center"/>
    </xf>
    <xf numFmtId="14" fontId="2" fillId="6" borderId="22" xfId="0" applyNumberFormat="1" applyFont="1" applyFill="1" applyBorder="1" applyAlignment="1">
      <alignment horizontal="center" vertical="center"/>
    </xf>
    <xf numFmtId="0" fontId="32" fillId="18" borderId="1" xfId="0" applyFont="1" applyFill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14" fontId="3" fillId="0" borderId="19" xfId="0" applyNumberFormat="1" applyFont="1" applyBorder="1" applyAlignment="1">
      <alignment horizontal="center" vertical="center"/>
    </xf>
    <xf numFmtId="14" fontId="3" fillId="0" borderId="217" xfId="0" applyNumberFormat="1" applyFont="1" applyBorder="1" applyAlignment="1">
      <alignment horizontal="center" vertical="center"/>
    </xf>
    <xf numFmtId="14" fontId="3" fillId="0" borderId="218" xfId="0" applyNumberFormat="1" applyFont="1" applyBorder="1" applyAlignment="1">
      <alignment horizontal="center" vertical="center"/>
    </xf>
    <xf numFmtId="0" fontId="31" fillId="0" borderId="47" xfId="0" applyFont="1" applyBorder="1" applyAlignment="1">
      <alignment horizontal="center" vertical="center"/>
    </xf>
    <xf numFmtId="0" fontId="2" fillId="0" borderId="217" xfId="0" applyFont="1" applyBorder="1" applyAlignment="1">
      <alignment horizontal="center"/>
    </xf>
    <xf numFmtId="0" fontId="2" fillId="0" borderId="218" xfId="0" applyFont="1" applyBorder="1" applyAlignment="1">
      <alignment horizontal="center"/>
    </xf>
    <xf numFmtId="0" fontId="2" fillId="0" borderId="18" xfId="0" applyFont="1" applyBorder="1"/>
    <xf numFmtId="14" fontId="3" fillId="0" borderId="22" xfId="0" applyNumberFormat="1" applyFont="1" applyBorder="1" applyAlignment="1">
      <alignment horizontal="center" vertical="center" wrapText="1"/>
    </xf>
    <xf numFmtId="0" fontId="23" fillId="0" borderId="7" xfId="0" applyFont="1" applyBorder="1" applyAlignment="1">
      <alignment horizontal="center" vertical="center" wrapText="1"/>
    </xf>
    <xf numFmtId="0" fontId="23" fillId="0" borderId="87" xfId="0" applyFont="1" applyBorder="1" applyAlignment="1">
      <alignment horizontal="center" vertical="center" wrapText="1"/>
    </xf>
    <xf numFmtId="0" fontId="23" fillId="0" borderId="9" xfId="0" applyFont="1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87" xfId="0" applyBorder="1" applyAlignment="1">
      <alignment horizontal="center" vertical="center" wrapText="1"/>
    </xf>
    <xf numFmtId="0" fontId="0" fillId="0" borderId="8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4" xfId="0" applyBorder="1" applyAlignment="1">
      <alignment horizontal="center" vertical="center" wrapText="1"/>
    </xf>
    <xf numFmtId="0" fontId="0" fillId="0" borderId="207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10" borderId="50" xfId="0" applyFill="1" applyBorder="1" applyAlignment="1">
      <alignment horizontal="center" vertical="center" wrapText="1"/>
    </xf>
    <xf numFmtId="0" fontId="0" fillId="10" borderId="41" xfId="0" applyFill="1" applyBorder="1" applyAlignment="1">
      <alignment horizontal="center" vertical="center" wrapText="1"/>
    </xf>
    <xf numFmtId="0" fontId="0" fillId="10" borderId="81" xfId="0" applyFill="1" applyBorder="1" applyAlignment="1">
      <alignment horizontal="center" vertical="center" wrapText="1"/>
    </xf>
    <xf numFmtId="0" fontId="0" fillId="10" borderId="25" xfId="0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7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2" fillId="0" borderId="89" xfId="0" applyFont="1" applyBorder="1" applyAlignment="1">
      <alignment horizontal="center" vertical="center" wrapText="1"/>
    </xf>
    <xf numFmtId="0" fontId="2" fillId="0" borderId="90" xfId="0" applyFont="1" applyBorder="1" applyAlignment="1">
      <alignment horizontal="center" vertical="center" wrapText="1"/>
    </xf>
    <xf numFmtId="0" fontId="2" fillId="0" borderId="91" xfId="0" applyFont="1" applyBorder="1" applyAlignment="1">
      <alignment horizontal="center" vertical="center" wrapText="1"/>
    </xf>
    <xf numFmtId="0" fontId="2" fillId="0" borderId="92" xfId="0" applyFont="1" applyBorder="1" applyAlignment="1">
      <alignment horizontal="center" vertical="center" wrapText="1"/>
    </xf>
    <xf numFmtId="0" fontId="2" fillId="0" borderId="93" xfId="0" applyFont="1" applyBorder="1" applyAlignment="1">
      <alignment horizontal="center" vertical="center" wrapText="1"/>
    </xf>
    <xf numFmtId="0" fontId="2" fillId="0" borderId="94" xfId="0" applyFont="1" applyBorder="1" applyAlignment="1">
      <alignment horizontal="center" vertical="center" wrapText="1"/>
    </xf>
    <xf numFmtId="0" fontId="2" fillId="0" borderId="96" xfId="0" applyFont="1" applyBorder="1" applyAlignment="1">
      <alignment horizontal="center" vertical="center" wrapText="1"/>
    </xf>
    <xf numFmtId="0" fontId="2" fillId="0" borderId="97" xfId="0" applyFont="1" applyBorder="1" applyAlignment="1">
      <alignment horizontal="center" vertical="center" wrapText="1"/>
    </xf>
    <xf numFmtId="0" fontId="2" fillId="0" borderId="98" xfId="0" applyFont="1" applyBorder="1" applyAlignment="1">
      <alignment horizontal="center" vertical="center" wrapText="1"/>
    </xf>
    <xf numFmtId="0" fontId="2" fillId="0" borderId="99" xfId="0" applyFont="1" applyBorder="1" applyAlignment="1">
      <alignment horizontal="center" vertical="center" wrapText="1"/>
    </xf>
    <xf numFmtId="0" fontId="2" fillId="0" borderId="100" xfId="0" applyFont="1" applyBorder="1" applyAlignment="1">
      <alignment horizontal="center" vertical="center" wrapText="1"/>
    </xf>
    <xf numFmtId="0" fontId="2" fillId="0" borderId="10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2" fillId="0" borderId="158" xfId="0" applyFont="1" applyBorder="1" applyAlignment="1">
      <alignment horizontal="center" vertical="center" wrapText="1"/>
    </xf>
    <xf numFmtId="0" fontId="2" fillId="0" borderId="52" xfId="0" applyFont="1" applyBorder="1" applyAlignment="1">
      <alignment horizontal="center" vertical="center" wrapText="1"/>
    </xf>
    <xf numFmtId="0" fontId="2" fillId="0" borderId="53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2" fillId="0" borderId="68" xfId="0" applyFont="1" applyBorder="1" applyAlignment="1">
      <alignment horizontal="center" vertical="center"/>
    </xf>
    <xf numFmtId="0" fontId="2" fillId="0" borderId="69" xfId="0" applyFont="1" applyBorder="1" applyAlignment="1">
      <alignment horizontal="center" vertical="center"/>
    </xf>
    <xf numFmtId="0" fontId="2" fillId="0" borderId="70" xfId="0" applyFont="1" applyBorder="1" applyAlignment="1">
      <alignment horizontal="center" vertical="center"/>
    </xf>
    <xf numFmtId="0" fontId="2" fillId="0" borderId="50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2" fillId="0" borderId="52" xfId="0" applyFont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  <xf numFmtId="0" fontId="2" fillId="0" borderId="168" xfId="0" applyFont="1" applyBorder="1" applyAlignment="1">
      <alignment horizontal="center" vertical="center"/>
    </xf>
    <xf numFmtId="0" fontId="2" fillId="0" borderId="182" xfId="0" applyFont="1" applyBorder="1" applyAlignment="1">
      <alignment horizontal="center" vertical="center"/>
    </xf>
    <xf numFmtId="0" fontId="2" fillId="0" borderId="169" xfId="0" applyFont="1" applyBorder="1" applyAlignment="1">
      <alignment horizontal="center" vertical="center"/>
    </xf>
    <xf numFmtId="0" fontId="2" fillId="0" borderId="183" xfId="0" applyFont="1" applyBorder="1" applyAlignment="1">
      <alignment horizontal="center" vertical="center"/>
    </xf>
    <xf numFmtId="14" fontId="2" fillId="0" borderId="169" xfId="0" applyNumberFormat="1" applyFont="1" applyBorder="1" applyAlignment="1">
      <alignment horizontal="center" vertical="center"/>
    </xf>
    <xf numFmtId="14" fontId="2" fillId="0" borderId="183" xfId="0" applyNumberFormat="1" applyFont="1" applyBorder="1" applyAlignment="1">
      <alignment horizontal="center" vertical="center"/>
    </xf>
    <xf numFmtId="14" fontId="3" fillId="0" borderId="169" xfId="0" applyNumberFormat="1" applyFont="1" applyBorder="1" applyAlignment="1">
      <alignment horizontal="center" vertical="center"/>
    </xf>
    <xf numFmtId="14" fontId="3" fillId="0" borderId="183" xfId="0" applyNumberFormat="1" applyFont="1" applyBorder="1" applyAlignment="1">
      <alignment horizontal="center" vertical="center"/>
    </xf>
    <xf numFmtId="14" fontId="2" fillId="0" borderId="172" xfId="0" applyNumberFormat="1" applyFont="1" applyBorder="1" applyAlignment="1">
      <alignment horizontal="center" vertical="center"/>
    </xf>
    <xf numFmtId="14" fontId="2" fillId="0" borderId="186" xfId="0" applyNumberFormat="1" applyFont="1" applyBorder="1" applyAlignment="1">
      <alignment horizontal="center" vertical="center"/>
    </xf>
    <xf numFmtId="14" fontId="2" fillId="0" borderId="174" xfId="0" applyNumberFormat="1" applyFont="1" applyBorder="1" applyAlignment="1">
      <alignment horizontal="center" vertical="center"/>
    </xf>
    <xf numFmtId="14" fontId="2" fillId="0" borderId="188" xfId="0" applyNumberFormat="1" applyFont="1" applyBorder="1" applyAlignment="1">
      <alignment horizontal="center" vertical="center"/>
    </xf>
    <xf numFmtId="14" fontId="2" fillId="0" borderId="175" xfId="0" applyNumberFormat="1" applyFont="1" applyBorder="1" applyAlignment="1">
      <alignment horizontal="center" vertical="center"/>
    </xf>
    <xf numFmtId="14" fontId="2" fillId="0" borderId="189" xfId="0" applyNumberFormat="1" applyFont="1" applyBorder="1" applyAlignment="1">
      <alignment horizontal="center" vertical="center"/>
    </xf>
    <xf numFmtId="0" fontId="2" fillId="0" borderId="180" xfId="0" applyFont="1" applyBorder="1" applyAlignment="1">
      <alignment horizontal="center" vertical="center"/>
    </xf>
    <xf numFmtId="0" fontId="2" fillId="0" borderId="193" xfId="0" applyFont="1" applyBorder="1" applyAlignment="1">
      <alignment horizontal="center" vertical="center"/>
    </xf>
    <xf numFmtId="0" fontId="2" fillId="0" borderId="169" xfId="0" applyFont="1" applyBorder="1" applyAlignment="1">
      <alignment horizontal="center"/>
    </xf>
    <xf numFmtId="0" fontId="2" fillId="0" borderId="183" xfId="0" applyFont="1" applyBorder="1" applyAlignment="1">
      <alignment horizontal="center"/>
    </xf>
    <xf numFmtId="0" fontId="2" fillId="0" borderId="84" xfId="0" applyFont="1" applyBorder="1" applyAlignment="1">
      <alignment horizontal="center" vertical="center"/>
    </xf>
    <xf numFmtId="0" fontId="2" fillId="0" borderId="67" xfId="0" applyFont="1" applyBorder="1" applyAlignment="1">
      <alignment horizontal="center" vertical="center"/>
    </xf>
    <xf numFmtId="0" fontId="2" fillId="0" borderId="174" xfId="0" applyFont="1" applyBorder="1" applyAlignment="1">
      <alignment horizontal="center"/>
    </xf>
    <xf numFmtId="0" fontId="2" fillId="0" borderId="188" xfId="0" applyFont="1" applyBorder="1" applyAlignment="1">
      <alignment horizontal="center"/>
    </xf>
    <xf numFmtId="44" fontId="8" fillId="0" borderId="175" xfId="1" applyFont="1" applyBorder="1" applyAlignment="1">
      <alignment horizontal="center" vertical="center"/>
    </xf>
    <xf numFmtId="44" fontId="8" fillId="0" borderId="189" xfId="1" applyFont="1" applyBorder="1" applyAlignment="1">
      <alignment horizontal="center" vertical="center"/>
    </xf>
    <xf numFmtId="164" fontId="4" fillId="0" borderId="176" xfId="0" applyNumberFormat="1" applyFont="1" applyBorder="1" applyAlignment="1">
      <alignment horizontal="center" vertical="center"/>
    </xf>
    <xf numFmtId="164" fontId="4" fillId="0" borderId="190" xfId="0" applyNumberFormat="1" applyFont="1" applyBorder="1" applyAlignment="1">
      <alignment horizontal="center" vertical="center"/>
    </xf>
    <xf numFmtId="0" fontId="2" fillId="0" borderId="178" xfId="0" applyFont="1" applyBorder="1" applyAlignment="1">
      <alignment horizontal="center" vertical="center"/>
    </xf>
    <xf numFmtId="0" fontId="2" fillId="0" borderId="192" xfId="0" applyFont="1" applyBorder="1" applyAlignment="1">
      <alignment horizontal="center" vertical="center"/>
    </xf>
    <xf numFmtId="0" fontId="3" fillId="0" borderId="183" xfId="0" applyFont="1" applyBorder="1" applyAlignment="1">
      <alignment horizontal="center" vertical="center"/>
    </xf>
    <xf numFmtId="14" fontId="2" fillId="0" borderId="174" xfId="0" applyNumberFormat="1" applyFont="1" applyBorder="1" applyAlignment="1">
      <alignment horizontal="center"/>
    </xf>
    <xf numFmtId="14" fontId="2" fillId="0" borderId="188" xfId="0" applyNumberFormat="1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23" xfId="0" applyFont="1" applyBorder="1" applyAlignment="1">
      <alignment horizontal="center"/>
    </xf>
    <xf numFmtId="0" fontId="7" fillId="0" borderId="84" xfId="0" applyFont="1" applyBorder="1" applyAlignment="1">
      <alignment horizontal="center"/>
    </xf>
    <xf numFmtId="0" fontId="7" fillId="0" borderId="207" xfId="0" applyFont="1" applyBorder="1" applyAlignment="1">
      <alignment horizontal="center"/>
    </xf>
    <xf numFmtId="0" fontId="7" fillId="0" borderId="67" xfId="0" applyFont="1" applyBorder="1" applyAlignment="1">
      <alignment horizontal="center"/>
    </xf>
    <xf numFmtId="0" fontId="7" fillId="0" borderId="133" xfId="0" applyFont="1" applyBorder="1" applyAlignment="1">
      <alignment horizontal="center"/>
    </xf>
    <xf numFmtId="0" fontId="7" fillId="0" borderId="51" xfId="0" applyFont="1" applyBorder="1" applyAlignment="1">
      <alignment horizontal="center"/>
    </xf>
    <xf numFmtId="0" fontId="7" fillId="0" borderId="45" xfId="0" applyFont="1" applyBorder="1" applyAlignment="1">
      <alignment horizontal="center"/>
    </xf>
    <xf numFmtId="0" fontId="7" fillId="0" borderId="205" xfId="0" applyFont="1" applyBorder="1" applyAlignment="1">
      <alignment horizontal="center"/>
    </xf>
    <xf numFmtId="0" fontId="7" fillId="0" borderId="27" xfId="0" applyFont="1" applyBorder="1" applyAlignment="1">
      <alignment horizontal="center"/>
    </xf>
    <xf numFmtId="0" fontId="7" fillId="0" borderId="28" xfId="0" applyFont="1" applyBorder="1" applyAlignment="1">
      <alignment horizontal="center"/>
    </xf>
    <xf numFmtId="0" fontId="7" fillId="0" borderId="30" xfId="0" applyFont="1" applyBorder="1" applyAlignment="1">
      <alignment horizontal="center"/>
    </xf>
    <xf numFmtId="0" fontId="7" fillId="0" borderId="29" xfId="0" applyFont="1" applyBorder="1" applyAlignment="1">
      <alignment horizontal="center"/>
    </xf>
    <xf numFmtId="0" fontId="7" fillId="0" borderId="72" xfId="0" applyFont="1" applyBorder="1" applyAlignment="1">
      <alignment horizontal="center"/>
    </xf>
    <xf numFmtId="0" fontId="7" fillId="0" borderId="125" xfId="0" applyFont="1" applyBorder="1" applyAlignment="1">
      <alignment horizontal="center"/>
    </xf>
    <xf numFmtId="0" fontId="7" fillId="0" borderId="204" xfId="0" applyFont="1" applyBorder="1" applyAlignment="1">
      <alignment horizontal="center"/>
    </xf>
    <xf numFmtId="0" fontId="7" fillId="0" borderId="18" xfId="0" applyFont="1" applyBorder="1" applyAlignment="1">
      <alignment horizontal="center"/>
    </xf>
  </cellXfs>
  <cellStyles count="2">
    <cellStyle name="Monétaire" xfId="1" builtinId="4"/>
    <cellStyle name="Normal" xfId="0" builtinId="0"/>
  </cellStyles>
  <dxfs count="20"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0</xdr:row>
      <xdr:rowOff>95250</xdr:rowOff>
    </xdr:from>
    <xdr:to>
      <xdr:col>2</xdr:col>
      <xdr:colOff>801461</xdr:colOff>
      <xdr:row>6</xdr:row>
      <xdr:rowOff>57150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2F33991D-ED70-4AD6-9091-466FF947A8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0" y="95250"/>
          <a:ext cx="1753961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226554</xdr:colOff>
      <xdr:row>0</xdr:row>
      <xdr:rowOff>115957</xdr:rowOff>
    </xdr:from>
    <xdr:to>
      <xdr:col>3</xdr:col>
      <xdr:colOff>1086971</xdr:colOff>
      <xdr:row>2</xdr:row>
      <xdr:rowOff>67235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DF54303C-E487-4262-B951-1708FAFA59A7}"/>
            </a:ext>
          </a:extLst>
        </xdr:cNvPr>
        <xdr:cNvSpPr/>
      </xdr:nvSpPr>
      <xdr:spPr>
        <a:xfrm>
          <a:off x="3722229" y="115957"/>
          <a:ext cx="860417" cy="351328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 editAs="oneCell">
    <xdr:from>
      <xdr:col>3</xdr:col>
      <xdr:colOff>1</xdr:colOff>
      <xdr:row>0</xdr:row>
      <xdr:rowOff>19051</xdr:rowOff>
    </xdr:from>
    <xdr:to>
      <xdr:col>4</xdr:col>
      <xdr:colOff>773206</xdr:colOff>
      <xdr:row>12</xdr:row>
      <xdr:rowOff>1132711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3FBCFAEC-C85D-42A8-AA6E-03AB74463C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96236" y="19051"/>
          <a:ext cx="3428999" cy="35341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BBA58-1F1B-4062-9CE6-B3F523D5F292}">
  <dimension ref="A1:J16"/>
  <sheetViews>
    <sheetView workbookViewId="0">
      <selection activeCell="I9" sqref="I9"/>
    </sheetView>
  </sheetViews>
  <sheetFormatPr baseColWidth="10" defaultRowHeight="14.5" x14ac:dyDescent="0.35"/>
  <cols>
    <col min="1" max="1" width="23.1796875" bestFit="1" customWidth="1"/>
    <col min="2" max="2" width="30.1796875" customWidth="1"/>
    <col min="3" max="3" width="18.453125" customWidth="1"/>
    <col min="4" max="4" width="23.1796875" customWidth="1"/>
    <col min="5" max="5" width="20.54296875" customWidth="1"/>
    <col min="7" max="8" width="16.453125" customWidth="1"/>
    <col min="9" max="9" width="30.54296875" customWidth="1"/>
    <col min="10" max="10" width="13.81640625" bestFit="1" customWidth="1"/>
  </cols>
  <sheetData>
    <row r="1" spans="1:10" ht="15" thickBot="1" x14ac:dyDescent="0.4"/>
    <row r="2" spans="1:10" ht="44.25" customHeight="1" thickBot="1" x14ac:dyDescent="0.4">
      <c r="B2" s="729" t="s">
        <v>181</v>
      </c>
      <c r="C2" s="98" t="s">
        <v>187</v>
      </c>
      <c r="D2" s="98" t="s">
        <v>188</v>
      </c>
      <c r="E2" s="98" t="s">
        <v>513</v>
      </c>
      <c r="F2" s="98" t="s">
        <v>522</v>
      </c>
      <c r="G2" s="98" t="s">
        <v>640</v>
      </c>
      <c r="H2" s="852"/>
      <c r="I2" s="852" t="s">
        <v>504</v>
      </c>
      <c r="J2" s="729" t="s">
        <v>529</v>
      </c>
    </row>
    <row r="3" spans="1:10" ht="19" thickBot="1" x14ac:dyDescent="0.4">
      <c r="B3" s="861" t="s">
        <v>500</v>
      </c>
      <c r="C3" s="862"/>
      <c r="D3" s="862"/>
      <c r="E3" s="862"/>
      <c r="F3" s="863"/>
    </row>
    <row r="4" spans="1:10" ht="32.25" customHeight="1" thickTop="1" thickBot="1" x14ac:dyDescent="0.4">
      <c r="B4" s="727" t="s">
        <v>182</v>
      </c>
      <c r="C4" s="728" t="s">
        <v>189</v>
      </c>
      <c r="D4" s="728" t="s">
        <v>190</v>
      </c>
      <c r="E4" s="728" t="s">
        <v>514</v>
      </c>
      <c r="F4" s="727"/>
      <c r="G4" t="s">
        <v>641</v>
      </c>
      <c r="I4" s="730" t="s">
        <v>292</v>
      </c>
    </row>
    <row r="5" spans="1:10" ht="39" customHeight="1" thickTop="1" thickBot="1" x14ac:dyDescent="0.4">
      <c r="B5" s="91" t="s">
        <v>183</v>
      </c>
      <c r="C5" s="93" t="s">
        <v>191</v>
      </c>
      <c r="D5" s="93" t="s">
        <v>192</v>
      </c>
      <c r="E5" s="93" t="s">
        <v>514</v>
      </c>
      <c r="F5" s="91"/>
      <c r="G5" t="s">
        <v>641</v>
      </c>
      <c r="I5" s="730" t="s">
        <v>146</v>
      </c>
      <c r="J5" s="730" t="s">
        <v>528</v>
      </c>
    </row>
    <row r="6" spans="1:10" ht="30" customHeight="1" thickTop="1" thickBot="1" x14ac:dyDescent="0.4">
      <c r="B6" s="92" t="s">
        <v>186</v>
      </c>
      <c r="C6" s="94" t="s">
        <v>198</v>
      </c>
      <c r="D6" s="94" t="s">
        <v>193</v>
      </c>
      <c r="E6" s="94" t="s">
        <v>514</v>
      </c>
      <c r="F6" s="92"/>
      <c r="G6" t="s">
        <v>641</v>
      </c>
      <c r="I6" s="730" t="s">
        <v>505</v>
      </c>
    </row>
    <row r="7" spans="1:10" ht="31.5" customHeight="1" thickTop="1" x14ac:dyDescent="0.35">
      <c r="B7" s="92" t="s">
        <v>186</v>
      </c>
      <c r="C7" s="94" t="s">
        <v>199</v>
      </c>
      <c r="D7" s="94" t="s">
        <v>194</v>
      </c>
      <c r="E7" s="94" t="s">
        <v>515</v>
      </c>
      <c r="F7" s="92"/>
      <c r="G7" t="s">
        <v>641</v>
      </c>
    </row>
    <row r="8" spans="1:10" ht="23.25" customHeight="1" x14ac:dyDescent="0.35">
      <c r="B8" s="92" t="s">
        <v>184</v>
      </c>
      <c r="C8" s="94" t="s">
        <v>200</v>
      </c>
      <c r="D8" s="94" t="s">
        <v>195</v>
      </c>
      <c r="E8" s="94" t="s">
        <v>514</v>
      </c>
      <c r="F8" s="92"/>
      <c r="G8" t="s">
        <v>641</v>
      </c>
    </row>
    <row r="9" spans="1:10" ht="26.25" customHeight="1" x14ac:dyDescent="0.35">
      <c r="B9" s="95" t="s">
        <v>186</v>
      </c>
      <c r="C9" s="95" t="s">
        <v>201</v>
      </c>
      <c r="D9" s="95" t="s">
        <v>197</v>
      </c>
      <c r="E9" s="95" t="s">
        <v>515</v>
      </c>
      <c r="F9" s="95"/>
      <c r="G9" t="s">
        <v>641</v>
      </c>
    </row>
    <row r="10" spans="1:10" ht="30" customHeight="1" x14ac:dyDescent="0.35">
      <c r="B10" s="95" t="s">
        <v>185</v>
      </c>
      <c r="C10" s="95" t="s">
        <v>202</v>
      </c>
      <c r="D10" s="95" t="s">
        <v>196</v>
      </c>
      <c r="E10" s="95" t="s">
        <v>515</v>
      </c>
      <c r="F10" s="95"/>
      <c r="G10" t="s">
        <v>641</v>
      </c>
    </row>
    <row r="11" spans="1:10" x14ac:dyDescent="0.35">
      <c r="B11" s="851" t="s">
        <v>501</v>
      </c>
      <c r="C11" s="851" t="s">
        <v>502</v>
      </c>
      <c r="D11" s="851" t="s">
        <v>503</v>
      </c>
      <c r="E11" s="851" t="s">
        <v>515</v>
      </c>
      <c r="F11" s="851"/>
      <c r="G11" t="s">
        <v>641</v>
      </c>
    </row>
    <row r="12" spans="1:10" ht="40.5" customHeight="1" x14ac:dyDescent="0.35">
      <c r="B12" s="95" t="s">
        <v>645</v>
      </c>
      <c r="C12" s="95" t="s">
        <v>642</v>
      </c>
      <c r="D12" s="95" t="s">
        <v>643</v>
      </c>
      <c r="E12" s="95" t="s">
        <v>644</v>
      </c>
      <c r="F12" s="95"/>
      <c r="G12" t="s">
        <v>641</v>
      </c>
    </row>
    <row r="16" spans="1:10" x14ac:dyDescent="0.35">
      <c r="A16" s="684" t="s">
        <v>506</v>
      </c>
      <c r="B16" s="685">
        <v>4</v>
      </c>
    </row>
  </sheetData>
  <mergeCells count="1">
    <mergeCell ref="B3:F3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60EC-162B-4E50-AAD0-A3C8E37D4011}">
  <sheetPr codeName="Feuil2"/>
  <dimension ref="A1:L299"/>
  <sheetViews>
    <sheetView zoomScale="85" zoomScaleNormal="85" workbookViewId="0">
      <selection activeCell="A18" sqref="A18:XFD18"/>
    </sheetView>
  </sheetViews>
  <sheetFormatPr baseColWidth="10" defaultColWidth="11.453125" defaultRowHeight="14.5" x14ac:dyDescent="0.35"/>
  <cols>
    <col min="1" max="1" width="15.1796875" style="99" customWidth="1"/>
    <col min="2" max="2" width="19.453125" style="99" customWidth="1"/>
    <col min="3" max="3" width="34.1796875" style="99" bestFit="1" customWidth="1"/>
    <col min="4" max="4" width="15.81640625" style="99" bestFit="1" customWidth="1"/>
    <col min="5" max="5" width="30.26953125" style="99" bestFit="1" customWidth="1"/>
    <col min="6" max="6" width="6.26953125" style="99" bestFit="1" customWidth="1"/>
    <col min="7" max="9" width="14.1796875" style="99" bestFit="1" customWidth="1"/>
    <col min="10" max="10" width="27" style="99" bestFit="1" customWidth="1"/>
    <col min="11" max="11" width="23.81640625" style="99" customWidth="1"/>
    <col min="12" max="12" width="41" style="2" customWidth="1"/>
    <col min="13" max="13" width="11.453125" style="99"/>
    <col min="14" max="14" width="13.26953125" style="99" bestFit="1" customWidth="1"/>
    <col min="15" max="16384" width="11.453125" style="99"/>
  </cols>
  <sheetData>
    <row r="1" spans="1:12" ht="29.5" thickBot="1" x14ac:dyDescent="0.4">
      <c r="A1" s="96" t="s">
        <v>203</v>
      </c>
      <c r="B1" s="687" t="s">
        <v>33</v>
      </c>
      <c r="C1" s="687" t="s">
        <v>0</v>
      </c>
      <c r="D1" s="687" t="s">
        <v>143</v>
      </c>
      <c r="E1" s="687" t="s">
        <v>624</v>
      </c>
      <c r="F1" s="687" t="s">
        <v>512</v>
      </c>
      <c r="G1" s="688" t="s">
        <v>453</v>
      </c>
      <c r="H1" s="687" t="s">
        <v>454</v>
      </c>
      <c r="I1" s="687" t="s">
        <v>455</v>
      </c>
      <c r="J1" s="687" t="s">
        <v>447</v>
      </c>
      <c r="K1" s="687" t="s">
        <v>448</v>
      </c>
      <c r="L1" s="98" t="s">
        <v>205</v>
      </c>
    </row>
    <row r="2" spans="1:12" x14ac:dyDescent="0.35">
      <c r="A2" s="686" t="s">
        <v>446</v>
      </c>
      <c r="B2" s="626" t="s">
        <v>360</v>
      </c>
      <c r="C2" s="626" t="s">
        <v>63</v>
      </c>
      <c r="D2" s="626" t="s">
        <v>625</v>
      </c>
      <c r="E2" s="626" t="s">
        <v>62</v>
      </c>
      <c r="F2" s="626"/>
      <c r="G2" s="667">
        <v>45201</v>
      </c>
      <c r="H2" s="626"/>
      <c r="I2" s="626"/>
      <c r="J2" s="666">
        <v>45208</v>
      </c>
      <c r="K2" s="666">
        <v>45416</v>
      </c>
      <c r="L2" s="704" t="s">
        <v>463</v>
      </c>
    </row>
    <row r="3" spans="1:12" x14ac:dyDescent="0.35">
      <c r="A3" s="668"/>
      <c r="B3" s="100" t="s">
        <v>364</v>
      </c>
      <c r="C3" s="100" t="s">
        <v>365</v>
      </c>
      <c r="D3" s="100"/>
      <c r="E3" s="100" t="s">
        <v>62</v>
      </c>
      <c r="F3" s="626"/>
      <c r="G3" s="667">
        <v>45208</v>
      </c>
      <c r="H3" s="100"/>
      <c r="I3" s="100"/>
      <c r="J3" s="100"/>
      <c r="K3" s="100"/>
      <c r="L3" s="697"/>
    </row>
    <row r="4" spans="1:12" x14ac:dyDescent="0.35">
      <c r="A4" s="668"/>
      <c r="B4" s="100" t="s">
        <v>366</v>
      </c>
      <c r="C4" s="100" t="s">
        <v>66</v>
      </c>
      <c r="D4" s="100"/>
      <c r="E4" s="100" t="s">
        <v>62</v>
      </c>
      <c r="F4" s="626"/>
      <c r="G4" s="667">
        <v>45229</v>
      </c>
      <c r="H4" s="100"/>
      <c r="I4" s="100"/>
      <c r="J4" s="100"/>
      <c r="K4" s="100"/>
      <c r="L4" s="697"/>
    </row>
    <row r="5" spans="1:12" x14ac:dyDescent="0.35">
      <c r="A5" s="668"/>
      <c r="B5" s="100" t="s">
        <v>368</v>
      </c>
      <c r="C5" s="100" t="s">
        <v>67</v>
      </c>
      <c r="D5" s="100"/>
      <c r="E5" s="100" t="s">
        <v>62</v>
      </c>
      <c r="F5" s="626"/>
      <c r="G5" s="667">
        <v>45250</v>
      </c>
      <c r="H5" s="100"/>
      <c r="I5" s="100"/>
      <c r="J5" s="100"/>
      <c r="K5" s="100"/>
      <c r="L5" s="697"/>
    </row>
    <row r="6" spans="1:12" x14ac:dyDescent="0.35">
      <c r="A6" s="668"/>
      <c r="B6" s="100" t="s">
        <v>370</v>
      </c>
      <c r="C6" s="100" t="s">
        <v>65</v>
      </c>
      <c r="D6" s="100"/>
      <c r="E6" s="100" t="s">
        <v>62</v>
      </c>
      <c r="F6" s="626"/>
      <c r="G6" s="667">
        <v>45293</v>
      </c>
      <c r="H6" s="100"/>
      <c r="I6" s="100"/>
      <c r="J6" s="100"/>
      <c r="K6" s="100"/>
      <c r="L6" s="697"/>
    </row>
    <row r="7" spans="1:12" ht="29.5" thickBot="1" x14ac:dyDescent="0.4">
      <c r="A7" s="694"/>
      <c r="B7" s="690" t="s">
        <v>371</v>
      </c>
      <c r="C7" s="690" t="s">
        <v>68</v>
      </c>
      <c r="D7" s="690"/>
      <c r="E7" s="690" t="s">
        <v>62</v>
      </c>
      <c r="F7" s="689"/>
      <c r="G7" s="695">
        <v>45320</v>
      </c>
      <c r="H7" s="690"/>
      <c r="I7" s="690"/>
      <c r="J7" s="52"/>
      <c r="K7" s="691"/>
      <c r="L7" s="698" t="s">
        <v>372</v>
      </c>
    </row>
    <row r="8" spans="1:12" ht="15" thickTop="1" x14ac:dyDescent="0.35">
      <c r="A8" s="692" t="s">
        <v>446</v>
      </c>
      <c r="B8" s="693" t="s">
        <v>82</v>
      </c>
      <c r="C8" s="693" t="s">
        <v>87</v>
      </c>
      <c r="D8" s="693" t="s">
        <v>527</v>
      </c>
      <c r="E8" s="693" t="s">
        <v>116</v>
      </c>
      <c r="F8" s="693"/>
      <c r="G8" s="696">
        <v>45118</v>
      </c>
      <c r="H8" s="696" t="s">
        <v>123</v>
      </c>
      <c r="I8" s="696">
        <v>45299</v>
      </c>
      <c r="J8" s="693"/>
      <c r="K8" s="693"/>
      <c r="L8" s="692"/>
    </row>
    <row r="9" spans="1:12" x14ac:dyDescent="0.35">
      <c r="A9" s="3"/>
      <c r="B9" s="100" t="s">
        <v>89</v>
      </c>
      <c r="C9" s="100" t="s">
        <v>90</v>
      </c>
      <c r="D9" s="100"/>
      <c r="E9" s="100" t="s">
        <v>116</v>
      </c>
      <c r="F9" s="100"/>
      <c r="G9" s="666"/>
      <c r="H9" s="666"/>
      <c r="I9" s="666"/>
      <c r="J9" s="100"/>
      <c r="K9" s="100"/>
      <c r="L9" s="3"/>
    </row>
    <row r="10" spans="1:12" x14ac:dyDescent="0.35">
      <c r="A10" s="3"/>
      <c r="B10" s="100" t="s">
        <v>78</v>
      </c>
      <c r="C10" s="100" t="s">
        <v>79</v>
      </c>
      <c r="D10" s="100" t="s">
        <v>545</v>
      </c>
      <c r="E10" s="100" t="s">
        <v>116</v>
      </c>
      <c r="F10" s="100"/>
      <c r="G10" s="666">
        <v>45198</v>
      </c>
      <c r="H10" s="666" t="s">
        <v>149</v>
      </c>
      <c r="I10" s="666">
        <v>45229</v>
      </c>
      <c r="J10" s="100"/>
      <c r="K10" s="100"/>
      <c r="L10" s="3"/>
    </row>
    <row r="11" spans="1:12" x14ac:dyDescent="0.35">
      <c r="A11" s="3"/>
      <c r="B11" s="100" t="s">
        <v>76</v>
      </c>
      <c r="C11" s="100" t="s">
        <v>77</v>
      </c>
      <c r="D11" s="100" t="s">
        <v>550</v>
      </c>
      <c r="E11" s="100" t="s">
        <v>116</v>
      </c>
      <c r="F11" s="100"/>
      <c r="G11" s="666">
        <v>45191</v>
      </c>
      <c r="H11" s="666" t="s">
        <v>149</v>
      </c>
      <c r="I11" s="666">
        <v>45222</v>
      </c>
      <c r="J11" s="100"/>
      <c r="K11" s="100"/>
      <c r="L11" s="3"/>
    </row>
    <row r="12" spans="1:12" ht="15" customHeight="1" x14ac:dyDescent="0.35">
      <c r="A12" s="3"/>
      <c r="B12" s="100" t="s">
        <v>91</v>
      </c>
      <c r="C12" s="100" t="s">
        <v>86</v>
      </c>
      <c r="D12" s="100" t="s">
        <v>537</v>
      </c>
      <c r="E12" s="100" t="s">
        <v>116</v>
      </c>
      <c r="F12" s="100"/>
      <c r="G12" s="666">
        <v>45212</v>
      </c>
      <c r="H12" s="666" t="s">
        <v>149</v>
      </c>
      <c r="I12" s="666">
        <v>45243</v>
      </c>
      <c r="J12" s="100"/>
      <c r="K12" s="100"/>
      <c r="L12" s="3"/>
    </row>
    <row r="13" spans="1:12" ht="29" x14ac:dyDescent="0.35">
      <c r="A13" s="3"/>
      <c r="B13" s="100" t="s">
        <v>92</v>
      </c>
      <c r="C13" s="100" t="s">
        <v>86</v>
      </c>
      <c r="D13" s="3" t="s">
        <v>555</v>
      </c>
      <c r="E13" s="100" t="s">
        <v>116</v>
      </c>
      <c r="F13" s="100"/>
      <c r="G13" s="666">
        <v>45212</v>
      </c>
      <c r="H13" s="666" t="s">
        <v>149</v>
      </c>
      <c r="I13" s="666">
        <v>45243</v>
      </c>
      <c r="J13" s="100"/>
      <c r="K13" s="100"/>
      <c r="L13" s="3"/>
    </row>
    <row r="14" spans="1:12" x14ac:dyDescent="0.35">
      <c r="A14" s="3"/>
      <c r="B14" s="100"/>
      <c r="C14" s="100"/>
      <c r="D14" s="3"/>
      <c r="E14" s="100"/>
      <c r="F14" s="100"/>
      <c r="G14" s="666"/>
      <c r="H14" s="666"/>
      <c r="I14" s="666"/>
      <c r="J14" s="100"/>
      <c r="K14" s="100"/>
      <c r="L14" s="3"/>
    </row>
    <row r="15" spans="1:12" x14ac:dyDescent="0.35">
      <c r="A15" s="3"/>
      <c r="B15" s="100" t="s">
        <v>93</v>
      </c>
      <c r="C15" s="100" t="s">
        <v>94</v>
      </c>
      <c r="D15" s="100"/>
      <c r="E15" s="100" t="s">
        <v>116</v>
      </c>
      <c r="F15" s="100"/>
      <c r="G15" s="666"/>
      <c r="H15" s="666"/>
      <c r="I15" s="666"/>
      <c r="J15" s="100"/>
      <c r="K15" s="100"/>
      <c r="L15" s="3"/>
    </row>
    <row r="16" spans="1:12" x14ac:dyDescent="0.35">
      <c r="A16" s="3"/>
      <c r="B16" s="100"/>
      <c r="C16" s="100"/>
      <c r="D16" s="100"/>
      <c r="E16" s="100"/>
      <c r="F16" s="100"/>
      <c r="G16" s="666"/>
      <c r="H16" s="666"/>
      <c r="I16" s="666"/>
      <c r="J16" s="100"/>
      <c r="K16" s="100"/>
      <c r="L16" s="3"/>
    </row>
    <row r="17" spans="1:12" ht="29" x14ac:dyDescent="0.35">
      <c r="A17" s="3"/>
      <c r="B17" s="100" t="s">
        <v>83</v>
      </c>
      <c r="C17" s="100" t="s">
        <v>3</v>
      </c>
      <c r="D17" s="3" t="s">
        <v>556</v>
      </c>
      <c r="E17" s="100" t="s">
        <v>116</v>
      </c>
      <c r="F17" s="100"/>
      <c r="G17" s="666">
        <v>45203</v>
      </c>
      <c r="H17" s="666" t="s">
        <v>150</v>
      </c>
      <c r="I17" s="666">
        <v>45264</v>
      </c>
      <c r="J17" s="100"/>
      <c r="K17" s="100"/>
      <c r="L17" s="3"/>
    </row>
    <row r="18" spans="1:12" x14ac:dyDescent="0.35">
      <c r="A18" s="3"/>
      <c r="B18" s="100" t="s">
        <v>95</v>
      </c>
      <c r="C18" s="100" t="s">
        <v>96</v>
      </c>
      <c r="D18" s="100" t="s">
        <v>544</v>
      </c>
      <c r="E18" s="100" t="s">
        <v>116</v>
      </c>
      <c r="F18" s="100"/>
      <c r="G18" s="666">
        <v>45180</v>
      </c>
      <c r="H18" s="666" t="s">
        <v>150</v>
      </c>
      <c r="I18" s="666">
        <v>45240</v>
      </c>
      <c r="J18" s="100"/>
      <c r="K18" s="100"/>
      <c r="L18" s="3"/>
    </row>
    <row r="19" spans="1:12" x14ac:dyDescent="0.35">
      <c r="A19" s="3"/>
      <c r="B19" s="100" t="s">
        <v>97</v>
      </c>
      <c r="C19" s="100" t="s">
        <v>98</v>
      </c>
      <c r="D19" s="100"/>
      <c r="E19" s="100" t="s">
        <v>116</v>
      </c>
      <c r="F19" s="100"/>
      <c r="G19" s="666"/>
      <c r="H19" s="666"/>
      <c r="I19" s="666"/>
      <c r="J19" s="100"/>
      <c r="K19" s="100"/>
      <c r="L19" s="3"/>
    </row>
    <row r="20" spans="1:12" x14ac:dyDescent="0.35">
      <c r="A20" s="3"/>
      <c r="B20" s="100" t="s">
        <v>99</v>
      </c>
      <c r="C20" s="100" t="s">
        <v>100</v>
      </c>
      <c r="D20" s="100"/>
      <c r="E20" s="100" t="s">
        <v>116</v>
      </c>
      <c r="F20" s="100"/>
      <c r="G20" s="666"/>
      <c r="H20" s="666"/>
      <c r="I20" s="666"/>
      <c r="J20" s="100"/>
      <c r="K20" s="100"/>
      <c r="L20" s="3"/>
    </row>
    <row r="21" spans="1:12" x14ac:dyDescent="0.35">
      <c r="A21" s="3"/>
      <c r="B21" s="100"/>
      <c r="C21" s="100"/>
      <c r="D21" s="100"/>
      <c r="E21" s="100"/>
      <c r="F21" s="100"/>
      <c r="G21" s="666"/>
      <c r="H21" s="666"/>
      <c r="I21" s="666"/>
      <c r="J21" s="100"/>
      <c r="K21" s="100"/>
      <c r="L21" s="3"/>
    </row>
    <row r="22" spans="1:12" x14ac:dyDescent="0.35">
      <c r="A22" s="3"/>
      <c r="B22" s="100" t="s">
        <v>101</v>
      </c>
      <c r="C22" s="100" t="s">
        <v>85</v>
      </c>
      <c r="D22" s="100"/>
      <c r="E22" s="100" t="s">
        <v>116</v>
      </c>
      <c r="F22" s="100"/>
      <c r="G22" s="666"/>
      <c r="H22" s="666"/>
      <c r="I22" s="666"/>
      <c r="J22" s="100"/>
      <c r="K22" s="100"/>
      <c r="L22" s="3"/>
    </row>
    <row r="23" spans="1:12" x14ac:dyDescent="0.35">
      <c r="A23" s="3"/>
      <c r="B23" s="100"/>
      <c r="C23" s="100"/>
      <c r="D23" s="100"/>
      <c r="E23" s="100"/>
      <c r="F23" s="100"/>
      <c r="G23" s="666"/>
      <c r="H23" s="666"/>
      <c r="I23" s="666"/>
      <c r="J23" s="100"/>
      <c r="K23" s="100"/>
      <c r="L23" s="3"/>
    </row>
    <row r="24" spans="1:12" x14ac:dyDescent="0.35">
      <c r="A24" s="3"/>
      <c r="B24" s="100" t="s">
        <v>102</v>
      </c>
      <c r="C24" s="100" t="s">
        <v>103</v>
      </c>
      <c r="D24" s="100"/>
      <c r="E24" s="100" t="s">
        <v>116</v>
      </c>
      <c r="F24" s="100"/>
      <c r="G24" s="666"/>
      <c r="H24" s="666"/>
      <c r="I24" s="666"/>
      <c r="J24" s="100"/>
      <c r="K24" s="100"/>
      <c r="L24" s="3"/>
    </row>
    <row r="25" spans="1:12" x14ac:dyDescent="0.35">
      <c r="A25" s="3"/>
      <c r="B25" s="100" t="s">
        <v>105</v>
      </c>
      <c r="C25" s="100" t="s">
        <v>106</v>
      </c>
      <c r="D25" s="100"/>
      <c r="E25" s="100" t="s">
        <v>116</v>
      </c>
      <c r="F25" s="100"/>
      <c r="G25" s="666"/>
      <c r="H25" s="666"/>
      <c r="I25" s="666"/>
      <c r="J25" s="100"/>
      <c r="K25" s="100"/>
      <c r="L25" s="3"/>
    </row>
    <row r="26" spans="1:12" x14ac:dyDescent="0.35">
      <c r="A26" s="3"/>
      <c r="B26" s="100"/>
      <c r="C26" s="100"/>
      <c r="D26" s="100"/>
      <c r="E26" s="100"/>
      <c r="F26" s="100"/>
      <c r="G26" s="666"/>
      <c r="H26" s="666"/>
      <c r="I26" s="666"/>
      <c r="J26" s="100"/>
      <c r="K26" s="100"/>
      <c r="L26" s="3"/>
    </row>
    <row r="27" spans="1:12" ht="29" x14ac:dyDescent="0.35">
      <c r="A27" s="3"/>
      <c r="B27" s="100" t="s">
        <v>75</v>
      </c>
      <c r="C27" s="100" t="s">
        <v>107</v>
      </c>
      <c r="D27" s="3" t="s">
        <v>557</v>
      </c>
      <c r="E27" s="100" t="s">
        <v>116</v>
      </c>
      <c r="F27" s="100"/>
      <c r="G27" s="666">
        <v>45205</v>
      </c>
      <c r="H27" s="666" t="s">
        <v>150</v>
      </c>
      <c r="I27" s="666">
        <v>45265</v>
      </c>
      <c r="J27" s="100"/>
      <c r="K27" s="100"/>
      <c r="L27" s="3"/>
    </row>
    <row r="28" spans="1:12" x14ac:dyDescent="0.35">
      <c r="A28" s="3"/>
      <c r="B28" s="100"/>
      <c r="C28" s="100"/>
      <c r="D28" s="3"/>
      <c r="E28" s="100"/>
      <c r="F28" s="100"/>
      <c r="G28" s="666"/>
      <c r="H28" s="666"/>
      <c r="I28" s="666"/>
      <c r="J28" s="100"/>
      <c r="K28" s="100"/>
      <c r="L28" s="3"/>
    </row>
    <row r="29" spans="1:12" x14ac:dyDescent="0.35">
      <c r="A29" s="3"/>
      <c r="B29" s="100"/>
      <c r="C29" s="100"/>
      <c r="D29" s="3"/>
      <c r="E29" s="100"/>
      <c r="F29" s="100"/>
      <c r="G29" s="666"/>
      <c r="H29" s="666"/>
      <c r="I29" s="666"/>
      <c r="J29" s="100"/>
      <c r="K29" s="100"/>
      <c r="L29" s="3"/>
    </row>
    <row r="30" spans="1:12" x14ac:dyDescent="0.35">
      <c r="A30" s="3"/>
      <c r="B30" s="100" t="s">
        <v>108</v>
      </c>
      <c r="C30" s="100" t="s">
        <v>109</v>
      </c>
      <c r="D30" s="100"/>
      <c r="E30" s="100" t="s">
        <v>116</v>
      </c>
      <c r="F30" s="100"/>
      <c r="G30" s="666"/>
      <c r="H30" s="666"/>
      <c r="I30" s="666"/>
      <c r="J30" s="100"/>
      <c r="K30" s="100"/>
      <c r="L30" s="3"/>
    </row>
    <row r="31" spans="1:12" x14ac:dyDescent="0.35">
      <c r="A31" s="3"/>
      <c r="B31" s="100"/>
      <c r="C31" s="100"/>
      <c r="D31" s="100"/>
      <c r="E31" s="100"/>
      <c r="F31" s="100"/>
      <c r="G31" s="666"/>
      <c r="H31" s="666"/>
      <c r="I31" s="666"/>
      <c r="J31" s="100"/>
      <c r="K31" s="100"/>
      <c r="L31" s="3"/>
    </row>
    <row r="32" spans="1:12" x14ac:dyDescent="0.35">
      <c r="A32" s="3"/>
      <c r="B32" s="100" t="s">
        <v>110</v>
      </c>
      <c r="C32" s="100" t="s">
        <v>111</v>
      </c>
      <c r="D32" s="100"/>
      <c r="E32" s="100" t="s">
        <v>116</v>
      </c>
      <c r="F32" s="100"/>
      <c r="G32" s="666"/>
      <c r="H32" s="666"/>
      <c r="I32" s="666"/>
      <c r="J32" s="100"/>
      <c r="K32" s="100"/>
      <c r="L32" s="3"/>
    </row>
    <row r="33" spans="1:12" x14ac:dyDescent="0.35">
      <c r="A33" s="3"/>
      <c r="B33" s="100"/>
      <c r="C33" s="100"/>
      <c r="D33" s="100"/>
      <c r="E33" s="100"/>
      <c r="F33" s="100"/>
      <c r="G33" s="666"/>
      <c r="H33" s="666"/>
      <c r="I33" s="666"/>
      <c r="J33" s="100"/>
      <c r="K33" s="100"/>
      <c r="L33" s="3"/>
    </row>
    <row r="34" spans="1:12" x14ac:dyDescent="0.35">
      <c r="A34" s="3"/>
      <c r="B34" s="100" t="s">
        <v>112</v>
      </c>
      <c r="C34" s="100" t="s">
        <v>113</v>
      </c>
      <c r="D34" s="100"/>
      <c r="E34" s="100" t="s">
        <v>116</v>
      </c>
      <c r="F34" s="100"/>
      <c r="G34" s="666"/>
      <c r="H34" s="666"/>
      <c r="I34" s="666"/>
      <c r="J34" s="100"/>
      <c r="K34" s="100"/>
      <c r="L34" s="3"/>
    </row>
    <row r="35" spans="1:12" x14ac:dyDescent="0.35">
      <c r="A35" s="3"/>
      <c r="B35" s="100"/>
      <c r="C35" s="100"/>
      <c r="D35" s="100"/>
      <c r="E35" s="100"/>
      <c r="F35" s="100"/>
      <c r="G35" s="666"/>
      <c r="H35" s="666"/>
      <c r="I35" s="666"/>
      <c r="J35" s="100"/>
      <c r="K35" s="100"/>
      <c r="L35" s="3"/>
    </row>
    <row r="36" spans="1:12" x14ac:dyDescent="0.35">
      <c r="A36" s="3"/>
      <c r="B36" s="100" t="s">
        <v>115</v>
      </c>
      <c r="C36" s="100" t="s">
        <v>84</v>
      </c>
      <c r="D36" s="100"/>
      <c r="E36" s="100" t="s">
        <v>116</v>
      </c>
      <c r="F36" s="100"/>
      <c r="G36" s="666"/>
      <c r="H36" s="666"/>
      <c r="I36" s="666"/>
      <c r="J36" s="100"/>
      <c r="K36" s="100"/>
      <c r="L36" s="3"/>
    </row>
    <row r="37" spans="1:12" ht="15" thickBot="1" x14ac:dyDescent="0.4">
      <c r="A37" s="101"/>
      <c r="B37" s="690" t="s">
        <v>80</v>
      </c>
      <c r="C37" s="690" t="s">
        <v>81</v>
      </c>
      <c r="D37" s="690" t="s">
        <v>527</v>
      </c>
      <c r="E37" s="690" t="s">
        <v>116</v>
      </c>
      <c r="F37" s="690"/>
      <c r="G37" s="691">
        <v>45212</v>
      </c>
      <c r="H37" s="691" t="s">
        <v>155</v>
      </c>
      <c r="I37" s="691">
        <v>45261</v>
      </c>
      <c r="J37" s="690"/>
      <c r="K37" s="678"/>
      <c r="L37" s="101"/>
    </row>
    <row r="38" spans="1:12" ht="29.5" thickTop="1" x14ac:dyDescent="0.35">
      <c r="A38" s="692"/>
      <c r="B38" s="693" t="s">
        <v>263</v>
      </c>
      <c r="C38" s="693" t="s">
        <v>264</v>
      </c>
      <c r="D38" s="693" t="s">
        <v>268</v>
      </c>
      <c r="E38" s="693" t="s">
        <v>7</v>
      </c>
      <c r="F38" s="693"/>
      <c r="G38" s="693"/>
      <c r="H38" s="693"/>
      <c r="I38" s="693"/>
      <c r="J38" s="693"/>
      <c r="K38" s="696">
        <v>45117</v>
      </c>
      <c r="L38" s="692" t="s">
        <v>266</v>
      </c>
    </row>
    <row r="39" spans="1:12" x14ac:dyDescent="0.35">
      <c r="A39" s="3"/>
      <c r="B39" s="100"/>
      <c r="C39" s="100" t="s">
        <v>267</v>
      </c>
      <c r="D39" s="100"/>
      <c r="E39" s="626" t="s">
        <v>7</v>
      </c>
      <c r="F39" s="626"/>
      <c r="G39" s="678">
        <v>45037</v>
      </c>
      <c r="H39" s="100"/>
      <c r="I39" s="100"/>
      <c r="J39" s="678" t="s">
        <v>269</v>
      </c>
      <c r="K39" s="678"/>
      <c r="L39" s="699"/>
    </row>
    <row r="40" spans="1:12" x14ac:dyDescent="0.35">
      <c r="A40" s="3"/>
      <c r="B40" s="100"/>
      <c r="C40" s="100"/>
      <c r="D40" s="100" t="s">
        <v>272</v>
      </c>
      <c r="E40" s="100" t="s">
        <v>7</v>
      </c>
      <c r="F40" s="100"/>
      <c r="G40" s="678">
        <v>45037</v>
      </c>
      <c r="H40" s="100"/>
      <c r="I40" s="100"/>
      <c r="J40" s="678"/>
      <c r="K40" s="678">
        <v>45089</v>
      </c>
      <c r="L40" s="699"/>
    </row>
    <row r="41" spans="1:12" x14ac:dyDescent="0.35">
      <c r="A41" s="3"/>
      <c r="B41" s="100"/>
      <c r="C41" s="100" t="s">
        <v>271</v>
      </c>
      <c r="D41" s="100"/>
      <c r="E41" s="100" t="s">
        <v>7</v>
      </c>
      <c r="F41" s="100"/>
      <c r="G41" s="678">
        <v>45068</v>
      </c>
      <c r="H41" s="100"/>
      <c r="I41" s="100"/>
      <c r="J41" s="678"/>
      <c r="K41" s="678">
        <v>38889</v>
      </c>
      <c r="L41" s="699" t="s">
        <v>274</v>
      </c>
    </row>
    <row r="42" spans="1:12" x14ac:dyDescent="0.35">
      <c r="A42" s="100"/>
      <c r="B42" s="100"/>
      <c r="C42" s="100"/>
      <c r="D42" s="100"/>
      <c r="E42" s="100" t="s">
        <v>7</v>
      </c>
      <c r="F42" s="100"/>
      <c r="G42" s="678"/>
      <c r="H42" s="100"/>
      <c r="I42" s="100"/>
      <c r="J42" s="678"/>
      <c r="K42" s="678"/>
      <c r="L42" s="699" t="s">
        <v>276</v>
      </c>
    </row>
    <row r="43" spans="1:12" x14ac:dyDescent="0.35">
      <c r="A43" s="100"/>
      <c r="B43" s="100"/>
      <c r="C43" s="100" t="s">
        <v>277</v>
      </c>
      <c r="D43" s="100"/>
      <c r="E43" s="100" t="s">
        <v>7</v>
      </c>
      <c r="F43" s="100"/>
      <c r="G43" s="678"/>
      <c r="H43" s="100"/>
      <c r="I43" s="100"/>
      <c r="J43" s="678"/>
      <c r="K43" s="678"/>
      <c r="L43" s="699"/>
    </row>
    <row r="44" spans="1:12" x14ac:dyDescent="0.35">
      <c r="A44" s="100"/>
      <c r="B44" s="100" t="s">
        <v>278</v>
      </c>
      <c r="C44" s="100" t="s">
        <v>279</v>
      </c>
      <c r="D44" s="100" t="s">
        <v>280</v>
      </c>
      <c r="E44" s="100" t="s">
        <v>7</v>
      </c>
      <c r="F44" s="100"/>
      <c r="G44" s="678"/>
      <c r="H44" s="100"/>
      <c r="I44" s="100"/>
      <c r="J44" s="678"/>
      <c r="K44" s="678">
        <v>45114</v>
      </c>
      <c r="L44" s="699"/>
    </row>
    <row r="45" spans="1:12" x14ac:dyDescent="0.35">
      <c r="A45" s="100"/>
      <c r="B45" s="100"/>
      <c r="C45" s="100" t="s">
        <v>267</v>
      </c>
      <c r="D45" s="100"/>
      <c r="E45" s="100" t="s">
        <v>7</v>
      </c>
      <c r="F45" s="100"/>
      <c r="G45" s="678">
        <v>45037</v>
      </c>
      <c r="H45" s="100"/>
      <c r="I45" s="100"/>
      <c r="J45" s="678"/>
      <c r="K45" s="678"/>
      <c r="L45" s="699"/>
    </row>
    <row r="46" spans="1:12" x14ac:dyDescent="0.35">
      <c r="A46" s="100"/>
      <c r="B46" s="100"/>
      <c r="C46" s="100"/>
      <c r="D46" s="100" t="s">
        <v>283</v>
      </c>
      <c r="E46" s="100" t="s">
        <v>7</v>
      </c>
      <c r="F46" s="100"/>
      <c r="G46" s="678"/>
      <c r="H46" s="100"/>
      <c r="I46" s="100"/>
      <c r="J46" s="678"/>
      <c r="K46" s="678">
        <v>45139</v>
      </c>
      <c r="L46" s="699"/>
    </row>
    <row r="47" spans="1:12" x14ac:dyDescent="0.35">
      <c r="A47" s="100"/>
      <c r="B47" s="100"/>
      <c r="C47" s="100" t="s">
        <v>271</v>
      </c>
      <c r="D47" s="100"/>
      <c r="E47" s="100" t="s">
        <v>7</v>
      </c>
      <c r="F47" s="100"/>
      <c r="G47" s="678">
        <v>45098</v>
      </c>
      <c r="H47" s="100"/>
      <c r="I47" s="100"/>
      <c r="J47" s="678"/>
      <c r="K47" s="678" t="s">
        <v>284</v>
      </c>
      <c r="L47" s="699" t="s">
        <v>285</v>
      </c>
    </row>
    <row r="48" spans="1:12" x14ac:dyDescent="0.35">
      <c r="A48" s="100"/>
      <c r="B48" s="100"/>
      <c r="C48" s="100"/>
      <c r="D48" s="100"/>
      <c r="E48" s="100" t="s">
        <v>7</v>
      </c>
      <c r="F48" s="100"/>
      <c r="G48" s="678"/>
      <c r="H48" s="100"/>
      <c r="I48" s="100"/>
      <c r="J48" s="678"/>
      <c r="K48" s="678"/>
      <c r="L48" s="699"/>
    </row>
    <row r="49" spans="1:12" x14ac:dyDescent="0.35">
      <c r="A49" s="100"/>
      <c r="B49" s="100" t="s">
        <v>286</v>
      </c>
      <c r="C49" s="100" t="s">
        <v>28</v>
      </c>
      <c r="D49" s="100" t="s">
        <v>289</v>
      </c>
      <c r="E49" s="100" t="s">
        <v>7</v>
      </c>
      <c r="F49" s="100"/>
      <c r="G49" s="678"/>
      <c r="H49" s="100"/>
      <c r="I49" s="100"/>
      <c r="J49" s="678"/>
      <c r="K49" s="678">
        <v>45170</v>
      </c>
      <c r="L49" s="699"/>
    </row>
    <row r="50" spans="1:12" x14ac:dyDescent="0.35">
      <c r="A50" s="100"/>
      <c r="B50" s="100"/>
      <c r="C50" s="100" t="s">
        <v>288</v>
      </c>
      <c r="D50" s="100"/>
      <c r="E50" s="100" t="s">
        <v>7</v>
      </c>
      <c r="F50" s="100"/>
      <c r="G50" s="678"/>
      <c r="H50" s="100"/>
      <c r="I50" s="100"/>
      <c r="J50" s="678"/>
      <c r="K50" s="678"/>
      <c r="L50" s="699"/>
    </row>
    <row r="51" spans="1:12" x14ac:dyDescent="0.35">
      <c r="A51" s="100"/>
      <c r="B51" s="100"/>
      <c r="C51" s="100" t="s">
        <v>34</v>
      </c>
      <c r="D51" s="100" t="s">
        <v>293</v>
      </c>
      <c r="E51" s="100" t="s">
        <v>7</v>
      </c>
      <c r="F51" s="100"/>
      <c r="G51" s="678"/>
      <c r="H51" s="100"/>
      <c r="I51" s="100"/>
      <c r="J51" s="678"/>
      <c r="K51" s="678"/>
      <c r="L51" s="699"/>
    </row>
    <row r="52" spans="1:12" x14ac:dyDescent="0.35">
      <c r="A52" s="100"/>
      <c r="B52" s="100"/>
      <c r="C52" s="100" t="s">
        <v>271</v>
      </c>
      <c r="D52" s="100" t="s">
        <v>294</v>
      </c>
      <c r="E52" s="100" t="s">
        <v>7</v>
      </c>
      <c r="F52" s="100"/>
      <c r="G52" s="678">
        <v>45147</v>
      </c>
      <c r="H52" s="100"/>
      <c r="I52" s="100"/>
      <c r="J52" s="678"/>
      <c r="K52" s="678"/>
      <c r="L52" s="699"/>
    </row>
    <row r="53" spans="1:12" x14ac:dyDescent="0.35">
      <c r="A53" s="100"/>
      <c r="B53" s="100"/>
      <c r="C53" s="100"/>
      <c r="D53" s="100"/>
      <c r="E53" s="100" t="s">
        <v>7</v>
      </c>
      <c r="F53" s="100"/>
      <c r="G53" s="678"/>
      <c r="H53" s="100"/>
      <c r="I53" s="100"/>
      <c r="J53" s="678"/>
      <c r="K53" s="678"/>
      <c r="L53" s="699"/>
    </row>
    <row r="54" spans="1:12" x14ac:dyDescent="0.35">
      <c r="A54" s="100"/>
      <c r="B54" s="100" t="s">
        <v>296</v>
      </c>
      <c r="C54" s="100" t="s">
        <v>297</v>
      </c>
      <c r="D54" s="100"/>
      <c r="E54" s="100" t="s">
        <v>7</v>
      </c>
      <c r="F54" s="100"/>
      <c r="G54" s="678"/>
      <c r="H54" s="100"/>
      <c r="I54" s="100"/>
      <c r="J54" s="678"/>
      <c r="K54" s="678">
        <v>45135</v>
      </c>
      <c r="L54" s="699"/>
    </row>
    <row r="55" spans="1:12" x14ac:dyDescent="0.35">
      <c r="A55" s="100"/>
      <c r="B55" s="100"/>
      <c r="C55" s="100" t="s">
        <v>1</v>
      </c>
      <c r="D55" s="100" t="s">
        <v>300</v>
      </c>
      <c r="E55" s="100" t="s">
        <v>7</v>
      </c>
      <c r="F55" s="100"/>
      <c r="G55" s="678"/>
      <c r="H55" s="100"/>
      <c r="I55" s="100"/>
      <c r="J55" s="678">
        <v>45085</v>
      </c>
      <c r="K55" s="678">
        <v>45128</v>
      </c>
      <c r="L55" s="699"/>
    </row>
    <row r="56" spans="1:12" x14ac:dyDescent="0.35">
      <c r="A56" s="100"/>
      <c r="B56" s="100"/>
      <c r="C56" s="100" t="s">
        <v>299</v>
      </c>
      <c r="D56" s="100" t="s">
        <v>302</v>
      </c>
      <c r="E56" s="100" t="s">
        <v>7</v>
      </c>
      <c r="F56" s="100"/>
      <c r="G56" s="678">
        <v>45084</v>
      </c>
      <c r="H56" s="100"/>
      <c r="I56" s="100"/>
      <c r="J56" s="678"/>
      <c r="K56" s="678"/>
      <c r="L56" s="699"/>
    </row>
    <row r="57" spans="1:12" x14ac:dyDescent="0.35">
      <c r="A57" s="100"/>
      <c r="B57" s="100"/>
      <c r="C57" s="100" t="s">
        <v>271</v>
      </c>
      <c r="D57" s="100" t="s">
        <v>303</v>
      </c>
      <c r="E57" s="100" t="s">
        <v>7</v>
      </c>
      <c r="F57" s="100"/>
      <c r="G57" s="678">
        <v>45147</v>
      </c>
      <c r="H57" s="100"/>
      <c r="I57" s="100"/>
      <c r="J57" s="678"/>
      <c r="K57" s="678"/>
      <c r="L57" s="699"/>
    </row>
    <row r="58" spans="1:12" x14ac:dyDescent="0.35">
      <c r="A58" s="100"/>
      <c r="B58" s="100"/>
      <c r="C58" s="100"/>
      <c r="D58" s="100"/>
      <c r="E58" s="100" t="s">
        <v>7</v>
      </c>
      <c r="F58" s="100"/>
      <c r="G58" s="678"/>
      <c r="H58" s="100"/>
      <c r="I58" s="100"/>
      <c r="J58" s="678"/>
      <c r="K58" s="678"/>
      <c r="L58" s="699"/>
    </row>
    <row r="59" spans="1:12" x14ac:dyDescent="0.35">
      <c r="A59" s="100"/>
      <c r="B59" s="100" t="s">
        <v>305</v>
      </c>
      <c r="C59" s="100" t="s">
        <v>3</v>
      </c>
      <c r="D59" s="100" t="s">
        <v>308</v>
      </c>
      <c r="E59" s="100" t="s">
        <v>7</v>
      </c>
      <c r="F59" s="100"/>
      <c r="G59" s="678"/>
      <c r="H59" s="100"/>
      <c r="I59" s="100"/>
      <c r="J59" s="678">
        <v>45085</v>
      </c>
      <c r="K59" s="678">
        <v>45135</v>
      </c>
      <c r="L59" s="699"/>
    </row>
    <row r="60" spans="1:12" ht="20" x14ac:dyDescent="0.35">
      <c r="A60" s="100"/>
      <c r="B60" s="100"/>
      <c r="C60" s="100" t="s">
        <v>307</v>
      </c>
      <c r="D60" s="100" t="s">
        <v>308</v>
      </c>
      <c r="E60" s="100" t="s">
        <v>7</v>
      </c>
      <c r="F60" s="100"/>
      <c r="G60" s="678">
        <v>45084</v>
      </c>
      <c r="H60" s="100"/>
      <c r="I60" s="100"/>
      <c r="J60" s="678"/>
      <c r="K60" s="678">
        <v>45135</v>
      </c>
      <c r="L60" s="699"/>
    </row>
    <row r="61" spans="1:12" ht="20" x14ac:dyDescent="0.35">
      <c r="A61" s="100"/>
      <c r="B61" s="100"/>
      <c r="C61" s="100" t="s">
        <v>313</v>
      </c>
      <c r="D61" s="100" t="s">
        <v>315</v>
      </c>
      <c r="E61" s="100" t="s">
        <v>7</v>
      </c>
      <c r="F61" s="100"/>
      <c r="G61" s="678">
        <v>45084</v>
      </c>
      <c r="H61" s="100"/>
      <c r="I61" s="100"/>
      <c r="J61" s="678"/>
      <c r="K61" s="678"/>
      <c r="L61" s="699"/>
    </row>
    <row r="62" spans="1:12" x14ac:dyDescent="0.35">
      <c r="A62" s="100"/>
      <c r="B62" s="100"/>
      <c r="C62" s="100" t="s">
        <v>314</v>
      </c>
      <c r="D62" s="100" t="s">
        <v>316</v>
      </c>
      <c r="E62" s="100" t="s">
        <v>7</v>
      </c>
      <c r="F62" s="100"/>
      <c r="G62" s="678">
        <v>45147</v>
      </c>
      <c r="H62" s="100"/>
      <c r="I62" s="100"/>
      <c r="J62" s="678"/>
      <c r="K62" s="678"/>
      <c r="L62" s="699"/>
    </row>
    <row r="63" spans="1:12" x14ac:dyDescent="0.35">
      <c r="A63" s="100"/>
      <c r="B63" s="100"/>
      <c r="C63" s="100"/>
      <c r="D63" s="100" t="s">
        <v>317</v>
      </c>
      <c r="E63" s="100" t="s">
        <v>7</v>
      </c>
      <c r="F63" s="100"/>
      <c r="G63" s="678"/>
      <c r="H63" s="100"/>
      <c r="I63" s="100"/>
      <c r="J63" s="678"/>
      <c r="K63" s="678"/>
      <c r="L63" s="699"/>
    </row>
    <row r="64" spans="1:12" x14ac:dyDescent="0.35">
      <c r="A64" s="100"/>
      <c r="B64" s="100"/>
      <c r="C64" s="100" t="s">
        <v>243</v>
      </c>
      <c r="D64" s="100"/>
      <c r="E64" s="100" t="s">
        <v>7</v>
      </c>
      <c r="F64" s="100"/>
      <c r="G64" s="678"/>
      <c r="H64" s="100"/>
      <c r="I64" s="100"/>
      <c r="J64" s="678"/>
      <c r="K64" s="678"/>
      <c r="L64" s="699"/>
    </row>
    <row r="65" spans="1:12" x14ac:dyDescent="0.35">
      <c r="A65" s="100"/>
      <c r="B65" s="100" t="s">
        <v>318</v>
      </c>
      <c r="C65" s="100" t="s">
        <v>100</v>
      </c>
      <c r="D65" s="100" t="s">
        <v>320</v>
      </c>
      <c r="E65" s="100" t="s">
        <v>7</v>
      </c>
      <c r="F65" s="100"/>
      <c r="G65" s="678">
        <v>45124</v>
      </c>
      <c r="H65" s="100"/>
      <c r="I65" s="100"/>
      <c r="J65" s="678">
        <v>45120</v>
      </c>
      <c r="K65" s="678">
        <v>45177</v>
      </c>
      <c r="L65" s="699"/>
    </row>
    <row r="66" spans="1:12" x14ac:dyDescent="0.35">
      <c r="A66" s="100"/>
      <c r="B66" s="100"/>
      <c r="C66" s="100" t="s">
        <v>1</v>
      </c>
      <c r="D66" s="100"/>
      <c r="E66" s="100" t="s">
        <v>7</v>
      </c>
      <c r="F66" s="100"/>
      <c r="G66" s="678"/>
      <c r="H66" s="100"/>
      <c r="I66" s="100"/>
      <c r="J66" s="678"/>
      <c r="K66" s="678"/>
      <c r="L66" s="699"/>
    </row>
    <row r="67" spans="1:12" x14ac:dyDescent="0.35">
      <c r="A67" s="100"/>
      <c r="B67" s="100"/>
      <c r="C67" s="100" t="s">
        <v>270</v>
      </c>
      <c r="D67" s="100" t="s">
        <v>321</v>
      </c>
      <c r="E67" s="100" t="s">
        <v>7</v>
      </c>
      <c r="F67" s="100"/>
      <c r="G67" s="678"/>
      <c r="H67" s="100"/>
      <c r="I67" s="100"/>
      <c r="J67" s="678"/>
      <c r="K67" s="678"/>
      <c r="L67" s="699"/>
    </row>
    <row r="68" spans="1:12" x14ac:dyDescent="0.35">
      <c r="A68" s="100"/>
      <c r="B68" s="100"/>
      <c r="C68" s="100" t="s">
        <v>273</v>
      </c>
      <c r="D68" s="100"/>
      <c r="E68" s="100" t="s">
        <v>7</v>
      </c>
      <c r="F68" s="100"/>
      <c r="G68" s="678"/>
      <c r="H68" s="100"/>
      <c r="I68" s="100"/>
      <c r="J68" s="678"/>
      <c r="K68" s="678"/>
      <c r="L68" s="699"/>
    </row>
    <row r="69" spans="1:12" x14ac:dyDescent="0.35">
      <c r="A69" s="100"/>
      <c r="B69" s="100"/>
      <c r="C69" s="100" t="s">
        <v>275</v>
      </c>
      <c r="D69" s="100"/>
      <c r="E69" s="100" t="s">
        <v>7</v>
      </c>
      <c r="F69" s="100"/>
      <c r="G69" s="678"/>
      <c r="H69" s="100"/>
      <c r="I69" s="100"/>
      <c r="J69" s="678"/>
      <c r="K69" s="678"/>
      <c r="L69" s="699"/>
    </row>
    <row r="70" spans="1:12" x14ac:dyDescent="0.35">
      <c r="A70" s="100"/>
      <c r="B70" s="100" t="s">
        <v>323</v>
      </c>
      <c r="C70" s="100" t="s">
        <v>324</v>
      </c>
      <c r="D70" s="100" t="s">
        <v>326</v>
      </c>
      <c r="E70" s="100" t="s">
        <v>7</v>
      </c>
      <c r="F70" s="100"/>
      <c r="G70" s="678"/>
      <c r="H70" s="100"/>
      <c r="I70" s="100"/>
      <c r="J70" s="678"/>
      <c r="K70" s="678"/>
      <c r="L70" s="699"/>
    </row>
    <row r="71" spans="1:12" x14ac:dyDescent="0.35">
      <c r="A71" s="100"/>
      <c r="B71" s="100"/>
      <c r="C71" s="100"/>
      <c r="D71" s="100" t="s">
        <v>327</v>
      </c>
      <c r="E71" s="100" t="s">
        <v>7</v>
      </c>
      <c r="F71" s="100"/>
      <c r="G71" s="678"/>
      <c r="H71" s="100"/>
      <c r="I71" s="100"/>
      <c r="J71" s="678"/>
      <c r="K71" s="678"/>
      <c r="L71" s="699"/>
    </row>
    <row r="72" spans="1:12" x14ac:dyDescent="0.35">
      <c r="A72" s="100"/>
      <c r="B72" s="100"/>
      <c r="C72" s="100"/>
      <c r="D72" s="100"/>
      <c r="E72" s="100" t="s">
        <v>7</v>
      </c>
      <c r="F72" s="100"/>
      <c r="G72" s="678"/>
      <c r="H72" s="100"/>
      <c r="I72" s="100"/>
      <c r="J72" s="678"/>
      <c r="K72" s="678"/>
      <c r="L72" s="699"/>
    </row>
    <row r="73" spans="1:12" x14ac:dyDescent="0.35">
      <c r="A73" s="100"/>
      <c r="B73" s="100"/>
      <c r="C73" s="100"/>
      <c r="D73" s="100"/>
      <c r="E73" s="100" t="s">
        <v>7</v>
      </c>
      <c r="F73" s="100"/>
      <c r="G73" s="678"/>
      <c r="H73" s="100"/>
      <c r="I73" s="100"/>
      <c r="J73" s="678"/>
      <c r="K73" s="678"/>
      <c r="L73" s="699"/>
    </row>
    <row r="74" spans="1:12" x14ac:dyDescent="0.35">
      <c r="A74" s="100"/>
      <c r="B74" s="100"/>
      <c r="C74" s="100"/>
      <c r="D74" s="100"/>
      <c r="E74" s="100" t="s">
        <v>7</v>
      </c>
      <c r="F74" s="100"/>
      <c r="G74" s="678"/>
      <c r="H74" s="100"/>
      <c r="I74" s="100"/>
      <c r="J74" s="678"/>
      <c r="K74" s="678"/>
      <c r="L74" s="699"/>
    </row>
    <row r="75" spans="1:12" x14ac:dyDescent="0.35">
      <c r="A75" s="100"/>
      <c r="B75" s="100" t="s">
        <v>328</v>
      </c>
      <c r="C75" s="100" t="s">
        <v>329</v>
      </c>
      <c r="D75" s="100" t="s">
        <v>331</v>
      </c>
      <c r="E75" s="100" t="s">
        <v>7</v>
      </c>
      <c r="F75" s="100"/>
      <c r="G75" s="678">
        <v>45120</v>
      </c>
      <c r="H75" s="100"/>
      <c r="I75" s="100"/>
      <c r="J75" s="678">
        <v>45120</v>
      </c>
      <c r="K75" s="678">
        <v>45177</v>
      </c>
      <c r="L75" s="699"/>
    </row>
    <row r="76" spans="1:12" x14ac:dyDescent="0.35">
      <c r="A76" s="100"/>
      <c r="B76" s="100"/>
      <c r="C76" s="100" t="s">
        <v>1</v>
      </c>
      <c r="D76" s="100"/>
      <c r="E76" s="100" t="s">
        <v>7</v>
      </c>
      <c r="F76" s="100"/>
      <c r="G76" s="678"/>
      <c r="H76" s="100"/>
      <c r="I76" s="100"/>
      <c r="J76" s="678"/>
      <c r="K76" s="678"/>
      <c r="L76" s="699"/>
    </row>
    <row r="77" spans="1:12" x14ac:dyDescent="0.35">
      <c r="A77" s="100"/>
      <c r="B77" s="100"/>
      <c r="C77" s="100" t="s">
        <v>270</v>
      </c>
      <c r="D77" s="100" t="s">
        <v>333</v>
      </c>
      <c r="E77" s="100" t="s">
        <v>7</v>
      </c>
      <c r="F77" s="100"/>
      <c r="G77" s="678"/>
      <c r="H77" s="100"/>
      <c r="I77" s="100"/>
      <c r="J77" s="678"/>
      <c r="K77" s="678"/>
      <c r="L77" s="699"/>
    </row>
    <row r="78" spans="1:12" x14ac:dyDescent="0.35">
      <c r="A78" s="100"/>
      <c r="B78" s="100"/>
      <c r="C78" s="100" t="s">
        <v>273</v>
      </c>
      <c r="D78" s="100"/>
      <c r="E78" s="100" t="s">
        <v>7</v>
      </c>
      <c r="F78" s="100"/>
      <c r="G78" s="678"/>
      <c r="H78" s="100"/>
      <c r="I78" s="100"/>
      <c r="J78" s="678"/>
      <c r="K78" s="678"/>
      <c r="L78" s="699"/>
    </row>
    <row r="79" spans="1:12" x14ac:dyDescent="0.35">
      <c r="A79" s="100"/>
      <c r="B79" s="100"/>
      <c r="C79" s="100" t="s">
        <v>275</v>
      </c>
      <c r="D79" s="100"/>
      <c r="E79" s="100" t="s">
        <v>7</v>
      </c>
      <c r="F79" s="100"/>
      <c r="G79" s="678"/>
      <c r="H79" s="100"/>
      <c r="I79" s="100"/>
      <c r="J79" s="678"/>
      <c r="K79" s="678"/>
      <c r="L79" s="699"/>
    </row>
    <row r="80" spans="1:12" x14ac:dyDescent="0.35">
      <c r="A80" s="100"/>
      <c r="B80" s="100" t="s">
        <v>334</v>
      </c>
      <c r="C80" s="100" t="s">
        <v>335</v>
      </c>
      <c r="D80" s="100" t="s">
        <v>337</v>
      </c>
      <c r="E80" s="100" t="s">
        <v>7</v>
      </c>
      <c r="F80" s="100"/>
      <c r="G80" s="678">
        <v>45120</v>
      </c>
      <c r="H80" s="100"/>
      <c r="I80" s="100"/>
      <c r="J80" s="678">
        <v>45120</v>
      </c>
      <c r="K80" s="678">
        <v>45229</v>
      </c>
      <c r="L80" s="699"/>
    </row>
    <row r="81" spans="1:12" x14ac:dyDescent="0.35">
      <c r="A81" s="100"/>
      <c r="B81" s="100"/>
      <c r="C81" s="100" t="s">
        <v>1</v>
      </c>
      <c r="D81" s="100" t="s">
        <v>340</v>
      </c>
      <c r="E81" s="100" t="s">
        <v>7</v>
      </c>
      <c r="F81" s="100"/>
      <c r="G81" s="678"/>
      <c r="H81" s="100"/>
      <c r="I81" s="100"/>
      <c r="J81" s="678"/>
      <c r="K81" s="678"/>
      <c r="L81" s="699"/>
    </row>
    <row r="82" spans="1:12" x14ac:dyDescent="0.35">
      <c r="A82" s="100"/>
      <c r="B82" s="100"/>
      <c r="C82" s="100" t="s">
        <v>270</v>
      </c>
      <c r="D82" s="100" t="s">
        <v>341</v>
      </c>
      <c r="E82" s="100" t="s">
        <v>7</v>
      </c>
      <c r="F82" s="100"/>
      <c r="G82" s="678"/>
      <c r="H82" s="100"/>
      <c r="I82" s="100"/>
      <c r="J82" s="678"/>
      <c r="K82" s="678"/>
      <c r="L82" s="699"/>
    </row>
    <row r="83" spans="1:12" x14ac:dyDescent="0.35">
      <c r="A83" s="100"/>
      <c r="B83" s="100"/>
      <c r="C83" s="100" t="s">
        <v>273</v>
      </c>
      <c r="D83" s="100" t="s">
        <v>342</v>
      </c>
      <c r="E83" s="100" t="s">
        <v>7</v>
      </c>
      <c r="F83" s="100"/>
      <c r="G83" s="678">
        <v>45154</v>
      </c>
      <c r="H83" s="100"/>
      <c r="I83" s="100"/>
      <c r="J83" s="678"/>
      <c r="K83" s="678"/>
      <c r="L83" s="699"/>
    </row>
    <row r="84" spans="1:12" x14ac:dyDescent="0.35">
      <c r="A84" s="100"/>
      <c r="B84" s="100"/>
      <c r="C84" s="100"/>
      <c r="D84" s="100" t="s">
        <v>343</v>
      </c>
      <c r="E84" s="100" t="s">
        <v>7</v>
      </c>
      <c r="F84" s="100"/>
      <c r="G84" s="678"/>
      <c r="H84" s="100"/>
      <c r="I84" s="100"/>
      <c r="J84" s="678"/>
      <c r="K84" s="678"/>
      <c r="L84" s="699"/>
    </row>
    <row r="85" spans="1:12" x14ac:dyDescent="0.35">
      <c r="A85" s="100"/>
      <c r="B85" s="100"/>
      <c r="C85" s="100" t="s">
        <v>275</v>
      </c>
      <c r="D85" s="100"/>
      <c r="E85" s="100" t="s">
        <v>7</v>
      </c>
      <c r="F85" s="100"/>
      <c r="G85" s="678"/>
      <c r="H85" s="100"/>
      <c r="I85" s="100"/>
      <c r="J85" s="678"/>
      <c r="K85" s="678"/>
      <c r="L85" s="699"/>
    </row>
    <row r="86" spans="1:12" x14ac:dyDescent="0.35">
      <c r="A86" s="100"/>
      <c r="B86" s="100" t="s">
        <v>344</v>
      </c>
      <c r="C86" s="100" t="s">
        <v>345</v>
      </c>
      <c r="D86" s="100" t="s">
        <v>347</v>
      </c>
      <c r="E86" s="100" t="s">
        <v>7</v>
      </c>
      <c r="F86" s="100"/>
      <c r="G86" s="678">
        <v>45120</v>
      </c>
      <c r="H86" s="100"/>
      <c r="I86" s="100"/>
      <c r="J86" s="678"/>
      <c r="K86" s="678">
        <v>45233</v>
      </c>
      <c r="L86" s="699"/>
    </row>
    <row r="87" spans="1:12" x14ac:dyDescent="0.35">
      <c r="A87" s="100"/>
      <c r="B87" s="100"/>
      <c r="C87" s="100" t="s">
        <v>1</v>
      </c>
      <c r="D87" s="100" t="s">
        <v>348</v>
      </c>
      <c r="E87" s="100" t="s">
        <v>7</v>
      </c>
      <c r="F87" s="100"/>
      <c r="G87" s="678"/>
      <c r="H87" s="100"/>
      <c r="I87" s="100"/>
      <c r="J87" s="678"/>
      <c r="K87" s="678"/>
      <c r="L87" s="699"/>
    </row>
    <row r="88" spans="1:12" x14ac:dyDescent="0.35">
      <c r="A88" s="100"/>
      <c r="B88" s="100"/>
      <c r="C88" s="100" t="s">
        <v>270</v>
      </c>
      <c r="D88" s="100" t="s">
        <v>321</v>
      </c>
      <c r="E88" s="100" t="s">
        <v>7</v>
      </c>
      <c r="F88" s="100"/>
      <c r="G88" s="678"/>
      <c r="H88" s="100"/>
      <c r="I88" s="100"/>
      <c r="J88" s="678"/>
      <c r="K88" s="678"/>
      <c r="L88" s="699"/>
    </row>
    <row r="89" spans="1:12" x14ac:dyDescent="0.35">
      <c r="A89" s="100"/>
      <c r="B89" s="100"/>
      <c r="C89" s="100" t="s">
        <v>273</v>
      </c>
      <c r="D89" s="100"/>
      <c r="E89" s="100" t="s">
        <v>7</v>
      </c>
      <c r="F89" s="100"/>
      <c r="G89" s="678"/>
      <c r="H89" s="100"/>
      <c r="I89" s="100"/>
      <c r="J89" s="678"/>
      <c r="K89" s="678"/>
      <c r="L89" s="699"/>
    </row>
    <row r="90" spans="1:12" x14ac:dyDescent="0.35">
      <c r="A90" s="100"/>
      <c r="B90" s="100"/>
      <c r="C90" s="100" t="s">
        <v>275</v>
      </c>
      <c r="D90" s="100"/>
      <c r="E90" s="100" t="s">
        <v>7</v>
      </c>
      <c r="F90" s="100"/>
      <c r="G90" s="678"/>
      <c r="H90" s="100"/>
      <c r="I90" s="100"/>
      <c r="J90" s="678"/>
      <c r="K90" s="678"/>
      <c r="L90" s="699"/>
    </row>
    <row r="91" spans="1:12" x14ac:dyDescent="0.35">
      <c r="J91" s="678"/>
      <c r="K91" s="678"/>
      <c r="L91" s="699"/>
    </row>
    <row r="92" spans="1:12" x14ac:dyDescent="0.35">
      <c r="J92" s="678"/>
      <c r="K92" s="678"/>
      <c r="L92" s="699"/>
    </row>
    <row r="93" spans="1:12" x14ac:dyDescent="0.35">
      <c r="J93" s="678"/>
      <c r="K93" s="678"/>
      <c r="L93" s="699"/>
    </row>
    <row r="94" spans="1:12" x14ac:dyDescent="0.35">
      <c r="J94" s="678"/>
      <c r="K94" s="678"/>
      <c r="L94" s="699"/>
    </row>
    <row r="95" spans="1:12" x14ac:dyDescent="0.35">
      <c r="J95" s="678"/>
      <c r="K95" s="678"/>
      <c r="L95" s="699"/>
    </row>
    <row r="96" spans="1:12" ht="15.5" x14ac:dyDescent="0.35">
      <c r="J96" s="148"/>
      <c r="K96" s="666"/>
    </row>
    <row r="97" spans="10:11" ht="15.5" x14ac:dyDescent="0.35">
      <c r="J97" s="148"/>
      <c r="K97" s="666"/>
    </row>
    <row r="98" spans="10:11" ht="15.5" x14ac:dyDescent="0.35">
      <c r="J98" s="148"/>
      <c r="K98" s="666"/>
    </row>
    <row r="99" spans="10:11" ht="15.5" x14ac:dyDescent="0.35">
      <c r="J99" s="148"/>
      <c r="K99" s="666"/>
    </row>
    <row r="100" spans="10:11" ht="15.5" x14ac:dyDescent="0.35">
      <c r="J100" s="148"/>
      <c r="K100" s="666"/>
    </row>
    <row r="101" spans="10:11" ht="15.5" x14ac:dyDescent="0.35">
      <c r="J101" s="148"/>
      <c r="K101" s="666"/>
    </row>
    <row r="102" spans="10:11" ht="15.5" x14ac:dyDescent="0.35">
      <c r="J102" s="148"/>
      <c r="K102" s="666"/>
    </row>
    <row r="103" spans="10:11" ht="15.5" x14ac:dyDescent="0.35">
      <c r="J103" s="148"/>
      <c r="K103" s="666"/>
    </row>
    <row r="104" spans="10:11" ht="15.5" x14ac:dyDescent="0.35">
      <c r="J104" s="148"/>
      <c r="K104" s="666"/>
    </row>
    <row r="105" spans="10:11" ht="15.5" x14ac:dyDescent="0.35">
      <c r="J105" s="148"/>
      <c r="K105" s="666"/>
    </row>
    <row r="106" spans="10:11" ht="15.5" x14ac:dyDescent="0.35">
      <c r="J106" s="148"/>
      <c r="K106" s="666"/>
    </row>
    <row r="107" spans="10:11" ht="15.5" x14ac:dyDescent="0.35">
      <c r="J107" s="148"/>
      <c r="K107" s="666"/>
    </row>
    <row r="108" spans="10:11" ht="15.5" x14ac:dyDescent="0.35">
      <c r="J108" s="148"/>
      <c r="K108" s="666"/>
    </row>
    <row r="109" spans="10:11" ht="15.5" x14ac:dyDescent="0.35">
      <c r="J109" s="148"/>
      <c r="K109" s="666"/>
    </row>
    <row r="110" spans="10:11" ht="15.5" x14ac:dyDescent="0.35">
      <c r="J110" s="148"/>
      <c r="K110" s="666"/>
    </row>
    <row r="111" spans="10:11" x14ac:dyDescent="0.35">
      <c r="K111" s="666"/>
    </row>
    <row r="112" spans="10:11" x14ac:dyDescent="0.35">
      <c r="K112" s="666"/>
    </row>
    <row r="113" spans="11:11" x14ac:dyDescent="0.35">
      <c r="K113" s="666"/>
    </row>
    <row r="114" spans="11:11" x14ac:dyDescent="0.35">
      <c r="K114" s="666"/>
    </row>
    <row r="115" spans="11:11" x14ac:dyDescent="0.35">
      <c r="K115" s="666"/>
    </row>
    <row r="116" spans="11:11" x14ac:dyDescent="0.35">
      <c r="K116" s="666"/>
    </row>
    <row r="117" spans="11:11" x14ac:dyDescent="0.35">
      <c r="K117" s="666"/>
    </row>
    <row r="118" spans="11:11" x14ac:dyDescent="0.35">
      <c r="K118" s="666"/>
    </row>
    <row r="119" spans="11:11" x14ac:dyDescent="0.35">
      <c r="K119" s="666"/>
    </row>
    <row r="120" spans="11:11" x14ac:dyDescent="0.35">
      <c r="K120" s="666"/>
    </row>
    <row r="121" spans="11:11" x14ac:dyDescent="0.35">
      <c r="K121" s="666"/>
    </row>
    <row r="122" spans="11:11" x14ac:dyDescent="0.35">
      <c r="K122" s="666"/>
    </row>
    <row r="123" spans="11:11" x14ac:dyDescent="0.35">
      <c r="K123" s="666"/>
    </row>
    <row r="124" spans="11:11" x14ac:dyDescent="0.35">
      <c r="K124" s="666"/>
    </row>
    <row r="125" spans="11:11" x14ac:dyDescent="0.35">
      <c r="K125" s="666"/>
    </row>
    <row r="126" spans="11:11" x14ac:dyDescent="0.35">
      <c r="K126" s="666"/>
    </row>
    <row r="127" spans="11:11" x14ac:dyDescent="0.35">
      <c r="K127" s="666"/>
    </row>
    <row r="128" spans="11:11" x14ac:dyDescent="0.35">
      <c r="K128" s="666"/>
    </row>
    <row r="129" spans="11:11" x14ac:dyDescent="0.35">
      <c r="K129" s="666"/>
    </row>
    <row r="130" spans="11:11" x14ac:dyDescent="0.35">
      <c r="K130" s="666"/>
    </row>
    <row r="131" spans="11:11" x14ac:dyDescent="0.35">
      <c r="K131" s="666"/>
    </row>
    <row r="132" spans="11:11" x14ac:dyDescent="0.35">
      <c r="K132" s="666"/>
    </row>
    <row r="133" spans="11:11" x14ac:dyDescent="0.35">
      <c r="K133" s="666"/>
    </row>
    <row r="134" spans="11:11" x14ac:dyDescent="0.35">
      <c r="K134" s="666"/>
    </row>
    <row r="135" spans="11:11" x14ac:dyDescent="0.35">
      <c r="K135" s="666"/>
    </row>
    <row r="136" spans="11:11" x14ac:dyDescent="0.35">
      <c r="K136" s="666"/>
    </row>
    <row r="137" spans="11:11" x14ac:dyDescent="0.35">
      <c r="K137" s="666"/>
    </row>
    <row r="138" spans="11:11" x14ac:dyDescent="0.35">
      <c r="K138" s="666"/>
    </row>
    <row r="139" spans="11:11" x14ac:dyDescent="0.35">
      <c r="K139" s="666"/>
    </row>
    <row r="140" spans="11:11" x14ac:dyDescent="0.35">
      <c r="K140" s="666"/>
    </row>
    <row r="141" spans="11:11" x14ac:dyDescent="0.35">
      <c r="K141" s="666"/>
    </row>
    <row r="142" spans="11:11" x14ac:dyDescent="0.35">
      <c r="K142" s="666"/>
    </row>
    <row r="143" spans="11:11" x14ac:dyDescent="0.35">
      <c r="K143" s="666"/>
    </row>
    <row r="144" spans="11:11" x14ac:dyDescent="0.35">
      <c r="K144" s="666"/>
    </row>
    <row r="145" spans="11:11" x14ac:dyDescent="0.35">
      <c r="K145" s="666"/>
    </row>
    <row r="274" spans="2:9" x14ac:dyDescent="0.35">
      <c r="C274" s="99" t="s">
        <v>28</v>
      </c>
    </row>
    <row r="275" spans="2:9" x14ac:dyDescent="0.35">
      <c r="C275" s="2" t="s">
        <v>29</v>
      </c>
      <c r="D275" s="2"/>
    </row>
    <row r="276" spans="2:9" x14ac:dyDescent="0.35">
      <c r="B276" s="2"/>
      <c r="C276" s="2" t="s">
        <v>2</v>
      </c>
      <c r="D276" s="2"/>
      <c r="E276" s="2" t="s">
        <v>5</v>
      </c>
      <c r="F276" s="2"/>
      <c r="G276" s="2"/>
      <c r="H276" s="2"/>
      <c r="I276" s="2"/>
    </row>
    <row r="277" spans="2:9" x14ac:dyDescent="0.35">
      <c r="B277" s="2"/>
      <c r="C277" s="2" t="s">
        <v>3</v>
      </c>
      <c r="D277" s="2"/>
      <c r="E277" s="2" t="s">
        <v>6</v>
      </c>
      <c r="F277" s="2"/>
      <c r="G277" s="2"/>
      <c r="H277" s="2"/>
      <c r="I277" s="2"/>
    </row>
    <row r="278" spans="2:9" x14ac:dyDescent="0.35">
      <c r="B278" s="2"/>
      <c r="C278" s="2" t="s">
        <v>4</v>
      </c>
      <c r="D278" s="2"/>
      <c r="E278" s="2" t="s">
        <v>7</v>
      </c>
      <c r="F278" s="2"/>
      <c r="G278" s="2"/>
      <c r="H278" s="2"/>
      <c r="I278" s="2"/>
    </row>
    <row r="279" spans="2:9" x14ac:dyDescent="0.35">
      <c r="B279" s="2"/>
      <c r="C279" s="2" t="s">
        <v>10</v>
      </c>
      <c r="D279" s="2"/>
      <c r="E279" s="2" t="s">
        <v>8</v>
      </c>
      <c r="F279" s="2"/>
      <c r="G279" s="2"/>
      <c r="H279" s="2"/>
      <c r="I279" s="2"/>
    </row>
    <row r="280" spans="2:9" x14ac:dyDescent="0.35">
      <c r="B280" s="2"/>
      <c r="C280" s="2" t="s">
        <v>11</v>
      </c>
      <c r="D280" s="2"/>
      <c r="E280" s="2" t="s">
        <v>9</v>
      </c>
      <c r="F280" s="2"/>
      <c r="G280" s="2"/>
      <c r="H280" s="2"/>
      <c r="I280" s="2"/>
    </row>
    <row r="281" spans="2:9" x14ac:dyDescent="0.35">
      <c r="C281" s="2" t="s">
        <v>12</v>
      </c>
      <c r="D281" s="2"/>
    </row>
    <row r="282" spans="2:9" x14ac:dyDescent="0.35">
      <c r="C282" s="2" t="s">
        <v>13</v>
      </c>
      <c r="D282" s="2"/>
    </row>
    <row r="283" spans="2:9" x14ac:dyDescent="0.35">
      <c r="C283" s="2" t="s">
        <v>14</v>
      </c>
      <c r="D283" s="2"/>
    </row>
    <row r="284" spans="2:9" x14ac:dyDescent="0.35">
      <c r="C284" s="2" t="s">
        <v>15</v>
      </c>
      <c r="D284" s="2"/>
    </row>
    <row r="285" spans="2:9" x14ac:dyDescent="0.35">
      <c r="C285" s="2" t="s">
        <v>16</v>
      </c>
      <c r="D285" s="2"/>
    </row>
    <row r="286" spans="2:9" x14ac:dyDescent="0.35">
      <c r="C286" s="2" t="s">
        <v>17</v>
      </c>
      <c r="D286" s="2"/>
    </row>
    <row r="287" spans="2:9" x14ac:dyDescent="0.35">
      <c r="C287" s="2" t="s">
        <v>18</v>
      </c>
      <c r="D287" s="2"/>
    </row>
    <row r="288" spans="2:9" x14ac:dyDescent="0.35">
      <c r="C288" s="2" t="s">
        <v>19</v>
      </c>
      <c r="D288" s="2"/>
    </row>
    <row r="289" spans="3:4" x14ac:dyDescent="0.35">
      <c r="C289" s="2" t="s">
        <v>20</v>
      </c>
      <c r="D289" s="2"/>
    </row>
    <row r="290" spans="3:4" x14ac:dyDescent="0.35">
      <c r="C290" s="2" t="s">
        <v>21</v>
      </c>
      <c r="D290" s="2"/>
    </row>
    <row r="291" spans="3:4" x14ac:dyDescent="0.35">
      <c r="C291" s="2" t="s">
        <v>22</v>
      </c>
      <c r="D291" s="2"/>
    </row>
    <row r="292" spans="3:4" x14ac:dyDescent="0.35">
      <c r="C292" s="2" t="s">
        <v>23</v>
      </c>
      <c r="D292" s="2"/>
    </row>
    <row r="293" spans="3:4" x14ac:dyDescent="0.35">
      <c r="C293" s="2" t="s">
        <v>24</v>
      </c>
      <c r="D293" s="2"/>
    </row>
    <row r="294" spans="3:4" x14ac:dyDescent="0.35">
      <c r="C294" s="2" t="s">
        <v>25</v>
      </c>
      <c r="D294" s="2"/>
    </row>
    <row r="295" spans="3:4" x14ac:dyDescent="0.35">
      <c r="C295" s="2" t="s">
        <v>26</v>
      </c>
      <c r="D295" s="2"/>
    </row>
    <row r="296" spans="3:4" x14ac:dyDescent="0.35">
      <c r="C296" s="2" t="s">
        <v>27</v>
      </c>
      <c r="D296" s="2"/>
    </row>
    <row r="297" spans="3:4" x14ac:dyDescent="0.35">
      <c r="C297" s="2" t="s">
        <v>30</v>
      </c>
      <c r="D297" s="2"/>
    </row>
    <row r="298" spans="3:4" x14ac:dyDescent="0.35">
      <c r="C298" s="2" t="s">
        <v>31</v>
      </c>
      <c r="D298" s="2"/>
    </row>
    <row r="299" spans="3:4" x14ac:dyDescent="0.35">
      <c r="C299" s="2" t="s">
        <v>32</v>
      </c>
      <c r="D299" s="2"/>
    </row>
  </sheetData>
  <phoneticPr fontId="1" type="noConversion"/>
  <conditionalFormatting sqref="A1:A6 A8:A96 A99:A1048576">
    <cfRule type="cellIs" dxfId="18" priority="1" operator="equal">
      <formula>"ATTENTE"</formula>
    </cfRule>
    <cfRule type="containsText" dxfId="17" priority="2" operator="containsText" text="FINI">
      <formula>NOT(ISERROR(SEARCH("FINI",A1)))</formula>
    </cfRule>
    <cfRule type="cellIs" dxfId="16" priority="3" operator="equal">
      <formula>"EN COURS"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A5F47-3D65-44F5-99A8-DB50917256D0}">
  <sheetPr codeName="Feuil5"/>
  <dimension ref="A1:EG84"/>
  <sheetViews>
    <sheetView zoomScale="70" zoomScaleNormal="70" workbookViewId="0">
      <pane xSplit="6" topLeftCell="AD1" activePane="topRight" state="frozen"/>
      <selection pane="topRight" activeCell="AP6" sqref="AP6"/>
    </sheetView>
  </sheetViews>
  <sheetFormatPr baseColWidth="10" defaultColWidth="11.453125" defaultRowHeight="14.5" x14ac:dyDescent="0.35"/>
  <cols>
    <col min="1" max="1" width="13.453125" style="625" bestFit="1" customWidth="1"/>
    <col min="2" max="2" width="24.81640625" style="605" customWidth="1"/>
    <col min="3" max="3" width="18.7265625" style="2" bestFit="1" customWidth="1"/>
    <col min="4" max="4" width="23.7265625" style="2" customWidth="1"/>
    <col min="5" max="5" width="14.81640625" style="2" bestFit="1" customWidth="1"/>
    <col min="6" max="6" width="12" style="2" bestFit="1" customWidth="1"/>
    <col min="7" max="7" width="14.81640625" style="2" bestFit="1" customWidth="1"/>
    <col min="8" max="8" width="14" style="2" bestFit="1" customWidth="1"/>
    <col min="9" max="9" width="18.54296875" style="2" customWidth="1"/>
    <col min="10" max="10" width="0.54296875" style="2" customWidth="1"/>
    <col min="11" max="11" width="0.1796875" style="605" customWidth="1"/>
    <col min="12" max="12" width="13.81640625" style="604" customWidth="1"/>
    <col min="13" max="13" width="14.453125" style="2" bestFit="1" customWidth="1"/>
    <col min="14" max="14" width="14.1796875" style="2" customWidth="1"/>
    <col min="15" max="15" width="14.453125" style="2" bestFit="1" customWidth="1"/>
    <col min="16" max="16" width="17" style="2" customWidth="1"/>
    <col min="17" max="17" width="0.453125" style="2" customWidth="1"/>
    <col min="18" max="18" width="0.54296875" style="605" customWidth="1"/>
    <col min="19" max="19" width="14.453125" style="604" bestFit="1" customWidth="1"/>
    <col min="20" max="20" width="14" style="2" bestFit="1" customWidth="1"/>
    <col min="21" max="21" width="16.1796875" style="630" customWidth="1"/>
    <col min="22" max="22" width="14" style="2" bestFit="1" customWidth="1"/>
    <col min="23" max="23" width="17" style="2" customWidth="1"/>
    <col min="24" max="24" width="2" style="2" customWidth="1"/>
    <col min="25" max="25" width="2.7265625" style="605" customWidth="1"/>
    <col min="26" max="26" width="11.54296875" style="604" bestFit="1" customWidth="1"/>
    <col min="27" max="27" width="11.453125" style="2"/>
    <col min="28" max="28" width="14.1796875" style="2" customWidth="1"/>
    <col min="29" max="29" width="12.7265625" style="2" customWidth="1"/>
    <col min="30" max="30" width="17" style="2" customWidth="1"/>
    <col min="31" max="31" width="1" style="630" customWidth="1"/>
    <col min="32" max="32" width="2" style="605" customWidth="1"/>
    <col min="33" max="37" width="11.453125" style="2"/>
    <col min="38" max="38" width="1.7265625" style="2" customWidth="1"/>
    <col min="39" max="39" width="1.26953125" style="2" customWidth="1"/>
    <col min="40" max="42" width="11.453125" style="2"/>
    <col min="43" max="43" width="14" style="2" bestFit="1" customWidth="1"/>
    <col min="44" max="48" width="11.453125" style="2"/>
    <col min="49" max="51" width="14" style="2" bestFit="1" customWidth="1"/>
    <col min="52" max="52" width="11.453125" style="2" hidden="1" customWidth="1"/>
    <col min="53" max="53" width="14.453125" style="2" hidden="1" customWidth="1"/>
    <col min="54" max="54" width="17.1796875" style="2" customWidth="1"/>
    <col min="55" max="56" width="14.453125" style="2" bestFit="1" customWidth="1"/>
    <col min="57" max="58" width="11.453125" style="2"/>
    <col min="59" max="60" width="0.81640625" style="2" customWidth="1"/>
    <col min="61" max="62" width="11.453125" style="2"/>
    <col min="63" max="63" width="14" style="2" bestFit="1" customWidth="1"/>
    <col min="64" max="64" width="11.453125" style="2"/>
    <col min="65" max="65" width="14" style="2" bestFit="1" customWidth="1"/>
    <col min="66" max="82" width="11.453125" style="2"/>
    <col min="83" max="83" width="12" style="2" bestFit="1" customWidth="1"/>
    <col min="84" max="109" width="11.453125" style="2"/>
    <col min="110" max="110" width="12" style="2" bestFit="1" customWidth="1"/>
    <col min="111" max="16384" width="11.453125" style="2"/>
  </cols>
  <sheetData>
    <row r="1" spans="1:137" s="603" customFormat="1" ht="15" thickBot="1" x14ac:dyDescent="0.4">
      <c r="A1" s="872" t="s">
        <v>206</v>
      </c>
      <c r="B1" s="873"/>
      <c r="C1" s="873"/>
      <c r="D1" s="873"/>
      <c r="E1" s="607"/>
      <c r="F1" s="607"/>
      <c r="G1" s="607"/>
      <c r="H1" s="865" t="s">
        <v>214</v>
      </c>
      <c r="I1" s="865"/>
      <c r="J1" s="865"/>
      <c r="K1" s="867"/>
      <c r="L1" s="868" t="s">
        <v>215</v>
      </c>
      <c r="M1" s="865"/>
      <c r="N1" s="865"/>
      <c r="O1" s="865"/>
      <c r="P1" s="865"/>
      <c r="Q1" s="865"/>
      <c r="R1" s="867"/>
      <c r="S1" s="868" t="s">
        <v>216</v>
      </c>
      <c r="T1" s="865"/>
      <c r="U1" s="865"/>
      <c r="V1" s="865"/>
      <c r="W1" s="865"/>
      <c r="X1" s="865"/>
      <c r="Y1" s="867"/>
      <c r="Z1" s="868" t="s">
        <v>217</v>
      </c>
      <c r="AA1" s="865"/>
      <c r="AB1" s="865"/>
      <c r="AC1" s="865"/>
      <c r="AD1" s="865"/>
      <c r="AE1" s="865"/>
      <c r="AF1" s="867"/>
      <c r="AG1" s="864" t="s">
        <v>218</v>
      </c>
      <c r="AH1" s="865"/>
      <c r="AI1" s="865"/>
      <c r="AJ1" s="865"/>
      <c r="AK1" s="865"/>
      <c r="AL1" s="865"/>
      <c r="AM1" s="866"/>
      <c r="AN1" s="864" t="s">
        <v>219</v>
      </c>
      <c r="AO1" s="865"/>
      <c r="AP1" s="865"/>
      <c r="AQ1" s="865"/>
      <c r="AR1" s="865"/>
      <c r="AS1" s="865"/>
      <c r="AT1" s="866"/>
      <c r="AU1" s="864" t="s">
        <v>220</v>
      </c>
      <c r="AV1" s="865"/>
      <c r="AW1" s="865"/>
      <c r="AX1" s="865"/>
      <c r="AY1" s="865"/>
      <c r="AZ1" s="865"/>
      <c r="BA1" s="866"/>
      <c r="BB1" s="864" t="s">
        <v>221</v>
      </c>
      <c r="BC1" s="865"/>
      <c r="BD1" s="865"/>
      <c r="BE1" s="865"/>
      <c r="BF1" s="865"/>
      <c r="BG1" s="865"/>
      <c r="BH1" s="866"/>
      <c r="BI1" s="864" t="s">
        <v>222</v>
      </c>
      <c r="BJ1" s="865"/>
      <c r="BK1" s="865"/>
      <c r="BL1" s="865"/>
      <c r="BM1" s="865"/>
      <c r="BN1" s="865"/>
      <c r="BO1" s="866"/>
      <c r="BP1" s="864" t="s">
        <v>223</v>
      </c>
      <c r="BQ1" s="865"/>
      <c r="BR1" s="865"/>
      <c r="BS1" s="865"/>
      <c r="BT1" s="865"/>
      <c r="BU1" s="865"/>
      <c r="BV1" s="866"/>
      <c r="BW1" s="864" t="s">
        <v>224</v>
      </c>
      <c r="BX1" s="865"/>
      <c r="BY1" s="865"/>
      <c r="BZ1" s="865"/>
      <c r="CA1" s="865"/>
      <c r="CB1" s="865"/>
      <c r="CC1" s="866"/>
      <c r="CD1" s="864" t="s">
        <v>225</v>
      </c>
      <c r="CE1" s="865"/>
      <c r="CF1" s="865"/>
      <c r="CG1" s="865"/>
      <c r="CH1" s="865"/>
      <c r="CI1" s="865"/>
      <c r="CJ1" s="866"/>
      <c r="CK1" s="864" t="s">
        <v>226</v>
      </c>
      <c r="CL1" s="865"/>
      <c r="CM1" s="865"/>
      <c r="CN1" s="865"/>
      <c r="CO1" s="865"/>
      <c r="CP1" s="865"/>
      <c r="CQ1" s="866"/>
      <c r="CR1" s="864" t="s">
        <v>227</v>
      </c>
      <c r="CS1" s="865"/>
      <c r="CT1" s="865"/>
      <c r="CU1" s="865"/>
      <c r="CV1" s="865"/>
      <c r="CW1" s="865"/>
      <c r="CX1" s="866"/>
      <c r="CY1" s="864" t="s">
        <v>228</v>
      </c>
      <c r="CZ1" s="865"/>
      <c r="DA1" s="865"/>
      <c r="DB1" s="865"/>
      <c r="DC1" s="865"/>
      <c r="DD1" s="865"/>
      <c r="DE1" s="866"/>
      <c r="DF1" s="864" t="s">
        <v>229</v>
      </c>
      <c r="DG1" s="865"/>
      <c r="DH1" s="865"/>
      <c r="DI1" s="865"/>
      <c r="DJ1" s="865"/>
      <c r="DK1" s="865"/>
      <c r="DL1" s="866"/>
      <c r="DM1" s="864" t="s">
        <v>230</v>
      </c>
      <c r="DN1" s="865"/>
      <c r="DO1" s="865"/>
      <c r="DP1" s="865"/>
      <c r="DQ1" s="865"/>
      <c r="DR1" s="865"/>
      <c r="DS1" s="866"/>
      <c r="DT1" s="864" t="s">
        <v>231</v>
      </c>
      <c r="DU1" s="865"/>
      <c r="DV1" s="865"/>
      <c r="DW1" s="865"/>
      <c r="DX1" s="865"/>
      <c r="DY1" s="865"/>
      <c r="DZ1" s="866"/>
      <c r="EA1" s="864" t="s">
        <v>232</v>
      </c>
      <c r="EB1" s="865"/>
      <c r="EC1" s="865"/>
      <c r="ED1" s="865"/>
      <c r="EE1" s="865"/>
      <c r="EF1" s="865"/>
      <c r="EG1" s="866"/>
    </row>
    <row r="2" spans="1:137" s="615" customFormat="1" ht="116.5" thickBot="1" x14ac:dyDescent="0.4">
      <c r="A2" s="874"/>
      <c r="B2" s="875"/>
      <c r="C2" s="875"/>
      <c r="D2" s="875"/>
      <c r="E2" s="608"/>
      <c r="F2" s="608"/>
      <c r="G2" s="608"/>
      <c r="H2" s="615" t="s">
        <v>208</v>
      </c>
      <c r="I2" s="615" t="s">
        <v>209</v>
      </c>
      <c r="J2" s="615" t="s">
        <v>210</v>
      </c>
      <c r="K2" s="616" t="s">
        <v>211</v>
      </c>
      <c r="L2" s="617" t="s">
        <v>212</v>
      </c>
      <c r="M2" s="615" t="s">
        <v>213</v>
      </c>
      <c r="N2" s="615" t="s">
        <v>207</v>
      </c>
      <c r="O2" s="615" t="s">
        <v>208</v>
      </c>
      <c r="P2" s="615" t="s">
        <v>209</v>
      </c>
      <c r="Q2" s="615" t="s">
        <v>210</v>
      </c>
      <c r="R2" s="616" t="s">
        <v>211</v>
      </c>
      <c r="S2" s="617" t="s">
        <v>212</v>
      </c>
      <c r="T2" s="615" t="s">
        <v>213</v>
      </c>
      <c r="U2" s="627" t="s">
        <v>207</v>
      </c>
      <c r="V2" s="615" t="s">
        <v>208</v>
      </c>
      <c r="W2" s="615" t="s">
        <v>209</v>
      </c>
      <c r="X2" s="615" t="s">
        <v>210</v>
      </c>
      <c r="Y2" s="616" t="s">
        <v>211</v>
      </c>
      <c r="Z2" s="617" t="s">
        <v>212</v>
      </c>
      <c r="AA2" s="615" t="s">
        <v>213</v>
      </c>
      <c r="AB2" s="615" t="s">
        <v>207</v>
      </c>
      <c r="AC2" s="615" t="s">
        <v>208</v>
      </c>
      <c r="AD2" s="615" t="s">
        <v>209</v>
      </c>
      <c r="AE2" s="627" t="s">
        <v>210</v>
      </c>
      <c r="AF2" s="616" t="s">
        <v>211</v>
      </c>
      <c r="AG2" s="615" t="s">
        <v>212</v>
      </c>
      <c r="AH2" s="615" t="s">
        <v>213</v>
      </c>
      <c r="AI2" s="615" t="s">
        <v>207</v>
      </c>
      <c r="AJ2" s="615" t="s">
        <v>208</v>
      </c>
      <c r="AK2" s="615" t="s">
        <v>209</v>
      </c>
      <c r="AL2" s="615" t="s">
        <v>210</v>
      </c>
      <c r="AM2" s="615" t="s">
        <v>211</v>
      </c>
      <c r="AN2" s="615" t="s">
        <v>212</v>
      </c>
      <c r="AO2" s="615" t="s">
        <v>213</v>
      </c>
      <c r="AP2" s="615" t="s">
        <v>207</v>
      </c>
      <c r="AQ2" s="615" t="s">
        <v>208</v>
      </c>
      <c r="AR2" s="615" t="s">
        <v>209</v>
      </c>
      <c r="AS2" s="615" t="s">
        <v>210</v>
      </c>
      <c r="AT2" s="615" t="s">
        <v>211</v>
      </c>
      <c r="AU2" s="615" t="s">
        <v>212</v>
      </c>
      <c r="AV2" s="615" t="s">
        <v>213</v>
      </c>
      <c r="AW2" s="615" t="s">
        <v>207</v>
      </c>
      <c r="AX2" s="615" t="s">
        <v>208</v>
      </c>
      <c r="AY2" s="615" t="s">
        <v>209</v>
      </c>
      <c r="AZ2" s="615" t="s">
        <v>210</v>
      </c>
      <c r="BA2" s="615" t="s">
        <v>211</v>
      </c>
      <c r="BB2" s="615" t="s">
        <v>212</v>
      </c>
      <c r="BC2" s="615" t="s">
        <v>213</v>
      </c>
      <c r="BD2" s="615" t="s">
        <v>207</v>
      </c>
      <c r="BE2" s="615" t="s">
        <v>208</v>
      </c>
      <c r="BF2" s="615" t="s">
        <v>209</v>
      </c>
      <c r="BG2" s="615" t="s">
        <v>210</v>
      </c>
      <c r="BH2" s="615" t="s">
        <v>211</v>
      </c>
      <c r="BI2" s="615" t="s">
        <v>212</v>
      </c>
      <c r="BJ2" s="615" t="s">
        <v>213</v>
      </c>
      <c r="BK2" s="615" t="s">
        <v>207</v>
      </c>
      <c r="BL2" s="615" t="s">
        <v>208</v>
      </c>
      <c r="BM2" s="615" t="s">
        <v>209</v>
      </c>
      <c r="BN2" s="615" t="s">
        <v>210</v>
      </c>
      <c r="BO2" s="615" t="s">
        <v>211</v>
      </c>
      <c r="BP2" s="615" t="s">
        <v>212</v>
      </c>
      <c r="BQ2" s="615" t="s">
        <v>213</v>
      </c>
      <c r="BR2" s="615" t="s">
        <v>207</v>
      </c>
      <c r="BS2" s="615" t="s">
        <v>208</v>
      </c>
      <c r="BT2" s="615" t="s">
        <v>209</v>
      </c>
      <c r="BU2" s="615" t="s">
        <v>210</v>
      </c>
      <c r="BV2" s="615" t="s">
        <v>211</v>
      </c>
      <c r="BW2" s="615" t="s">
        <v>212</v>
      </c>
      <c r="BX2" s="615" t="s">
        <v>213</v>
      </c>
      <c r="BY2" s="615" t="s">
        <v>207</v>
      </c>
      <c r="BZ2" s="615" t="s">
        <v>208</v>
      </c>
      <c r="CA2" s="615" t="s">
        <v>209</v>
      </c>
      <c r="CB2" s="615" t="s">
        <v>210</v>
      </c>
      <c r="CC2" s="615" t="s">
        <v>211</v>
      </c>
      <c r="CD2" s="615" t="s">
        <v>212</v>
      </c>
      <c r="CE2" s="615" t="s">
        <v>213</v>
      </c>
      <c r="CF2" s="615" t="s">
        <v>207</v>
      </c>
      <c r="CG2" s="615" t="s">
        <v>208</v>
      </c>
      <c r="CH2" s="615" t="s">
        <v>209</v>
      </c>
      <c r="CI2" s="615" t="s">
        <v>210</v>
      </c>
      <c r="CJ2" s="615" t="s">
        <v>211</v>
      </c>
      <c r="CK2" s="615" t="s">
        <v>212</v>
      </c>
      <c r="CL2" s="615" t="s">
        <v>213</v>
      </c>
      <c r="CM2" s="615" t="s">
        <v>207</v>
      </c>
      <c r="CN2" s="615" t="s">
        <v>208</v>
      </c>
      <c r="CO2" s="615" t="s">
        <v>209</v>
      </c>
      <c r="CP2" s="615" t="s">
        <v>210</v>
      </c>
      <c r="CQ2" s="615" t="s">
        <v>211</v>
      </c>
      <c r="CR2" s="615" t="s">
        <v>212</v>
      </c>
      <c r="CS2" s="615" t="s">
        <v>213</v>
      </c>
      <c r="CT2" s="615" t="s">
        <v>207</v>
      </c>
      <c r="CU2" s="615" t="s">
        <v>208</v>
      </c>
      <c r="CV2" s="615" t="s">
        <v>209</v>
      </c>
      <c r="CW2" s="615" t="s">
        <v>210</v>
      </c>
      <c r="CX2" s="615" t="s">
        <v>211</v>
      </c>
      <c r="CY2" s="615" t="s">
        <v>212</v>
      </c>
      <c r="CZ2" s="615" t="s">
        <v>213</v>
      </c>
      <c r="DA2" s="615" t="s">
        <v>207</v>
      </c>
      <c r="DB2" s="615" t="s">
        <v>208</v>
      </c>
      <c r="DC2" s="615" t="s">
        <v>209</v>
      </c>
      <c r="DD2" s="615" t="s">
        <v>210</v>
      </c>
      <c r="DE2" s="615" t="s">
        <v>211</v>
      </c>
      <c r="DF2" s="615" t="s">
        <v>212</v>
      </c>
      <c r="DG2" s="615" t="s">
        <v>213</v>
      </c>
      <c r="DH2" s="615" t="s">
        <v>207</v>
      </c>
      <c r="DI2" s="615" t="s">
        <v>208</v>
      </c>
      <c r="DJ2" s="615" t="s">
        <v>209</v>
      </c>
      <c r="DK2" s="615" t="s">
        <v>210</v>
      </c>
      <c r="DL2" s="615" t="s">
        <v>211</v>
      </c>
      <c r="DM2" s="615" t="s">
        <v>212</v>
      </c>
      <c r="DN2" s="615" t="s">
        <v>213</v>
      </c>
      <c r="DO2" s="615" t="s">
        <v>207</v>
      </c>
      <c r="DP2" s="615" t="s">
        <v>208</v>
      </c>
      <c r="DQ2" s="615" t="s">
        <v>209</v>
      </c>
      <c r="DR2" s="615" t="s">
        <v>210</v>
      </c>
      <c r="DS2" s="615" t="s">
        <v>211</v>
      </c>
      <c r="DT2" s="615" t="s">
        <v>212</v>
      </c>
      <c r="DU2" s="615" t="s">
        <v>213</v>
      </c>
      <c r="DV2" s="615" t="s">
        <v>207</v>
      </c>
      <c r="DW2" s="615" t="s">
        <v>208</v>
      </c>
      <c r="DX2" s="615" t="s">
        <v>209</v>
      </c>
      <c r="DY2" s="615" t="s">
        <v>210</v>
      </c>
      <c r="DZ2" s="615" t="s">
        <v>211</v>
      </c>
      <c r="EA2" s="615" t="s">
        <v>212</v>
      </c>
      <c r="EB2" s="615" t="s">
        <v>213</v>
      </c>
    </row>
    <row r="3" spans="1:137" s="97" customFormat="1" ht="15" thickBot="1" x14ac:dyDescent="0.4">
      <c r="A3" s="610" t="s">
        <v>233</v>
      </c>
      <c r="B3" s="610" t="s">
        <v>204</v>
      </c>
      <c r="C3" s="672" t="s">
        <v>449</v>
      </c>
      <c r="D3" s="672" t="s">
        <v>389</v>
      </c>
      <c r="E3" s="673" t="s">
        <v>456</v>
      </c>
      <c r="F3" s="673" t="s">
        <v>457</v>
      </c>
      <c r="G3" s="673" t="s">
        <v>458</v>
      </c>
      <c r="H3" s="674">
        <v>45218</v>
      </c>
      <c r="I3" s="674">
        <v>45219</v>
      </c>
      <c r="J3" s="674">
        <v>45220</v>
      </c>
      <c r="K3" s="675">
        <v>45221</v>
      </c>
      <c r="L3" s="676">
        <v>45222</v>
      </c>
      <c r="M3" s="674">
        <v>45223</v>
      </c>
      <c r="N3" s="674">
        <v>45224</v>
      </c>
      <c r="O3" s="674">
        <v>45225</v>
      </c>
      <c r="P3" s="674">
        <v>45226</v>
      </c>
      <c r="Q3" s="674">
        <v>45227</v>
      </c>
      <c r="R3" s="675">
        <v>45228</v>
      </c>
      <c r="S3" s="676">
        <v>45229</v>
      </c>
      <c r="T3" s="674">
        <v>45230</v>
      </c>
      <c r="U3" s="677">
        <v>45231</v>
      </c>
      <c r="V3" s="674">
        <v>45232</v>
      </c>
      <c r="W3" s="674">
        <v>45233</v>
      </c>
      <c r="X3" s="674">
        <v>45234</v>
      </c>
      <c r="Y3" s="675">
        <v>45235</v>
      </c>
      <c r="Z3" s="676">
        <v>45236</v>
      </c>
      <c r="AA3" s="674">
        <v>45237</v>
      </c>
      <c r="AB3" s="674">
        <v>45238</v>
      </c>
      <c r="AC3" s="674">
        <v>45239</v>
      </c>
      <c r="AD3" s="674">
        <v>45240</v>
      </c>
      <c r="AE3" s="677">
        <v>45241</v>
      </c>
      <c r="AF3" s="675">
        <v>45242</v>
      </c>
      <c r="AG3" s="674">
        <v>45243</v>
      </c>
      <c r="AH3" s="674">
        <v>45244</v>
      </c>
      <c r="AI3" s="674">
        <v>45245</v>
      </c>
      <c r="AJ3" s="674">
        <v>45246</v>
      </c>
      <c r="AK3" s="674">
        <v>45247</v>
      </c>
      <c r="AL3" s="674">
        <v>45248</v>
      </c>
      <c r="AM3" s="674">
        <v>45249</v>
      </c>
      <c r="AN3" s="674">
        <v>45250</v>
      </c>
      <c r="AO3" s="674">
        <v>45251</v>
      </c>
      <c r="AP3" s="674">
        <v>45252</v>
      </c>
      <c r="AQ3" s="674">
        <v>45253</v>
      </c>
      <c r="AR3" s="674">
        <v>45254</v>
      </c>
      <c r="AS3" s="674">
        <v>45255</v>
      </c>
      <c r="AT3" s="674">
        <v>45256</v>
      </c>
      <c r="AU3" s="674">
        <v>45257</v>
      </c>
      <c r="AV3" s="674">
        <v>45258</v>
      </c>
      <c r="AW3" s="674">
        <v>45259</v>
      </c>
      <c r="AX3" s="674">
        <v>45260</v>
      </c>
      <c r="AY3" s="674">
        <v>45261</v>
      </c>
      <c r="AZ3" s="674">
        <v>45262</v>
      </c>
      <c r="BA3" s="674">
        <v>45263</v>
      </c>
      <c r="BB3" s="674">
        <v>45264</v>
      </c>
      <c r="BC3" s="674">
        <v>45265</v>
      </c>
      <c r="BD3" s="674">
        <v>45266</v>
      </c>
      <c r="BE3" s="674">
        <v>45267</v>
      </c>
      <c r="BF3" s="674">
        <v>45268</v>
      </c>
      <c r="BG3" s="674">
        <v>45269</v>
      </c>
      <c r="BH3" s="674">
        <v>45270</v>
      </c>
      <c r="BI3" s="674">
        <v>45271</v>
      </c>
      <c r="BJ3" s="674">
        <v>45272</v>
      </c>
      <c r="BK3" s="674">
        <v>45273</v>
      </c>
      <c r="BL3" s="674">
        <v>45274</v>
      </c>
      <c r="BM3" s="674">
        <v>45275</v>
      </c>
      <c r="BN3" s="674">
        <v>45276</v>
      </c>
      <c r="BO3" s="674">
        <v>45277</v>
      </c>
      <c r="BP3" s="674">
        <v>45278</v>
      </c>
      <c r="BQ3" s="674">
        <v>45279</v>
      </c>
      <c r="BR3" s="674">
        <v>45280</v>
      </c>
      <c r="BS3" s="674">
        <v>45281</v>
      </c>
      <c r="BT3" s="674">
        <v>45282</v>
      </c>
      <c r="BU3" s="674">
        <v>45283</v>
      </c>
      <c r="BV3" s="674">
        <v>45284</v>
      </c>
      <c r="BW3" s="674">
        <v>45285</v>
      </c>
      <c r="BX3" s="674">
        <v>45286</v>
      </c>
      <c r="BY3" s="674">
        <v>45287</v>
      </c>
      <c r="BZ3" s="674">
        <v>45288</v>
      </c>
      <c r="CA3" s="674">
        <v>45289</v>
      </c>
      <c r="CB3" s="674">
        <v>45290</v>
      </c>
      <c r="CC3" s="674">
        <v>45291</v>
      </c>
      <c r="CD3" s="674">
        <v>45292</v>
      </c>
      <c r="CE3" s="674">
        <v>45293</v>
      </c>
      <c r="CF3" s="674">
        <v>45294</v>
      </c>
      <c r="CG3" s="674">
        <v>45295</v>
      </c>
      <c r="CH3" s="674">
        <v>45296</v>
      </c>
      <c r="CI3" s="674">
        <v>45297</v>
      </c>
      <c r="CJ3" s="674">
        <v>45298</v>
      </c>
      <c r="CK3" s="674">
        <v>45299</v>
      </c>
      <c r="CL3" s="674">
        <v>45300</v>
      </c>
      <c r="CM3" s="674">
        <v>45301</v>
      </c>
      <c r="CN3" s="674">
        <v>45302</v>
      </c>
      <c r="CO3" s="674">
        <v>45303</v>
      </c>
      <c r="CP3" s="674">
        <v>45304</v>
      </c>
      <c r="CQ3" s="674">
        <v>45305</v>
      </c>
      <c r="CR3" s="674">
        <v>45306</v>
      </c>
      <c r="CS3" s="674">
        <v>45307</v>
      </c>
      <c r="CT3" s="674">
        <v>45308</v>
      </c>
      <c r="CU3" s="674">
        <v>45309</v>
      </c>
      <c r="CV3" s="674">
        <v>45310</v>
      </c>
      <c r="CW3" s="674">
        <v>45311</v>
      </c>
      <c r="CX3" s="674">
        <v>45312</v>
      </c>
      <c r="CY3" s="674">
        <v>45313</v>
      </c>
      <c r="CZ3" s="674">
        <v>45314</v>
      </c>
      <c r="DA3" s="674">
        <v>45315</v>
      </c>
      <c r="DB3" s="674">
        <v>45316</v>
      </c>
      <c r="DC3" s="674">
        <v>45317</v>
      </c>
      <c r="DD3" s="674">
        <v>45318</v>
      </c>
      <c r="DE3" s="674">
        <v>45319</v>
      </c>
      <c r="DF3" s="674">
        <v>45320</v>
      </c>
      <c r="DG3" s="674">
        <v>45321</v>
      </c>
      <c r="DH3" s="674">
        <v>45322</v>
      </c>
      <c r="DI3" s="674">
        <v>45323</v>
      </c>
      <c r="DJ3" s="674">
        <v>45324</v>
      </c>
      <c r="DK3" s="674">
        <v>45325</v>
      </c>
      <c r="DL3" s="674">
        <v>45326</v>
      </c>
      <c r="DM3" s="674">
        <v>45327</v>
      </c>
      <c r="DN3" s="674">
        <v>45328</v>
      </c>
      <c r="DO3" s="674">
        <v>45329</v>
      </c>
      <c r="DP3" s="674">
        <v>45330</v>
      </c>
      <c r="DQ3" s="674">
        <v>45331</v>
      </c>
      <c r="DR3" s="674">
        <v>45332</v>
      </c>
      <c r="DS3" s="674">
        <v>45333</v>
      </c>
      <c r="DT3" s="674">
        <v>45334</v>
      </c>
      <c r="DU3" s="674">
        <v>45335</v>
      </c>
      <c r="DV3" s="674">
        <v>45336</v>
      </c>
      <c r="DW3" s="674">
        <v>45337</v>
      </c>
      <c r="DX3" s="674">
        <v>45338</v>
      </c>
      <c r="DY3" s="674">
        <v>45339</v>
      </c>
      <c r="DZ3" s="674">
        <v>45340</v>
      </c>
      <c r="EA3" s="674">
        <v>45341</v>
      </c>
      <c r="EB3" s="674">
        <v>45342</v>
      </c>
    </row>
    <row r="4" spans="1:137" s="4" customFormat="1" ht="130.5" x14ac:dyDescent="0.35">
      <c r="A4" s="611" t="s">
        <v>74</v>
      </c>
      <c r="B4" s="609" t="s">
        <v>63</v>
      </c>
      <c r="C4" s="609" t="s">
        <v>62</v>
      </c>
      <c r="D4" s="609" t="s">
        <v>426</v>
      </c>
      <c r="E4" s="669">
        <v>45201</v>
      </c>
      <c r="F4" s="613"/>
      <c r="G4" s="701">
        <v>45416</v>
      </c>
      <c r="H4" s="618"/>
      <c r="I4" s="618" t="s">
        <v>636</v>
      </c>
      <c r="J4" s="618"/>
      <c r="K4" s="619"/>
      <c r="L4" s="620" t="s">
        <v>460</v>
      </c>
      <c r="M4" s="618"/>
      <c r="N4" s="618"/>
      <c r="O4" s="618"/>
      <c r="P4" s="618" t="s">
        <v>462</v>
      </c>
      <c r="Q4" s="618"/>
      <c r="R4" s="619"/>
      <c r="S4" s="620"/>
      <c r="T4" s="618"/>
      <c r="U4" s="614" t="s">
        <v>451</v>
      </c>
      <c r="V4" s="618" t="s">
        <v>508</v>
      </c>
      <c r="W4" s="618" t="s">
        <v>635</v>
      </c>
      <c r="X4" s="618"/>
      <c r="Y4" s="619"/>
      <c r="Z4" s="621" t="s">
        <v>632</v>
      </c>
      <c r="AB4" s="4" t="s">
        <v>633</v>
      </c>
      <c r="AC4" s="4" t="s">
        <v>634</v>
      </c>
      <c r="AD4" s="4" t="s">
        <v>631</v>
      </c>
      <c r="AE4" s="631" t="s">
        <v>452</v>
      </c>
      <c r="AF4" s="622"/>
      <c r="AG4" s="869" t="s">
        <v>646</v>
      </c>
      <c r="AH4" s="870"/>
      <c r="AI4" s="870"/>
      <c r="AJ4" s="870"/>
      <c r="AK4" s="871"/>
      <c r="BB4" s="629" t="s">
        <v>509</v>
      </c>
      <c r="BC4" s="700" t="s">
        <v>511</v>
      </c>
      <c r="BD4" s="700"/>
      <c r="BE4" s="700"/>
      <c r="BF4" s="700"/>
      <c r="BG4" s="700"/>
      <c r="BH4" s="700"/>
      <c r="BI4" s="700"/>
      <c r="BJ4" s="700"/>
      <c r="BK4" s="700"/>
      <c r="BL4" s="700"/>
      <c r="BM4" s="629" t="s">
        <v>510</v>
      </c>
    </row>
    <row r="5" spans="1:137" s="3" customFormat="1" ht="43.5" x14ac:dyDescent="0.35">
      <c r="A5" s="612" t="s">
        <v>64</v>
      </c>
      <c r="B5" s="3" t="s">
        <v>65</v>
      </c>
      <c r="C5" s="609" t="s">
        <v>62</v>
      </c>
      <c r="D5" s="3" t="s">
        <v>433</v>
      </c>
      <c r="E5" s="669">
        <v>45208</v>
      </c>
      <c r="G5" s="702">
        <v>45416</v>
      </c>
      <c r="K5" s="623"/>
      <c r="L5" s="624"/>
      <c r="R5" s="623"/>
      <c r="S5" s="624"/>
      <c r="U5" s="628"/>
      <c r="W5" s="3" t="s">
        <v>461</v>
      </c>
      <c r="Y5" s="623"/>
      <c r="Z5" s="624"/>
      <c r="AE5" s="628"/>
      <c r="AF5" s="623"/>
    </row>
    <row r="6" spans="1:137" s="3" customFormat="1" ht="58" x14ac:dyDescent="0.35">
      <c r="A6" s="611" t="s">
        <v>69</v>
      </c>
      <c r="B6" s="609" t="s">
        <v>66</v>
      </c>
      <c r="C6" s="609" t="s">
        <v>62</v>
      </c>
      <c r="D6" s="609" t="s">
        <v>435</v>
      </c>
      <c r="E6" s="669">
        <v>45229</v>
      </c>
      <c r="F6" s="609"/>
      <c r="G6" s="703">
        <v>45416</v>
      </c>
      <c r="K6" s="623"/>
      <c r="L6" s="624"/>
      <c r="R6" s="623"/>
      <c r="S6" s="671"/>
      <c r="U6" s="628"/>
      <c r="Y6" s="623"/>
      <c r="Z6" s="624"/>
      <c r="AE6" s="628"/>
      <c r="AF6" s="623"/>
    </row>
    <row r="7" spans="1:137" s="3" customFormat="1" ht="29" x14ac:dyDescent="0.35">
      <c r="A7" s="612" t="s">
        <v>70</v>
      </c>
      <c r="B7" s="3" t="s">
        <v>71</v>
      </c>
      <c r="C7" s="609" t="s">
        <v>62</v>
      </c>
      <c r="D7" s="3" t="s">
        <v>438</v>
      </c>
      <c r="E7" s="669">
        <v>45250</v>
      </c>
      <c r="G7" s="702">
        <v>45416</v>
      </c>
      <c r="K7" s="623"/>
      <c r="L7" s="624"/>
      <c r="R7" s="623"/>
      <c r="S7" s="624"/>
      <c r="U7" s="628"/>
      <c r="Y7" s="623"/>
      <c r="Z7" s="624"/>
      <c r="AE7" s="628"/>
      <c r="AF7" s="623"/>
      <c r="AN7" s="90"/>
      <c r="CE7" s="3" t="s">
        <v>459</v>
      </c>
    </row>
    <row r="8" spans="1:137" s="3" customFormat="1" ht="43.5" x14ac:dyDescent="0.35">
      <c r="A8" s="611" t="s">
        <v>72</v>
      </c>
      <c r="B8" s="609" t="s">
        <v>67</v>
      </c>
      <c r="C8" s="609" t="s">
        <v>62</v>
      </c>
      <c r="D8" s="609" t="s">
        <v>441</v>
      </c>
      <c r="E8" s="669">
        <v>45293</v>
      </c>
      <c r="F8" s="609"/>
      <c r="G8" s="703">
        <v>45416</v>
      </c>
      <c r="K8" s="623"/>
      <c r="L8" s="624"/>
      <c r="R8" s="623"/>
      <c r="S8" s="624"/>
      <c r="U8" s="628"/>
      <c r="Y8" s="623"/>
      <c r="Z8" s="624"/>
      <c r="AE8" s="628"/>
      <c r="AF8" s="623"/>
      <c r="CE8" s="90"/>
    </row>
    <row r="9" spans="1:137" s="101" customFormat="1" ht="64.5" customHeight="1" thickBot="1" x14ac:dyDescent="0.4">
      <c r="A9" s="711" t="s">
        <v>73</v>
      </c>
      <c r="B9" s="101" t="s">
        <v>68</v>
      </c>
      <c r="C9" s="712" t="s">
        <v>62</v>
      </c>
      <c r="D9" s="101" t="s">
        <v>442</v>
      </c>
      <c r="E9" s="718">
        <v>45320</v>
      </c>
      <c r="G9" s="711"/>
      <c r="K9" s="719"/>
      <c r="L9" s="720"/>
      <c r="R9" s="719"/>
      <c r="S9" s="720"/>
      <c r="U9" s="714"/>
      <c r="Y9" s="719"/>
      <c r="Z9" s="720"/>
      <c r="AE9" s="714"/>
      <c r="AF9" s="719"/>
      <c r="DF9" s="721"/>
    </row>
    <row r="10" spans="1:137" s="692" customFormat="1" ht="29.5" thickTop="1" x14ac:dyDescent="0.35">
      <c r="A10" s="722" t="s">
        <v>82</v>
      </c>
      <c r="B10" s="723" t="s">
        <v>87</v>
      </c>
      <c r="C10" s="723" t="s">
        <v>116</v>
      </c>
      <c r="D10" s="723"/>
      <c r="E10" s="724">
        <v>45118</v>
      </c>
      <c r="F10" s="696" t="s">
        <v>123</v>
      </c>
      <c r="G10" s="724">
        <v>45299</v>
      </c>
      <c r="K10" s="725"/>
      <c r="L10" s="726"/>
      <c r="R10" s="725"/>
      <c r="S10" s="726"/>
      <c r="U10" s="716"/>
      <c r="Y10" s="725"/>
      <c r="Z10" s="726"/>
      <c r="AE10" s="716"/>
      <c r="AF10" s="725"/>
    </row>
    <row r="11" spans="1:137" s="3" customFormat="1" ht="29" x14ac:dyDescent="0.35">
      <c r="A11" s="612" t="s">
        <v>89</v>
      </c>
      <c r="B11" s="3" t="s">
        <v>90</v>
      </c>
      <c r="C11" s="613" t="s">
        <v>116</v>
      </c>
      <c r="E11" s="670"/>
      <c r="F11" s="666"/>
      <c r="G11" s="670"/>
      <c r="K11" s="623"/>
      <c r="L11" s="624"/>
      <c r="R11" s="623"/>
      <c r="S11" s="624"/>
      <c r="U11" s="628"/>
      <c r="Y11" s="623"/>
      <c r="Z11" s="624"/>
      <c r="AE11" s="628"/>
      <c r="AF11" s="623"/>
    </row>
    <row r="12" spans="1:137" s="3" customFormat="1" ht="29" x14ac:dyDescent="0.35">
      <c r="A12" s="611" t="s">
        <v>78</v>
      </c>
      <c r="B12" s="609" t="s">
        <v>79</v>
      </c>
      <c r="C12" s="613" t="s">
        <v>116</v>
      </c>
      <c r="D12" s="609"/>
      <c r="E12" s="670">
        <v>45198</v>
      </c>
      <c r="F12" s="666" t="s">
        <v>149</v>
      </c>
      <c r="G12" s="670">
        <v>45229</v>
      </c>
      <c r="K12" s="623"/>
      <c r="L12" s="624"/>
      <c r="R12" s="623"/>
      <c r="S12" s="624"/>
      <c r="U12" s="628"/>
      <c r="Y12" s="623"/>
      <c r="Z12" s="624"/>
      <c r="AE12" s="628"/>
      <c r="AF12" s="623"/>
    </row>
    <row r="13" spans="1:137" s="3" customFormat="1" ht="29" x14ac:dyDescent="0.35">
      <c r="A13" s="612" t="s">
        <v>76</v>
      </c>
      <c r="B13" s="3" t="s">
        <v>77</v>
      </c>
      <c r="C13" s="613" t="s">
        <v>116</v>
      </c>
      <c r="E13" s="670">
        <v>45191</v>
      </c>
      <c r="F13" s="666" t="s">
        <v>149</v>
      </c>
      <c r="G13" s="670">
        <v>45222</v>
      </c>
      <c r="K13" s="623"/>
      <c r="L13" s="624"/>
      <c r="R13" s="623"/>
      <c r="S13" s="624"/>
      <c r="U13" s="628"/>
      <c r="Y13" s="623"/>
      <c r="Z13" s="624"/>
      <c r="AE13" s="628"/>
      <c r="AF13" s="623"/>
    </row>
    <row r="14" spans="1:137" s="3" customFormat="1" ht="29" x14ac:dyDescent="0.35">
      <c r="A14" s="612" t="s">
        <v>91</v>
      </c>
      <c r="B14" s="3" t="s">
        <v>86</v>
      </c>
      <c r="C14" s="613" t="s">
        <v>116</v>
      </c>
      <c r="E14" s="670">
        <v>45212</v>
      </c>
      <c r="F14" s="666" t="s">
        <v>149</v>
      </c>
      <c r="G14" s="670">
        <v>45243</v>
      </c>
      <c r="K14" s="623"/>
      <c r="L14" s="624"/>
      <c r="R14" s="623"/>
      <c r="S14" s="624"/>
      <c r="U14" s="628"/>
      <c r="Y14" s="623"/>
      <c r="Z14" s="624"/>
      <c r="AE14" s="628"/>
      <c r="AF14" s="623"/>
    </row>
    <row r="15" spans="1:137" s="3" customFormat="1" ht="29" x14ac:dyDescent="0.35">
      <c r="A15" s="611" t="s">
        <v>92</v>
      </c>
      <c r="B15" s="609" t="s">
        <v>86</v>
      </c>
      <c r="C15" s="613" t="s">
        <v>116</v>
      </c>
      <c r="D15" s="609"/>
      <c r="E15" s="670">
        <v>45212</v>
      </c>
      <c r="F15" s="666" t="s">
        <v>149</v>
      </c>
      <c r="G15" s="670">
        <v>45243</v>
      </c>
      <c r="K15" s="623"/>
      <c r="L15" s="624"/>
      <c r="R15" s="623"/>
      <c r="S15" s="624"/>
      <c r="U15" s="628"/>
      <c r="Y15" s="623"/>
      <c r="Z15" s="624"/>
      <c r="AE15" s="628"/>
      <c r="AF15" s="623"/>
    </row>
    <row r="16" spans="1:137" s="3" customFormat="1" ht="29" x14ac:dyDescent="0.35">
      <c r="A16" s="612" t="s">
        <v>93</v>
      </c>
      <c r="B16" s="3" t="s">
        <v>94</v>
      </c>
      <c r="C16" s="613" t="s">
        <v>116</v>
      </c>
      <c r="E16" s="670"/>
      <c r="F16" s="666"/>
      <c r="G16" s="670"/>
      <c r="K16" s="623"/>
      <c r="L16" s="624"/>
      <c r="R16" s="623"/>
      <c r="S16" s="624"/>
      <c r="U16" s="628"/>
      <c r="Y16" s="623"/>
      <c r="Z16" s="624"/>
      <c r="AE16" s="628"/>
      <c r="AF16" s="623"/>
    </row>
    <row r="17" spans="1:101" s="3" customFormat="1" ht="29" x14ac:dyDescent="0.35">
      <c r="A17" s="611" t="s">
        <v>83</v>
      </c>
      <c r="B17" s="609" t="s">
        <v>3</v>
      </c>
      <c r="C17" s="613" t="s">
        <v>116</v>
      </c>
      <c r="D17" s="609"/>
      <c r="E17" s="670">
        <v>45203</v>
      </c>
      <c r="F17" s="666" t="s">
        <v>150</v>
      </c>
      <c r="G17" s="670">
        <v>45264</v>
      </c>
      <c r="K17" s="623"/>
      <c r="L17" s="624"/>
      <c r="R17" s="623"/>
      <c r="S17" s="624"/>
      <c r="U17" s="628"/>
      <c r="Y17" s="623"/>
      <c r="Z17" s="624"/>
      <c r="AE17" s="628"/>
      <c r="AF17" s="623"/>
    </row>
    <row r="18" spans="1:101" s="3" customFormat="1" ht="29" x14ac:dyDescent="0.35">
      <c r="A18" s="611" t="s">
        <v>95</v>
      </c>
      <c r="B18" s="609" t="s">
        <v>96</v>
      </c>
      <c r="C18" s="613" t="s">
        <v>116</v>
      </c>
      <c r="D18" s="609"/>
      <c r="E18" s="670">
        <v>45180</v>
      </c>
      <c r="F18" s="666" t="s">
        <v>150</v>
      </c>
      <c r="G18" s="670">
        <v>45240</v>
      </c>
      <c r="K18" s="623"/>
      <c r="L18" s="624"/>
      <c r="R18" s="623"/>
      <c r="S18" s="624"/>
      <c r="U18" s="628"/>
      <c r="Y18" s="623"/>
      <c r="Z18" s="624"/>
      <c r="AE18" s="628"/>
      <c r="AF18" s="623"/>
    </row>
    <row r="19" spans="1:101" s="3" customFormat="1" ht="29" x14ac:dyDescent="0.35">
      <c r="A19" s="612" t="s">
        <v>97</v>
      </c>
      <c r="B19" s="3" t="s">
        <v>98</v>
      </c>
      <c r="C19" s="613" t="s">
        <v>116</v>
      </c>
      <c r="E19" s="670"/>
      <c r="F19" s="666"/>
      <c r="G19" s="670"/>
      <c r="K19" s="623"/>
      <c r="L19" s="624"/>
      <c r="R19" s="623"/>
      <c r="S19" s="624"/>
      <c r="U19" s="628"/>
      <c r="Y19" s="623"/>
      <c r="Z19" s="624"/>
      <c r="AE19" s="628"/>
      <c r="AF19" s="623"/>
    </row>
    <row r="20" spans="1:101" s="3" customFormat="1" ht="29" x14ac:dyDescent="0.35">
      <c r="A20" s="611" t="s">
        <v>99</v>
      </c>
      <c r="B20" s="609" t="s">
        <v>100</v>
      </c>
      <c r="C20" s="613" t="s">
        <v>116</v>
      </c>
      <c r="D20" s="609"/>
      <c r="E20" s="670"/>
      <c r="F20" s="666"/>
      <c r="G20" s="670"/>
      <c r="K20" s="623"/>
      <c r="L20" s="624"/>
      <c r="R20" s="623"/>
      <c r="S20" s="624"/>
      <c r="U20" s="628"/>
      <c r="Y20" s="623"/>
      <c r="Z20" s="624"/>
      <c r="AE20" s="628"/>
      <c r="AF20" s="623"/>
    </row>
    <row r="21" spans="1:101" s="3" customFormat="1" ht="29" x14ac:dyDescent="0.35">
      <c r="A21" s="612" t="s">
        <v>101</v>
      </c>
      <c r="B21" s="3" t="s">
        <v>85</v>
      </c>
      <c r="C21" s="613" t="s">
        <v>116</v>
      </c>
      <c r="E21" s="670"/>
      <c r="F21" s="666"/>
      <c r="G21" s="670"/>
      <c r="K21" s="623"/>
      <c r="L21" s="624"/>
      <c r="R21" s="623"/>
      <c r="S21" s="624"/>
      <c r="U21" s="628"/>
      <c r="Y21" s="623"/>
      <c r="Z21" s="624"/>
      <c r="AE21" s="628"/>
      <c r="AF21" s="623"/>
    </row>
    <row r="22" spans="1:101" s="3" customFormat="1" ht="29" x14ac:dyDescent="0.35">
      <c r="A22" s="611" t="s">
        <v>102</v>
      </c>
      <c r="B22" s="609" t="s">
        <v>103</v>
      </c>
      <c r="C22" s="613" t="s">
        <v>116</v>
      </c>
      <c r="D22" s="609"/>
      <c r="E22" s="670"/>
      <c r="F22" s="666"/>
      <c r="G22" s="670"/>
      <c r="K22" s="623"/>
      <c r="L22" s="624"/>
      <c r="R22" s="623"/>
      <c r="S22" s="624"/>
      <c r="U22" s="628"/>
      <c r="Y22" s="623"/>
      <c r="Z22" s="624"/>
      <c r="AE22" s="628"/>
      <c r="AF22" s="623"/>
    </row>
    <row r="23" spans="1:101" s="3" customFormat="1" ht="43.5" x14ac:dyDescent="0.35">
      <c r="A23" s="612" t="s">
        <v>105</v>
      </c>
      <c r="B23" s="3" t="s">
        <v>106</v>
      </c>
      <c r="C23" s="613" t="s">
        <v>116</v>
      </c>
      <c r="D23" s="3" t="s">
        <v>450</v>
      </c>
      <c r="E23" s="670"/>
      <c r="F23" s="666"/>
      <c r="G23" s="670"/>
      <c r="K23" s="623"/>
      <c r="L23" s="624"/>
      <c r="R23" s="623"/>
      <c r="S23" s="624"/>
      <c r="U23" s="628"/>
      <c r="Y23" s="623"/>
      <c r="Z23" s="624"/>
      <c r="AE23" s="628"/>
      <c r="AF23" s="623"/>
    </row>
    <row r="24" spans="1:101" s="3" customFormat="1" ht="29" x14ac:dyDescent="0.35">
      <c r="A24" s="611" t="s">
        <v>75</v>
      </c>
      <c r="B24" s="609" t="s">
        <v>107</v>
      </c>
      <c r="C24" s="613" t="s">
        <v>116</v>
      </c>
      <c r="D24" s="609"/>
      <c r="E24" s="670">
        <v>45205</v>
      </c>
      <c r="F24" s="666" t="s">
        <v>150</v>
      </c>
      <c r="G24" s="670">
        <v>45265</v>
      </c>
      <c r="K24" s="623"/>
      <c r="L24" s="624"/>
      <c r="R24" s="623"/>
      <c r="S24" s="624"/>
      <c r="U24" s="628"/>
      <c r="Y24" s="623"/>
      <c r="Z24" s="624"/>
      <c r="AE24" s="628"/>
      <c r="AF24" s="623"/>
    </row>
    <row r="25" spans="1:101" s="3" customFormat="1" ht="29" x14ac:dyDescent="0.35">
      <c r="A25" s="612" t="s">
        <v>108</v>
      </c>
      <c r="B25" s="3" t="s">
        <v>109</v>
      </c>
      <c r="C25" s="613" t="s">
        <v>116</v>
      </c>
      <c r="E25" s="670"/>
      <c r="F25" s="666"/>
      <c r="G25" s="670"/>
      <c r="K25" s="623"/>
      <c r="L25" s="624"/>
      <c r="R25" s="623"/>
      <c r="S25" s="624"/>
      <c r="U25" s="628"/>
      <c r="Y25" s="623"/>
      <c r="Z25" s="624"/>
      <c r="AE25" s="628"/>
      <c r="AF25" s="623"/>
    </row>
    <row r="26" spans="1:101" s="3" customFormat="1" ht="29" x14ac:dyDescent="0.35">
      <c r="A26" s="611" t="s">
        <v>110</v>
      </c>
      <c r="B26" s="609" t="s">
        <v>111</v>
      </c>
      <c r="C26" s="613" t="s">
        <v>116</v>
      </c>
      <c r="D26" s="609"/>
      <c r="E26" s="670"/>
      <c r="F26" s="666"/>
      <c r="G26" s="670"/>
      <c r="K26" s="623"/>
      <c r="L26" s="624"/>
      <c r="R26" s="623"/>
      <c r="S26" s="624"/>
      <c r="U26" s="628"/>
      <c r="Y26" s="623"/>
      <c r="Z26" s="624"/>
      <c r="AE26" s="628"/>
      <c r="AF26" s="623"/>
    </row>
    <row r="27" spans="1:101" s="3" customFormat="1" ht="29" x14ac:dyDescent="0.35">
      <c r="A27" s="612" t="s">
        <v>112</v>
      </c>
      <c r="B27" s="3" t="s">
        <v>113</v>
      </c>
      <c r="C27" s="613" t="s">
        <v>116</v>
      </c>
      <c r="E27" s="670"/>
      <c r="F27" s="666"/>
      <c r="G27" s="670"/>
      <c r="K27" s="623"/>
      <c r="L27" s="624"/>
      <c r="R27" s="623"/>
      <c r="S27" s="624"/>
      <c r="U27" s="628"/>
      <c r="Y27" s="623"/>
      <c r="Z27" s="624"/>
      <c r="AE27" s="628"/>
      <c r="AF27" s="623"/>
    </row>
    <row r="28" spans="1:101" s="3" customFormat="1" ht="29" x14ac:dyDescent="0.35">
      <c r="A28" s="611" t="s">
        <v>115</v>
      </c>
      <c r="B28" s="609" t="s">
        <v>84</v>
      </c>
      <c r="C28" s="613" t="s">
        <v>116</v>
      </c>
      <c r="D28" s="609"/>
      <c r="E28" s="670"/>
      <c r="F28" s="666"/>
      <c r="G28" s="670"/>
      <c r="K28" s="623"/>
      <c r="L28" s="624"/>
      <c r="R28" s="623"/>
      <c r="S28" s="624"/>
      <c r="U28" s="628"/>
      <c r="Y28" s="623"/>
      <c r="Z28" s="624"/>
      <c r="AE28" s="628"/>
      <c r="AF28" s="623"/>
    </row>
    <row r="29" spans="1:101" ht="29.5" thickBot="1" x14ac:dyDescent="0.4">
      <c r="A29" s="711" t="s">
        <v>80</v>
      </c>
      <c r="B29" s="101" t="s">
        <v>81</v>
      </c>
      <c r="C29" s="712" t="s">
        <v>116</v>
      </c>
      <c r="D29" s="101"/>
      <c r="E29" s="713">
        <v>45212</v>
      </c>
      <c r="F29" s="691" t="s">
        <v>155</v>
      </c>
      <c r="G29" s="713">
        <v>45261</v>
      </c>
      <c r="H29" s="101"/>
      <c r="I29" s="101"/>
      <c r="J29" s="101"/>
      <c r="K29" s="101"/>
      <c r="L29" s="101"/>
      <c r="M29" s="101"/>
      <c r="N29" s="101"/>
      <c r="O29" s="101"/>
      <c r="P29" s="101"/>
      <c r="Q29" s="101"/>
      <c r="R29" s="101"/>
      <c r="S29" s="101"/>
      <c r="T29" s="101"/>
      <c r="U29" s="714"/>
      <c r="V29" s="101"/>
      <c r="W29" s="101"/>
      <c r="X29" s="101"/>
      <c r="Y29" s="101"/>
      <c r="Z29" s="101"/>
      <c r="AA29" s="101"/>
      <c r="AB29" s="101"/>
      <c r="AC29" s="101"/>
      <c r="AD29" s="101"/>
      <c r="AE29" s="714"/>
      <c r="AF29" s="101"/>
      <c r="AG29" s="101"/>
      <c r="AH29" s="101"/>
      <c r="AI29" s="101"/>
      <c r="AJ29" s="101"/>
      <c r="AK29" s="101"/>
      <c r="AL29" s="101"/>
      <c r="AM29" s="101"/>
      <c r="AN29" s="101"/>
      <c r="AO29" s="101"/>
      <c r="AP29" s="101"/>
      <c r="AQ29" s="101"/>
      <c r="AR29" s="101"/>
      <c r="AS29" s="101"/>
      <c r="AT29" s="101"/>
      <c r="AU29" s="101"/>
      <c r="AV29" s="101"/>
      <c r="AW29" s="101"/>
      <c r="AX29" s="101"/>
      <c r="AY29" s="101"/>
      <c r="AZ29" s="101"/>
      <c r="BA29" s="101"/>
      <c r="BB29" s="101"/>
      <c r="BC29" s="101"/>
      <c r="BD29" s="101"/>
      <c r="BE29" s="101"/>
      <c r="BF29" s="101"/>
      <c r="BG29" s="101"/>
      <c r="BH29" s="101"/>
      <c r="BI29" s="101"/>
      <c r="BJ29" s="101"/>
      <c r="BK29" s="101"/>
      <c r="BL29" s="101"/>
      <c r="BM29" s="101"/>
      <c r="BN29" s="101"/>
      <c r="BO29" s="101"/>
      <c r="BP29" s="101"/>
      <c r="BQ29" s="101"/>
      <c r="BR29" s="101"/>
      <c r="BS29" s="101"/>
      <c r="BT29" s="101"/>
      <c r="BU29" s="101"/>
      <c r="BV29" s="101"/>
      <c r="BW29" s="101"/>
      <c r="BX29" s="101"/>
      <c r="BY29" s="101"/>
      <c r="BZ29" s="101"/>
      <c r="CA29" s="101"/>
      <c r="CB29" s="101"/>
      <c r="CC29" s="101"/>
      <c r="CD29" s="101"/>
      <c r="CE29" s="101"/>
      <c r="CF29" s="101"/>
      <c r="CG29" s="101"/>
      <c r="CH29" s="101"/>
      <c r="CI29" s="101"/>
      <c r="CJ29" s="101"/>
      <c r="CK29" s="101"/>
      <c r="CL29" s="101"/>
      <c r="CM29" s="101"/>
      <c r="CN29" s="101"/>
      <c r="CO29" s="101"/>
      <c r="CP29" s="101"/>
      <c r="CQ29" s="101"/>
      <c r="CR29" s="101"/>
      <c r="CS29" s="101"/>
      <c r="CT29" s="101"/>
      <c r="CU29" s="101"/>
      <c r="CV29" s="101"/>
      <c r="CW29" s="101"/>
    </row>
    <row r="30" spans="1:101" s="717" customFormat="1" ht="16" thickTop="1" x14ac:dyDescent="0.35">
      <c r="A30" s="693" t="s">
        <v>263</v>
      </c>
      <c r="B30" s="693" t="s">
        <v>264</v>
      </c>
      <c r="C30" s="693" t="s">
        <v>7</v>
      </c>
      <c r="D30" s="692"/>
      <c r="E30" s="692"/>
      <c r="F30" s="692"/>
      <c r="G30" s="715">
        <v>45117</v>
      </c>
      <c r="H30" s="692"/>
      <c r="I30" s="692"/>
      <c r="J30" s="692"/>
      <c r="K30" s="692"/>
      <c r="L30" s="692"/>
      <c r="M30" s="692"/>
      <c r="N30" s="692"/>
      <c r="O30" s="692"/>
      <c r="P30" s="692"/>
      <c r="Q30" s="692"/>
      <c r="R30" s="692"/>
      <c r="S30" s="692"/>
      <c r="T30" s="692"/>
      <c r="U30" s="716"/>
      <c r="V30" s="692"/>
      <c r="W30" s="692"/>
      <c r="X30" s="692"/>
      <c r="Y30" s="692"/>
      <c r="Z30" s="692"/>
      <c r="AA30" s="692"/>
      <c r="AB30" s="692"/>
      <c r="AC30" s="692"/>
      <c r="AD30" s="692"/>
      <c r="AE30" s="716"/>
      <c r="AF30" s="692"/>
      <c r="AG30" s="692"/>
      <c r="AH30" s="692"/>
      <c r="AI30" s="692"/>
      <c r="AJ30" s="692"/>
      <c r="AK30" s="692"/>
      <c r="AL30" s="692"/>
      <c r="AM30" s="692"/>
      <c r="AN30" s="692"/>
      <c r="AO30" s="692"/>
      <c r="AP30" s="692"/>
      <c r="AQ30" s="692"/>
      <c r="AR30" s="692"/>
      <c r="AS30" s="692"/>
      <c r="AT30" s="692"/>
      <c r="AU30" s="692"/>
      <c r="AV30" s="692"/>
      <c r="AW30" s="692"/>
      <c r="AX30" s="692"/>
      <c r="AY30" s="692"/>
      <c r="AZ30" s="692"/>
      <c r="BA30" s="692"/>
      <c r="BB30" s="692"/>
      <c r="BC30" s="692"/>
      <c r="BD30" s="692"/>
      <c r="BE30" s="692"/>
      <c r="BF30" s="692"/>
      <c r="BG30" s="692"/>
      <c r="BH30" s="692"/>
      <c r="BI30" s="692"/>
      <c r="BJ30" s="692"/>
      <c r="BK30" s="692"/>
      <c r="BL30" s="692"/>
      <c r="BM30" s="692"/>
      <c r="BN30" s="692"/>
      <c r="BO30" s="692"/>
      <c r="BP30" s="692"/>
      <c r="BQ30" s="692"/>
      <c r="BR30" s="692"/>
      <c r="BS30" s="692"/>
      <c r="BT30" s="692"/>
      <c r="BU30" s="692"/>
      <c r="BV30" s="692"/>
      <c r="BW30" s="692"/>
      <c r="BX30" s="692"/>
      <c r="BY30" s="692"/>
      <c r="BZ30" s="692"/>
      <c r="CA30" s="692"/>
      <c r="CB30" s="692"/>
      <c r="CC30" s="692"/>
      <c r="CD30" s="692"/>
      <c r="CE30" s="692"/>
      <c r="CF30" s="692"/>
      <c r="CG30" s="692"/>
      <c r="CH30" s="692"/>
      <c r="CI30" s="692"/>
      <c r="CJ30" s="692"/>
      <c r="CK30" s="692"/>
      <c r="CL30" s="692"/>
      <c r="CM30" s="692"/>
      <c r="CN30" s="692"/>
      <c r="CO30" s="692"/>
      <c r="CP30" s="692"/>
      <c r="CQ30" s="692"/>
      <c r="CR30" s="692"/>
      <c r="CS30" s="692"/>
      <c r="CT30" s="692"/>
      <c r="CU30" s="692"/>
      <c r="CV30" s="692"/>
      <c r="CW30" s="692"/>
    </row>
    <row r="31" spans="1:101" ht="15.5" x14ac:dyDescent="0.35">
      <c r="A31" s="100"/>
      <c r="B31" s="100" t="s">
        <v>267</v>
      </c>
      <c r="C31" s="100" t="s">
        <v>7</v>
      </c>
      <c r="D31" s="3"/>
      <c r="E31" s="666">
        <v>45037</v>
      </c>
      <c r="F31" s="3"/>
      <c r="G31" s="706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628"/>
      <c r="V31" s="3"/>
      <c r="W31" s="3"/>
      <c r="X31" s="3"/>
      <c r="Y31" s="3"/>
      <c r="Z31" s="3"/>
      <c r="AA31" s="3"/>
      <c r="AB31" s="3"/>
      <c r="AC31" s="3"/>
      <c r="AD31" s="3"/>
      <c r="AE31" s="628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</row>
    <row r="32" spans="1:101" ht="15.5" x14ac:dyDescent="0.35">
      <c r="A32" s="100"/>
      <c r="B32" s="100"/>
      <c r="C32" s="100" t="s">
        <v>7</v>
      </c>
      <c r="D32" s="3"/>
      <c r="E32" s="666">
        <v>45037</v>
      </c>
      <c r="F32" s="3"/>
      <c r="G32" s="707">
        <v>45089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628"/>
      <c r="V32" s="3"/>
      <c r="W32" s="3"/>
      <c r="X32" s="3"/>
      <c r="Y32" s="3"/>
      <c r="Z32" s="3"/>
      <c r="AA32" s="3"/>
      <c r="AB32" s="3"/>
      <c r="AC32" s="3"/>
      <c r="AD32" s="3"/>
      <c r="AE32" s="628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</row>
    <row r="33" spans="1:101" ht="15.5" x14ac:dyDescent="0.35">
      <c r="A33" s="100"/>
      <c r="B33" s="100" t="s">
        <v>271</v>
      </c>
      <c r="C33" s="100" t="s">
        <v>7</v>
      </c>
      <c r="D33" s="3"/>
      <c r="E33" s="666">
        <v>45068</v>
      </c>
      <c r="F33" s="3"/>
      <c r="G33" s="708">
        <v>38889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628"/>
      <c r="V33" s="3"/>
      <c r="W33" s="3"/>
      <c r="X33" s="3"/>
      <c r="Y33" s="3"/>
      <c r="Z33" s="3"/>
      <c r="AA33" s="3"/>
      <c r="AB33" s="3"/>
      <c r="AC33" s="3"/>
      <c r="AD33" s="3"/>
      <c r="AE33" s="628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</row>
    <row r="34" spans="1:101" ht="15.5" x14ac:dyDescent="0.35">
      <c r="A34" s="100"/>
      <c r="B34" s="100"/>
      <c r="C34" s="100" t="s">
        <v>7</v>
      </c>
      <c r="D34" s="3"/>
      <c r="E34" s="666"/>
      <c r="F34" s="3"/>
      <c r="G34" s="708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628"/>
      <c r="V34" s="3"/>
      <c r="W34" s="3"/>
      <c r="X34" s="3"/>
      <c r="Y34" s="3"/>
      <c r="Z34" s="3"/>
      <c r="AA34" s="3"/>
      <c r="AB34" s="3"/>
      <c r="AC34" s="3"/>
      <c r="AD34" s="3"/>
      <c r="AE34" s="628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</row>
    <row r="35" spans="1:101" ht="15.5" x14ac:dyDescent="0.35">
      <c r="A35" s="100"/>
      <c r="B35" s="100" t="s">
        <v>277</v>
      </c>
      <c r="C35" s="100" t="s">
        <v>7</v>
      </c>
      <c r="D35" s="3"/>
      <c r="E35" s="666"/>
      <c r="F35" s="3"/>
      <c r="G35" s="708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628"/>
      <c r="V35" s="3"/>
      <c r="W35" s="3"/>
      <c r="X35" s="3"/>
      <c r="Y35" s="3"/>
      <c r="Z35" s="3"/>
      <c r="AA35" s="3"/>
      <c r="AB35" s="3"/>
      <c r="AC35" s="3"/>
      <c r="AD35" s="3"/>
      <c r="AE35" s="628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</row>
    <row r="36" spans="1:101" ht="15.5" x14ac:dyDescent="0.35">
      <c r="A36" s="100" t="s">
        <v>278</v>
      </c>
      <c r="B36" s="100" t="s">
        <v>279</v>
      </c>
      <c r="C36" s="100" t="s">
        <v>7</v>
      </c>
      <c r="D36" s="3"/>
      <c r="E36" s="666"/>
      <c r="F36" s="3"/>
      <c r="G36" s="705">
        <v>45114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628"/>
      <c r="V36" s="3"/>
      <c r="W36" s="3"/>
      <c r="X36" s="3"/>
      <c r="Y36" s="3"/>
      <c r="Z36" s="3"/>
      <c r="AA36" s="3"/>
      <c r="AB36" s="3"/>
      <c r="AC36" s="3"/>
      <c r="AD36" s="3"/>
      <c r="AE36" s="628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</row>
    <row r="37" spans="1:101" ht="15.5" x14ac:dyDescent="0.35">
      <c r="A37" s="100"/>
      <c r="B37" s="100" t="s">
        <v>267</v>
      </c>
      <c r="C37" s="100" t="s">
        <v>7</v>
      </c>
      <c r="D37" s="3"/>
      <c r="E37" s="666">
        <v>45037</v>
      </c>
      <c r="F37" s="3"/>
      <c r="G37" s="708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628"/>
      <c r="V37" s="3"/>
      <c r="W37" s="3"/>
      <c r="X37" s="3"/>
      <c r="Y37" s="3"/>
      <c r="Z37" s="3"/>
      <c r="AA37" s="3"/>
      <c r="AB37" s="3"/>
      <c r="AC37" s="3"/>
      <c r="AD37" s="3"/>
      <c r="AE37" s="628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</row>
    <row r="38" spans="1:101" ht="15.5" x14ac:dyDescent="0.35">
      <c r="A38" s="100"/>
      <c r="B38" s="100"/>
      <c r="C38" s="100" t="s">
        <v>7</v>
      </c>
      <c r="D38" s="3"/>
      <c r="E38" s="666"/>
      <c r="F38" s="3"/>
      <c r="G38" s="708">
        <v>45139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628"/>
      <c r="V38" s="3"/>
      <c r="W38" s="3"/>
      <c r="X38" s="3"/>
      <c r="Y38" s="3"/>
      <c r="Z38" s="3"/>
      <c r="AA38" s="3"/>
      <c r="AB38" s="3"/>
      <c r="AC38" s="3"/>
      <c r="AD38" s="3"/>
      <c r="AE38" s="628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</row>
    <row r="39" spans="1:101" ht="15.5" x14ac:dyDescent="0.35">
      <c r="A39" s="100"/>
      <c r="B39" s="100" t="s">
        <v>271</v>
      </c>
      <c r="C39" s="100" t="s">
        <v>7</v>
      </c>
      <c r="D39" s="3"/>
      <c r="E39" s="666">
        <v>45098</v>
      </c>
      <c r="F39" s="3"/>
      <c r="G39" s="708" t="s">
        <v>284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628"/>
      <c r="V39" s="3"/>
      <c r="W39" s="3"/>
      <c r="X39" s="3"/>
      <c r="Y39" s="3"/>
      <c r="Z39" s="3"/>
      <c r="AA39" s="3"/>
      <c r="AB39" s="3"/>
      <c r="AC39" s="3"/>
      <c r="AD39" s="3"/>
      <c r="AE39" s="628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</row>
    <row r="40" spans="1:101" ht="15.5" x14ac:dyDescent="0.35">
      <c r="A40" s="100"/>
      <c r="B40" s="100"/>
      <c r="C40" s="100" t="s">
        <v>7</v>
      </c>
      <c r="D40" s="3"/>
      <c r="E40" s="666"/>
      <c r="F40" s="3"/>
      <c r="G40" s="708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628"/>
      <c r="V40" s="3"/>
      <c r="W40" s="3"/>
      <c r="X40" s="3"/>
      <c r="Y40" s="3"/>
      <c r="Z40" s="3"/>
      <c r="AA40" s="3"/>
      <c r="AB40" s="3"/>
      <c r="AC40" s="3"/>
      <c r="AD40" s="3"/>
      <c r="AE40" s="628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</row>
    <row r="41" spans="1:101" ht="15.5" x14ac:dyDescent="0.35">
      <c r="A41" s="100" t="s">
        <v>286</v>
      </c>
      <c r="B41" s="100" t="s">
        <v>28</v>
      </c>
      <c r="C41" s="100" t="s">
        <v>7</v>
      </c>
      <c r="D41" s="3"/>
      <c r="E41" s="666"/>
      <c r="F41" s="3"/>
      <c r="G41" s="708">
        <v>45170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628"/>
      <c r="V41" s="3"/>
      <c r="W41" s="3"/>
      <c r="X41" s="3"/>
      <c r="Y41" s="3"/>
      <c r="Z41" s="3"/>
      <c r="AA41" s="3"/>
      <c r="AB41" s="3"/>
      <c r="AC41" s="3"/>
      <c r="AD41" s="3"/>
      <c r="AE41" s="628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</row>
    <row r="42" spans="1:101" ht="15.5" x14ac:dyDescent="0.35">
      <c r="A42" s="100"/>
      <c r="B42" s="100" t="s">
        <v>288</v>
      </c>
      <c r="C42" s="100" t="s">
        <v>7</v>
      </c>
      <c r="D42" s="3"/>
      <c r="E42" s="666"/>
      <c r="F42" s="3"/>
      <c r="G42" s="708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628"/>
      <c r="V42" s="3"/>
      <c r="W42" s="3"/>
      <c r="X42" s="3"/>
      <c r="Y42" s="3"/>
      <c r="Z42" s="3"/>
      <c r="AA42" s="3"/>
      <c r="AB42" s="3"/>
      <c r="AC42" s="3"/>
      <c r="AD42" s="3"/>
      <c r="AE42" s="628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</row>
    <row r="43" spans="1:101" ht="15.5" x14ac:dyDescent="0.35">
      <c r="A43" s="100"/>
      <c r="B43" s="100" t="s">
        <v>34</v>
      </c>
      <c r="C43" s="100" t="s">
        <v>7</v>
      </c>
      <c r="D43" s="3"/>
      <c r="E43" s="666"/>
      <c r="F43" s="3"/>
      <c r="G43" s="708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628"/>
      <c r="V43" s="3"/>
      <c r="W43" s="3"/>
      <c r="X43" s="3"/>
      <c r="Y43" s="3"/>
      <c r="Z43" s="3"/>
      <c r="AA43" s="3"/>
      <c r="AB43" s="3"/>
      <c r="AC43" s="3"/>
      <c r="AD43" s="3"/>
      <c r="AE43" s="628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</row>
    <row r="44" spans="1:101" ht="15.5" x14ac:dyDescent="0.35">
      <c r="A44" s="100"/>
      <c r="B44" s="100" t="s">
        <v>271</v>
      </c>
      <c r="C44" s="100" t="s">
        <v>7</v>
      </c>
      <c r="D44" s="3"/>
      <c r="E44" s="666">
        <v>45147</v>
      </c>
      <c r="F44" s="3"/>
      <c r="G44" s="708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628"/>
      <c r="V44" s="3"/>
      <c r="W44" s="3"/>
      <c r="X44" s="3"/>
      <c r="Y44" s="3"/>
      <c r="Z44" s="3"/>
      <c r="AA44" s="3"/>
      <c r="AB44" s="3"/>
      <c r="AC44" s="3"/>
      <c r="AD44" s="3"/>
      <c r="AE44" s="628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</row>
    <row r="45" spans="1:101" ht="15.5" x14ac:dyDescent="0.35">
      <c r="A45" s="100"/>
      <c r="B45" s="100"/>
      <c r="C45" s="100" t="s">
        <v>7</v>
      </c>
      <c r="D45" s="3"/>
      <c r="E45" s="666"/>
      <c r="F45" s="3"/>
      <c r="G45" s="708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628"/>
      <c r="V45" s="3"/>
      <c r="W45" s="3"/>
      <c r="X45" s="3"/>
      <c r="Y45" s="3"/>
      <c r="Z45" s="3"/>
      <c r="AA45" s="3"/>
      <c r="AB45" s="3"/>
      <c r="AC45" s="3"/>
      <c r="AD45" s="3"/>
      <c r="AE45" s="628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</row>
    <row r="46" spans="1:101" ht="15.5" x14ac:dyDescent="0.35">
      <c r="A46" s="100" t="s">
        <v>296</v>
      </c>
      <c r="B46" s="100" t="s">
        <v>297</v>
      </c>
      <c r="C46" s="100" t="s">
        <v>7</v>
      </c>
      <c r="D46" s="3"/>
      <c r="E46" s="666"/>
      <c r="F46" s="3"/>
      <c r="G46" s="708">
        <v>45135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628"/>
      <c r="V46" s="3"/>
      <c r="W46" s="3"/>
      <c r="X46" s="3"/>
      <c r="Y46" s="3"/>
      <c r="Z46" s="3"/>
      <c r="AA46" s="3"/>
      <c r="AB46" s="3"/>
      <c r="AC46" s="3"/>
      <c r="AD46" s="3"/>
      <c r="AE46" s="628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</row>
    <row r="47" spans="1:101" ht="15.5" x14ac:dyDescent="0.35">
      <c r="A47" s="100"/>
      <c r="B47" s="100" t="s">
        <v>1</v>
      </c>
      <c r="C47" s="100" t="s">
        <v>7</v>
      </c>
      <c r="D47" s="3"/>
      <c r="E47" s="666"/>
      <c r="F47" s="3"/>
      <c r="G47" s="708">
        <v>45128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628"/>
      <c r="V47" s="3"/>
      <c r="W47" s="3"/>
      <c r="X47" s="3"/>
      <c r="Y47" s="3"/>
      <c r="Z47" s="3"/>
      <c r="AA47" s="3"/>
      <c r="AB47" s="3"/>
      <c r="AC47" s="3"/>
      <c r="AD47" s="3"/>
      <c r="AE47" s="628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</row>
    <row r="48" spans="1:101" ht="15.5" x14ac:dyDescent="0.35">
      <c r="A48" s="100"/>
      <c r="B48" s="100" t="s">
        <v>299</v>
      </c>
      <c r="C48" s="100" t="s">
        <v>7</v>
      </c>
      <c r="D48" s="3"/>
      <c r="E48" s="666">
        <v>45084</v>
      </c>
      <c r="F48" s="3"/>
      <c r="G48" s="708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628"/>
      <c r="V48" s="3"/>
      <c r="W48" s="3"/>
      <c r="X48" s="3"/>
      <c r="Y48" s="3"/>
      <c r="Z48" s="3"/>
      <c r="AA48" s="3"/>
      <c r="AB48" s="3"/>
      <c r="AC48" s="3"/>
      <c r="AD48" s="3"/>
      <c r="AE48" s="628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</row>
    <row r="49" spans="1:101" ht="15.5" x14ac:dyDescent="0.35">
      <c r="A49" s="100"/>
      <c r="B49" s="100" t="s">
        <v>271</v>
      </c>
      <c r="C49" s="100" t="s">
        <v>7</v>
      </c>
      <c r="D49" s="3"/>
      <c r="E49" s="666">
        <v>45147</v>
      </c>
      <c r="F49" s="3"/>
      <c r="G49" s="708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628"/>
      <c r="V49" s="3"/>
      <c r="W49" s="3"/>
      <c r="X49" s="3"/>
      <c r="Y49" s="3"/>
      <c r="Z49" s="3"/>
      <c r="AA49" s="3"/>
      <c r="AB49" s="3"/>
      <c r="AC49" s="3"/>
      <c r="AD49" s="3"/>
      <c r="AE49" s="628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</row>
    <row r="50" spans="1:101" ht="15.5" x14ac:dyDescent="0.35">
      <c r="A50" s="100"/>
      <c r="B50" s="100"/>
      <c r="C50" s="100" t="s">
        <v>7</v>
      </c>
      <c r="D50" s="3"/>
      <c r="E50" s="666"/>
      <c r="F50" s="3"/>
      <c r="G50" s="708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628"/>
      <c r="V50" s="3"/>
      <c r="W50" s="3"/>
      <c r="X50" s="3"/>
      <c r="Y50" s="3"/>
      <c r="Z50" s="3"/>
      <c r="AA50" s="3"/>
      <c r="AB50" s="3"/>
      <c r="AC50" s="3"/>
      <c r="AD50" s="3"/>
      <c r="AE50" s="628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</row>
    <row r="51" spans="1:101" ht="15.5" x14ac:dyDescent="0.35">
      <c r="A51" s="100" t="s">
        <v>305</v>
      </c>
      <c r="B51" s="100" t="s">
        <v>3</v>
      </c>
      <c r="C51" s="100" t="s">
        <v>7</v>
      </c>
      <c r="D51" s="3"/>
      <c r="E51" s="666"/>
      <c r="F51" s="3"/>
      <c r="G51" s="708">
        <v>45135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628"/>
      <c r="V51" s="3"/>
      <c r="W51" s="3"/>
      <c r="X51" s="3"/>
      <c r="Y51" s="3"/>
      <c r="Z51" s="3"/>
      <c r="AA51" s="3"/>
      <c r="AB51" s="3"/>
      <c r="AC51" s="3"/>
      <c r="AD51" s="3"/>
      <c r="AE51" s="628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</row>
    <row r="52" spans="1:101" ht="20" x14ac:dyDescent="0.35">
      <c r="A52" s="100"/>
      <c r="B52" s="100" t="s">
        <v>307</v>
      </c>
      <c r="C52" s="100" t="s">
        <v>7</v>
      </c>
      <c r="D52" s="3"/>
      <c r="E52" s="666">
        <v>45084</v>
      </c>
      <c r="F52" s="3"/>
      <c r="G52" s="708">
        <v>45135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628"/>
      <c r="V52" s="3"/>
      <c r="W52" s="3"/>
      <c r="X52" s="3"/>
      <c r="Y52" s="3"/>
      <c r="Z52" s="3"/>
      <c r="AA52" s="3"/>
      <c r="AB52" s="3"/>
      <c r="AC52" s="3"/>
      <c r="AD52" s="3"/>
      <c r="AE52" s="628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</row>
    <row r="53" spans="1:101" ht="20" x14ac:dyDescent="0.35">
      <c r="A53" s="100"/>
      <c r="B53" s="100" t="s">
        <v>313</v>
      </c>
      <c r="C53" s="100" t="s">
        <v>7</v>
      </c>
      <c r="D53" s="3"/>
      <c r="E53" s="666">
        <v>45084</v>
      </c>
      <c r="F53" s="3"/>
      <c r="G53" s="708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628"/>
      <c r="V53" s="3"/>
      <c r="W53" s="3"/>
      <c r="X53" s="3"/>
      <c r="Y53" s="3"/>
      <c r="Z53" s="3"/>
      <c r="AA53" s="3"/>
      <c r="AB53" s="3"/>
      <c r="AC53" s="3"/>
      <c r="AD53" s="3"/>
      <c r="AE53" s="628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</row>
    <row r="54" spans="1:101" ht="15.5" x14ac:dyDescent="0.35">
      <c r="A54" s="100"/>
      <c r="B54" s="100" t="s">
        <v>314</v>
      </c>
      <c r="C54" s="100" t="s">
        <v>7</v>
      </c>
      <c r="D54" s="3"/>
      <c r="E54" s="666">
        <v>45147</v>
      </c>
      <c r="F54" s="3"/>
      <c r="G54" s="708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628"/>
      <c r="V54" s="3"/>
      <c r="W54" s="3"/>
      <c r="X54" s="3"/>
      <c r="Y54" s="3"/>
      <c r="Z54" s="3"/>
      <c r="AA54" s="3"/>
      <c r="AB54" s="3"/>
      <c r="AC54" s="3"/>
      <c r="AD54" s="3"/>
      <c r="AE54" s="628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</row>
    <row r="55" spans="1:101" ht="15.5" x14ac:dyDescent="0.35">
      <c r="A55" s="100"/>
      <c r="B55" s="100"/>
      <c r="C55" s="100" t="s">
        <v>7</v>
      </c>
      <c r="D55" s="3"/>
      <c r="E55" s="666"/>
      <c r="F55" s="3"/>
      <c r="G55" s="708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628"/>
      <c r="V55" s="3"/>
      <c r="W55" s="3"/>
      <c r="X55" s="3"/>
      <c r="Y55" s="3"/>
      <c r="Z55" s="3"/>
      <c r="AA55" s="3"/>
      <c r="AB55" s="3"/>
      <c r="AC55" s="3"/>
      <c r="AD55" s="3"/>
      <c r="AE55" s="628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</row>
    <row r="56" spans="1:101" ht="15.5" x14ac:dyDescent="0.35">
      <c r="A56" s="100"/>
      <c r="B56" s="100" t="s">
        <v>243</v>
      </c>
      <c r="C56" s="100" t="s">
        <v>7</v>
      </c>
      <c r="D56" s="3"/>
      <c r="E56" s="666"/>
      <c r="F56" s="3"/>
      <c r="G56" s="708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628"/>
      <c r="V56" s="3"/>
      <c r="W56" s="3"/>
      <c r="X56" s="3"/>
      <c r="Y56" s="3"/>
      <c r="Z56" s="3"/>
      <c r="AA56" s="3"/>
      <c r="AB56" s="3"/>
      <c r="AC56" s="3"/>
      <c r="AD56" s="3"/>
      <c r="AE56" s="628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</row>
    <row r="57" spans="1:101" ht="15.5" x14ac:dyDescent="0.35">
      <c r="A57" s="100" t="s">
        <v>318</v>
      </c>
      <c r="B57" s="100" t="s">
        <v>100</v>
      </c>
      <c r="C57" s="100" t="s">
        <v>7</v>
      </c>
      <c r="D57" s="3"/>
      <c r="E57" s="666">
        <v>45124</v>
      </c>
      <c r="F57" s="3"/>
      <c r="G57" s="708">
        <v>45177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628"/>
      <c r="V57" s="3"/>
      <c r="W57" s="3"/>
      <c r="X57" s="3"/>
      <c r="Y57" s="3"/>
      <c r="Z57" s="3"/>
      <c r="AA57" s="3"/>
      <c r="AB57" s="3"/>
      <c r="AC57" s="3"/>
      <c r="AD57" s="3"/>
      <c r="AE57" s="628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</row>
    <row r="58" spans="1:101" ht="15.5" x14ac:dyDescent="0.35">
      <c r="A58" s="100"/>
      <c r="B58" s="100" t="s">
        <v>1</v>
      </c>
      <c r="C58" s="100" t="s">
        <v>7</v>
      </c>
      <c r="D58" s="3"/>
      <c r="E58" s="666"/>
      <c r="F58" s="3"/>
      <c r="G58" s="708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628"/>
      <c r="V58" s="3"/>
      <c r="W58" s="3"/>
      <c r="X58" s="3"/>
      <c r="Y58" s="3"/>
      <c r="Z58" s="3"/>
      <c r="AA58" s="3"/>
      <c r="AB58" s="3"/>
      <c r="AC58" s="3"/>
      <c r="AD58" s="3"/>
      <c r="AE58" s="628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</row>
    <row r="59" spans="1:101" ht="15.5" x14ac:dyDescent="0.35">
      <c r="A59" s="100"/>
      <c r="B59" s="100" t="s">
        <v>270</v>
      </c>
      <c r="C59" s="100" t="s">
        <v>7</v>
      </c>
      <c r="D59" s="3"/>
      <c r="E59" s="666"/>
      <c r="F59" s="3"/>
      <c r="G59" s="708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628"/>
      <c r="V59" s="3"/>
      <c r="W59" s="3"/>
      <c r="X59" s="3"/>
      <c r="Y59" s="3"/>
      <c r="Z59" s="3"/>
      <c r="AA59" s="3"/>
      <c r="AB59" s="3"/>
      <c r="AC59" s="3"/>
      <c r="AD59" s="3"/>
      <c r="AE59" s="628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</row>
    <row r="60" spans="1:101" ht="15.5" x14ac:dyDescent="0.35">
      <c r="A60" s="100"/>
      <c r="B60" s="100" t="s">
        <v>273</v>
      </c>
      <c r="C60" s="100" t="s">
        <v>7</v>
      </c>
      <c r="D60" s="3"/>
      <c r="E60" s="666"/>
      <c r="F60" s="3"/>
      <c r="G60" s="706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628"/>
      <c r="V60" s="3"/>
      <c r="W60" s="3"/>
      <c r="X60" s="3"/>
      <c r="Y60" s="3"/>
      <c r="Z60" s="3"/>
      <c r="AA60" s="3"/>
      <c r="AB60" s="3"/>
      <c r="AC60" s="3"/>
      <c r="AD60" s="3"/>
      <c r="AE60" s="628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</row>
    <row r="61" spans="1:101" ht="15.5" x14ac:dyDescent="0.35">
      <c r="A61" s="100"/>
      <c r="B61" s="100" t="s">
        <v>275</v>
      </c>
      <c r="C61" s="100" t="s">
        <v>7</v>
      </c>
      <c r="D61" s="3"/>
      <c r="E61" s="666"/>
      <c r="F61" s="3"/>
      <c r="G61" s="708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628"/>
      <c r="V61" s="3"/>
      <c r="W61" s="3"/>
      <c r="X61" s="3"/>
      <c r="Y61" s="3"/>
      <c r="Z61" s="3"/>
      <c r="AA61" s="3"/>
      <c r="AB61" s="3"/>
      <c r="AC61" s="3"/>
      <c r="AD61" s="3"/>
      <c r="AE61" s="628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</row>
    <row r="62" spans="1:101" ht="15.5" x14ac:dyDescent="0.35">
      <c r="A62" s="100" t="s">
        <v>323</v>
      </c>
      <c r="B62" s="100" t="s">
        <v>324</v>
      </c>
      <c r="C62" s="100" t="s">
        <v>7</v>
      </c>
      <c r="D62" s="3"/>
      <c r="E62" s="666"/>
      <c r="F62" s="3"/>
      <c r="G62" s="708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628"/>
      <c r="V62" s="3"/>
      <c r="W62" s="3"/>
      <c r="X62" s="3"/>
      <c r="Y62" s="3"/>
      <c r="Z62" s="3"/>
      <c r="AA62" s="3"/>
      <c r="AB62" s="3"/>
      <c r="AC62" s="3"/>
      <c r="AD62" s="3"/>
      <c r="AE62" s="628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</row>
    <row r="63" spans="1:101" ht="15.5" x14ac:dyDescent="0.35">
      <c r="A63" s="100"/>
      <c r="B63" s="100"/>
      <c r="C63" s="100" t="s">
        <v>7</v>
      </c>
      <c r="D63" s="3"/>
      <c r="E63" s="666"/>
      <c r="F63" s="3"/>
      <c r="G63" s="708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628"/>
      <c r="V63" s="3"/>
      <c r="W63" s="3"/>
      <c r="X63" s="3"/>
      <c r="Y63" s="3"/>
      <c r="Z63" s="3"/>
      <c r="AA63" s="3"/>
      <c r="AB63" s="3"/>
      <c r="AC63" s="3"/>
      <c r="AD63" s="3"/>
      <c r="AE63" s="628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</row>
    <row r="64" spans="1:101" ht="15.5" x14ac:dyDescent="0.35">
      <c r="A64" s="100"/>
      <c r="B64" s="100"/>
      <c r="C64" s="100" t="s">
        <v>7</v>
      </c>
      <c r="D64" s="3"/>
      <c r="E64" s="666"/>
      <c r="F64" s="3"/>
      <c r="G64" s="708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628"/>
      <c r="V64" s="3"/>
      <c r="W64" s="3"/>
      <c r="X64" s="3"/>
      <c r="Y64" s="3"/>
      <c r="Z64" s="3"/>
      <c r="AA64" s="3"/>
      <c r="AB64" s="3"/>
      <c r="AC64" s="3"/>
      <c r="AD64" s="3"/>
      <c r="AE64" s="628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</row>
    <row r="65" spans="1:101" ht="15.5" x14ac:dyDescent="0.35">
      <c r="A65" s="100"/>
      <c r="B65" s="100"/>
      <c r="C65" s="100" t="s">
        <v>7</v>
      </c>
      <c r="D65" s="3"/>
      <c r="E65" s="666"/>
      <c r="F65" s="3"/>
      <c r="G65" s="708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628"/>
      <c r="V65" s="3"/>
      <c r="W65" s="3"/>
      <c r="X65" s="3"/>
      <c r="Y65" s="3"/>
      <c r="Z65" s="3"/>
      <c r="AA65" s="3"/>
      <c r="AB65" s="3"/>
      <c r="AC65" s="3"/>
      <c r="AD65" s="3"/>
      <c r="AE65" s="628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</row>
    <row r="66" spans="1:101" ht="15.5" x14ac:dyDescent="0.35">
      <c r="A66" s="100"/>
      <c r="B66" s="100"/>
      <c r="C66" s="100" t="s">
        <v>7</v>
      </c>
      <c r="D66" s="3"/>
      <c r="E66" s="666"/>
      <c r="F66" s="3"/>
      <c r="G66" s="708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628"/>
      <c r="V66" s="3"/>
      <c r="W66" s="3"/>
      <c r="X66" s="3"/>
      <c r="Y66" s="3"/>
      <c r="Z66" s="3"/>
      <c r="AA66" s="3"/>
      <c r="AB66" s="3"/>
      <c r="AC66" s="3"/>
      <c r="AD66" s="3"/>
      <c r="AE66" s="628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</row>
    <row r="67" spans="1:101" ht="15.5" x14ac:dyDescent="0.35">
      <c r="A67" s="100" t="s">
        <v>328</v>
      </c>
      <c r="B67" s="100" t="s">
        <v>329</v>
      </c>
      <c r="C67" s="100" t="s">
        <v>7</v>
      </c>
      <c r="D67" s="3"/>
      <c r="E67" s="666">
        <v>45120</v>
      </c>
      <c r="F67" s="3"/>
      <c r="G67" s="708">
        <v>45177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628"/>
      <c r="V67" s="3"/>
      <c r="W67" s="3"/>
      <c r="X67" s="3"/>
      <c r="Y67" s="3"/>
      <c r="Z67" s="3"/>
      <c r="AA67" s="3"/>
      <c r="AB67" s="3"/>
      <c r="AC67" s="3"/>
      <c r="AD67" s="3"/>
      <c r="AE67" s="628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</row>
    <row r="68" spans="1:101" ht="15.5" x14ac:dyDescent="0.35">
      <c r="A68" s="100"/>
      <c r="B68" s="100" t="s">
        <v>1</v>
      </c>
      <c r="C68" s="100" t="s">
        <v>7</v>
      </c>
      <c r="D68" s="3"/>
      <c r="E68" s="666"/>
      <c r="F68" s="3"/>
      <c r="G68" s="708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628"/>
      <c r="V68" s="3"/>
      <c r="W68" s="3"/>
      <c r="X68" s="3"/>
      <c r="Y68" s="3"/>
      <c r="Z68" s="3"/>
      <c r="AA68" s="3"/>
      <c r="AB68" s="3"/>
      <c r="AC68" s="3"/>
      <c r="AD68" s="3"/>
      <c r="AE68" s="628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</row>
    <row r="69" spans="1:101" ht="15.5" x14ac:dyDescent="0.35">
      <c r="A69" s="100"/>
      <c r="B69" s="100" t="s">
        <v>270</v>
      </c>
      <c r="C69" s="100" t="s">
        <v>7</v>
      </c>
      <c r="D69" s="3"/>
      <c r="E69" s="666"/>
      <c r="F69" s="3"/>
      <c r="G69" s="708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628"/>
      <c r="V69" s="3"/>
      <c r="W69" s="3"/>
      <c r="X69" s="3"/>
      <c r="Y69" s="3"/>
      <c r="Z69" s="3"/>
      <c r="AA69" s="3"/>
      <c r="AB69" s="3"/>
      <c r="AC69" s="3"/>
      <c r="AD69" s="3"/>
      <c r="AE69" s="628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</row>
    <row r="70" spans="1:101" ht="15.5" x14ac:dyDescent="0.35">
      <c r="A70" s="100"/>
      <c r="B70" s="100" t="s">
        <v>273</v>
      </c>
      <c r="C70" s="100" t="s">
        <v>7</v>
      </c>
      <c r="D70" s="3"/>
      <c r="E70" s="666"/>
      <c r="F70" s="3"/>
      <c r="G70" s="706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628"/>
      <c r="V70" s="3"/>
      <c r="W70" s="3"/>
      <c r="X70" s="3"/>
      <c r="Y70" s="3"/>
      <c r="Z70" s="3"/>
      <c r="AA70" s="3"/>
      <c r="AB70" s="3"/>
      <c r="AC70" s="3"/>
      <c r="AD70" s="3"/>
      <c r="AE70" s="628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</row>
    <row r="71" spans="1:101" ht="15.5" x14ac:dyDescent="0.35">
      <c r="A71" s="100"/>
      <c r="B71" s="100" t="s">
        <v>275</v>
      </c>
      <c r="C71" s="100" t="s">
        <v>7</v>
      </c>
      <c r="D71" s="3"/>
      <c r="E71" s="666"/>
      <c r="F71" s="3"/>
      <c r="G71" s="708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628"/>
      <c r="V71" s="3"/>
      <c r="W71" s="3"/>
      <c r="X71" s="3"/>
      <c r="Y71" s="3"/>
      <c r="Z71" s="3"/>
      <c r="AA71" s="3"/>
      <c r="AB71" s="3"/>
      <c r="AC71" s="3"/>
      <c r="AD71" s="3"/>
      <c r="AE71" s="628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</row>
    <row r="72" spans="1:101" ht="15.5" x14ac:dyDescent="0.35">
      <c r="A72" s="100" t="s">
        <v>334</v>
      </c>
      <c r="B72" s="100" t="s">
        <v>335</v>
      </c>
      <c r="C72" s="100" t="s">
        <v>7</v>
      </c>
      <c r="D72" s="3"/>
      <c r="E72" s="666">
        <v>45120</v>
      </c>
      <c r="F72" s="3"/>
      <c r="G72" s="708">
        <v>45229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628"/>
      <c r="V72" s="3"/>
      <c r="W72" s="3"/>
      <c r="X72" s="3"/>
      <c r="Y72" s="3"/>
      <c r="Z72" s="3"/>
      <c r="AA72" s="3"/>
      <c r="AB72" s="3"/>
      <c r="AC72" s="3"/>
      <c r="AD72" s="3"/>
      <c r="AE72" s="628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</row>
    <row r="73" spans="1:101" ht="15.5" x14ac:dyDescent="0.35">
      <c r="A73" s="100"/>
      <c r="B73" s="100" t="s">
        <v>1</v>
      </c>
      <c r="C73" s="100" t="s">
        <v>7</v>
      </c>
      <c r="D73" s="3"/>
      <c r="E73" s="666"/>
      <c r="F73" s="3"/>
      <c r="G73" s="708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628"/>
      <c r="V73" s="3"/>
      <c r="W73" s="3"/>
      <c r="X73" s="3"/>
      <c r="Y73" s="3"/>
      <c r="Z73" s="3"/>
      <c r="AA73" s="3"/>
      <c r="AB73" s="3"/>
      <c r="AC73" s="3"/>
      <c r="AD73" s="3"/>
      <c r="AE73" s="628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</row>
    <row r="74" spans="1:101" ht="15.5" x14ac:dyDescent="0.35">
      <c r="A74" s="100"/>
      <c r="B74" s="100" t="s">
        <v>270</v>
      </c>
      <c r="C74" s="100" t="s">
        <v>7</v>
      </c>
      <c r="D74" s="3"/>
      <c r="E74" s="666"/>
      <c r="F74" s="3"/>
      <c r="G74" s="708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628"/>
      <c r="V74" s="3"/>
      <c r="W74" s="3"/>
      <c r="X74" s="3"/>
      <c r="Y74" s="3"/>
      <c r="Z74" s="3"/>
      <c r="AA74" s="3"/>
      <c r="AB74" s="3"/>
      <c r="AC74" s="3"/>
      <c r="AD74" s="3"/>
      <c r="AE74" s="628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</row>
    <row r="75" spans="1:101" ht="15.5" x14ac:dyDescent="0.35">
      <c r="A75" s="100"/>
      <c r="B75" s="100" t="s">
        <v>273</v>
      </c>
      <c r="C75" s="100" t="s">
        <v>7</v>
      </c>
      <c r="D75" s="3"/>
      <c r="E75" s="666">
        <v>45154</v>
      </c>
      <c r="F75" s="3"/>
      <c r="G75" s="708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628"/>
      <c r="V75" s="3"/>
      <c r="W75" s="3"/>
      <c r="X75" s="3"/>
      <c r="Y75" s="3"/>
      <c r="Z75" s="3"/>
      <c r="AA75" s="3"/>
      <c r="AB75" s="3"/>
      <c r="AC75" s="3"/>
      <c r="AD75" s="3"/>
      <c r="AE75" s="628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</row>
    <row r="76" spans="1:101" ht="15.5" x14ac:dyDescent="0.35">
      <c r="A76" s="100"/>
      <c r="B76" s="100"/>
      <c r="C76" s="100" t="s">
        <v>7</v>
      </c>
      <c r="D76" s="3"/>
      <c r="E76" s="666"/>
      <c r="F76" s="3"/>
      <c r="G76" s="708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628"/>
      <c r="V76" s="3"/>
      <c r="W76" s="3"/>
      <c r="X76" s="3"/>
      <c r="Y76" s="3"/>
      <c r="Z76" s="3"/>
      <c r="AA76" s="3"/>
      <c r="AB76" s="3"/>
      <c r="AC76" s="3"/>
      <c r="AD76" s="3"/>
      <c r="AE76" s="628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</row>
    <row r="77" spans="1:101" ht="15.5" x14ac:dyDescent="0.35">
      <c r="A77" s="100"/>
      <c r="B77" s="100" t="s">
        <v>275</v>
      </c>
      <c r="C77" s="100" t="s">
        <v>7</v>
      </c>
      <c r="D77" s="3"/>
      <c r="E77" s="666"/>
      <c r="F77" s="3"/>
      <c r="G77" s="706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628"/>
      <c r="V77" s="3"/>
      <c r="W77" s="3"/>
      <c r="X77" s="3"/>
      <c r="Y77" s="3"/>
      <c r="Z77" s="3"/>
      <c r="AA77" s="3"/>
      <c r="AB77" s="3"/>
      <c r="AC77" s="3"/>
      <c r="AD77" s="3"/>
      <c r="AE77" s="628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</row>
    <row r="78" spans="1:101" ht="15.5" x14ac:dyDescent="0.35">
      <c r="A78" s="100" t="s">
        <v>344</v>
      </c>
      <c r="B78" s="100" t="s">
        <v>345</v>
      </c>
      <c r="C78" s="100" t="s">
        <v>7</v>
      </c>
      <c r="D78" s="3"/>
      <c r="E78" s="666">
        <v>45120</v>
      </c>
      <c r="F78" s="3"/>
      <c r="G78" s="708">
        <v>45233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628"/>
      <c r="V78" s="3"/>
      <c r="W78" s="3"/>
      <c r="X78" s="3"/>
      <c r="Y78" s="3"/>
      <c r="Z78" s="3"/>
      <c r="AA78" s="3"/>
      <c r="AB78" s="3"/>
      <c r="AC78" s="3"/>
      <c r="AD78" s="3"/>
      <c r="AE78" s="628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</row>
    <row r="79" spans="1:101" ht="15.5" x14ac:dyDescent="0.35">
      <c r="A79" s="100"/>
      <c r="B79" s="100" t="s">
        <v>1</v>
      </c>
      <c r="C79" s="100" t="s">
        <v>7</v>
      </c>
      <c r="D79" s="3"/>
      <c r="E79" s="3"/>
      <c r="F79" s="3"/>
      <c r="G79" s="709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628"/>
      <c r="V79" s="3"/>
      <c r="W79" s="3"/>
      <c r="X79" s="3"/>
      <c r="Y79" s="3"/>
      <c r="Z79" s="3"/>
      <c r="AA79" s="3"/>
      <c r="AB79" s="3"/>
      <c r="AC79" s="3"/>
      <c r="AD79" s="3"/>
      <c r="AE79" s="628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</row>
    <row r="80" spans="1:101" ht="15.5" x14ac:dyDescent="0.35">
      <c r="A80" s="100"/>
      <c r="B80" s="100" t="s">
        <v>270</v>
      </c>
      <c r="C80" s="100" t="s">
        <v>7</v>
      </c>
      <c r="D80" s="3"/>
      <c r="E80" s="3"/>
      <c r="F80" s="3"/>
      <c r="G80" s="709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628"/>
      <c r="V80" s="3"/>
      <c r="W80" s="3"/>
      <c r="X80" s="3"/>
      <c r="Y80" s="3"/>
      <c r="Z80" s="3"/>
      <c r="AA80" s="3"/>
      <c r="AB80" s="3"/>
      <c r="AC80" s="3"/>
      <c r="AD80" s="3"/>
      <c r="AE80" s="628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</row>
    <row r="81" spans="1:101" ht="15.5" x14ac:dyDescent="0.35">
      <c r="A81" s="100"/>
      <c r="B81" s="100" t="s">
        <v>273</v>
      </c>
      <c r="C81" s="100" t="s">
        <v>7</v>
      </c>
      <c r="D81" s="3"/>
      <c r="E81" s="3"/>
      <c r="F81" s="3"/>
      <c r="G81" s="710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628"/>
      <c r="V81" s="3"/>
      <c r="W81" s="3"/>
      <c r="X81" s="3"/>
      <c r="Y81" s="3"/>
      <c r="Z81" s="3"/>
      <c r="AA81" s="3"/>
      <c r="AB81" s="3"/>
      <c r="AC81" s="3"/>
      <c r="AD81" s="3"/>
      <c r="AE81" s="628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</row>
    <row r="82" spans="1:101" ht="15.5" x14ac:dyDescent="0.35">
      <c r="A82" s="100"/>
      <c r="B82" s="100" t="s">
        <v>275</v>
      </c>
      <c r="C82" s="100" t="s">
        <v>7</v>
      </c>
      <c r="D82" s="3"/>
      <c r="E82" s="3"/>
      <c r="F82" s="3"/>
      <c r="G82" s="709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628"/>
      <c r="V82" s="3"/>
      <c r="W82" s="3"/>
      <c r="X82" s="3"/>
      <c r="Y82" s="3"/>
      <c r="Z82" s="3"/>
      <c r="AA82" s="3"/>
      <c r="AB82" s="3"/>
      <c r="AC82" s="3"/>
      <c r="AD82" s="3"/>
      <c r="AE82" s="628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</row>
    <row r="83" spans="1:101" x14ac:dyDescent="0.35">
      <c r="G83" s="667"/>
    </row>
    <row r="84" spans="1:101" x14ac:dyDescent="0.35">
      <c r="G84" s="666"/>
    </row>
  </sheetData>
  <autoFilter ref="A1:EG3" xr:uid="{23AA5F47-3D65-44F5-99A8-DB50917256D0}">
    <filterColumn colId="0" showButton="0"/>
    <filterColumn colId="7" showButton="0"/>
    <filterColumn colId="8" showButton="0"/>
    <filterColumn colId="9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4" showButton="0"/>
    <filterColumn colId="75" showButton="0"/>
    <filterColumn colId="76" showButton="0"/>
    <filterColumn colId="77" showButton="0"/>
    <filterColumn colId="78" showButton="0"/>
    <filterColumn colId="79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5" showButton="0"/>
    <filterColumn colId="96" showButton="0"/>
    <filterColumn colId="97" showButton="0"/>
    <filterColumn colId="98" showButton="0"/>
    <filterColumn colId="99" showButton="0"/>
    <filterColumn colId="100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6" showButton="0"/>
    <filterColumn colId="117" showButton="0"/>
    <filterColumn colId="118" showButton="0"/>
    <filterColumn colId="119" showButton="0"/>
    <filterColumn colId="120" showButton="0"/>
    <filterColumn colId="121" showButton="0"/>
    <filterColumn colId="123" showButton="0"/>
    <filterColumn colId="124" showButton="0"/>
    <filterColumn colId="125" showButton="0"/>
    <filterColumn colId="126" showButton="0"/>
    <filterColumn colId="127" showButton="0"/>
    <filterColumn colId="128" showButton="0"/>
    <filterColumn colId="130" showButton="0"/>
    <filterColumn colId="131" showButton="0"/>
    <filterColumn colId="132" showButton="0"/>
    <filterColumn colId="133" showButton="0"/>
    <filterColumn colId="134" showButton="0"/>
    <filterColumn colId="135" showButton="0"/>
  </autoFilter>
  <mergeCells count="21">
    <mergeCell ref="AG4:AK4"/>
    <mergeCell ref="EA1:EG1"/>
    <mergeCell ref="DT1:DZ1"/>
    <mergeCell ref="A1:D2"/>
    <mergeCell ref="CR1:CX1"/>
    <mergeCell ref="CY1:DE1"/>
    <mergeCell ref="DF1:DL1"/>
    <mergeCell ref="DM1:DS1"/>
    <mergeCell ref="BI1:BO1"/>
    <mergeCell ref="BP1:BV1"/>
    <mergeCell ref="BW1:CC1"/>
    <mergeCell ref="CD1:CJ1"/>
    <mergeCell ref="CK1:CQ1"/>
    <mergeCell ref="Z1:AF1"/>
    <mergeCell ref="AG1:AM1"/>
    <mergeCell ref="AN1:AT1"/>
    <mergeCell ref="AU1:BA1"/>
    <mergeCell ref="BB1:BH1"/>
    <mergeCell ref="H1:K1"/>
    <mergeCell ref="L1:R1"/>
    <mergeCell ref="S1:Y1"/>
  </mergeCells>
  <phoneticPr fontId="1" type="noConversion"/>
  <conditionalFormatting sqref="CE7">
    <cfRule type="timePeriod" dxfId="19" priority="2" timePeriod="today">
      <formula>FLOOR(CE7,1)=TODAY()</formula>
    </cfRule>
  </conditionalFormatting>
  <pageMargins left="0.7" right="0.7" top="0.75" bottom="0.75" header="0.3" footer="0.3"/>
  <pageSetup paperSize="9"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53A03-E417-445A-A058-7151F6817FE7}">
  <sheetPr>
    <pageSetUpPr fitToPage="1"/>
  </sheetPr>
  <dimension ref="A1:AR99"/>
  <sheetViews>
    <sheetView zoomScale="40" zoomScaleNormal="40" workbookViewId="0">
      <pane xSplit="7" ySplit="18" topLeftCell="H33" activePane="bottomRight" state="frozen"/>
      <selection pane="topRight" activeCell="H1" sqref="H1"/>
      <selection pane="bottomLeft" activeCell="A19" sqref="A19"/>
      <selection pane="bottomRight" activeCell="C14" sqref="C14"/>
    </sheetView>
  </sheetViews>
  <sheetFormatPr baseColWidth="10" defaultColWidth="11.453125" defaultRowHeight="20" x14ac:dyDescent="0.35"/>
  <cols>
    <col min="1" max="1" width="7.1796875" style="193" customWidth="1"/>
    <col min="2" max="2" width="22.7265625" style="130" customWidth="1"/>
    <col min="3" max="3" width="33.81640625" style="193" customWidth="1"/>
    <col min="4" max="4" width="25.81640625" style="193" bestFit="1" customWidth="1"/>
    <col min="5" max="6" width="16.54296875" style="194" customWidth="1"/>
    <col min="7" max="7" width="21.81640625" style="195" bestFit="1" customWidth="1"/>
    <col min="8" max="8" width="24.26953125" style="480" customWidth="1"/>
    <col min="9" max="9" width="28.26953125" style="480" customWidth="1"/>
    <col min="10" max="10" width="4.453125" style="481" customWidth="1"/>
    <col min="11" max="12" width="16.453125" style="193" customWidth="1"/>
    <col min="13" max="13" width="23.26953125" style="193" customWidth="1"/>
    <col min="14" max="16" width="16.453125" style="130" customWidth="1"/>
    <col min="17" max="17" width="17.81640625" style="130" bestFit="1" customWidth="1"/>
    <col min="18" max="18" width="21.54296875" style="130" bestFit="1" customWidth="1"/>
    <col min="19" max="19" width="16.453125" style="130" customWidth="1"/>
    <col min="20" max="20" width="1.26953125" style="130" customWidth="1"/>
    <col min="21" max="21" width="28.1796875" style="130" customWidth="1"/>
    <col min="22" max="22" width="11" style="130" customWidth="1"/>
    <col min="23" max="27" width="16.54296875" style="130" customWidth="1"/>
    <col min="28" max="28" width="1.26953125" style="130" customWidth="1"/>
    <col min="29" max="30" width="16.54296875" style="130" customWidth="1"/>
    <col min="31" max="31" width="22" style="130" customWidth="1"/>
    <col min="32" max="32" width="16.54296875" style="130" customWidth="1"/>
    <col min="33" max="33" width="17.81640625" style="130" customWidth="1"/>
    <col min="34" max="34" width="31.453125" style="130" customWidth="1"/>
    <col min="35" max="35" width="11.453125" style="1"/>
    <col min="36" max="36" width="79.81640625" style="130" customWidth="1"/>
    <col min="37" max="37" width="34.7265625" style="130" customWidth="1"/>
    <col min="38" max="16384" width="11.453125" style="130"/>
  </cols>
  <sheetData>
    <row r="1" spans="1:44" ht="20.5" thickBot="1" x14ac:dyDescent="0.4">
      <c r="H1" s="196"/>
      <c r="I1" s="196"/>
      <c r="J1" s="130"/>
      <c r="K1" s="130"/>
    </row>
    <row r="2" spans="1:44" ht="39" customHeight="1" thickBot="1" x14ac:dyDescent="0.4">
      <c r="A2" s="197"/>
      <c r="B2" s="876" t="s">
        <v>234</v>
      </c>
      <c r="C2" s="877"/>
      <c r="D2" s="877"/>
      <c r="E2" s="877"/>
      <c r="F2" s="877"/>
      <c r="G2" s="877"/>
      <c r="H2" s="877"/>
      <c r="I2" s="877"/>
      <c r="J2" s="877"/>
      <c r="K2" s="877"/>
      <c r="L2" s="877"/>
      <c r="M2" s="877"/>
      <c r="N2" s="877"/>
      <c r="O2" s="877"/>
      <c r="P2" s="877"/>
      <c r="Q2" s="877"/>
      <c r="R2" s="877"/>
      <c r="S2" s="877"/>
      <c r="T2" s="877"/>
      <c r="U2" s="877"/>
      <c r="V2" s="877"/>
      <c r="W2" s="877"/>
      <c r="X2" s="877"/>
      <c r="Y2" s="877"/>
      <c r="Z2" s="877"/>
      <c r="AA2" s="877"/>
      <c r="AB2" s="877"/>
      <c r="AC2" s="877"/>
      <c r="AD2" s="877"/>
      <c r="AE2" s="877"/>
      <c r="AF2" s="877"/>
      <c r="AG2" s="877"/>
      <c r="AH2" s="877"/>
      <c r="AI2" s="877"/>
      <c r="AJ2" s="878"/>
    </row>
    <row r="3" spans="1:44" ht="39" customHeight="1" x14ac:dyDescent="0.35">
      <c r="A3" s="129"/>
      <c r="B3" s="198" t="s">
        <v>235</v>
      </c>
      <c r="C3" s="199">
        <f ca="1">TODAY()</f>
        <v>45272</v>
      </c>
      <c r="D3" s="129"/>
      <c r="E3" s="199"/>
      <c r="F3" s="199"/>
      <c r="H3" s="200"/>
      <c r="I3" s="200"/>
      <c r="J3" s="129"/>
      <c r="K3" s="129"/>
      <c r="L3" s="129"/>
      <c r="M3" s="129"/>
      <c r="N3" s="129"/>
      <c r="O3" s="129"/>
      <c r="P3" s="129"/>
      <c r="Q3" s="129"/>
      <c r="R3" s="129"/>
      <c r="S3" s="129"/>
      <c r="T3" s="129"/>
      <c r="U3" s="129"/>
      <c r="V3" s="129"/>
      <c r="W3" s="129"/>
      <c r="X3" s="129"/>
      <c r="Y3" s="129"/>
      <c r="Z3" s="129"/>
      <c r="AA3" s="129"/>
      <c r="AB3" s="129"/>
      <c r="AC3" s="129"/>
      <c r="AD3" s="129"/>
      <c r="AE3" s="129"/>
      <c r="AF3" s="129"/>
      <c r="AG3" s="129"/>
      <c r="AH3" s="129"/>
      <c r="AJ3" s="129"/>
      <c r="AK3" s="129"/>
      <c r="AL3" s="129"/>
      <c r="AM3" s="129"/>
    </row>
    <row r="4" spans="1:44" ht="39" customHeight="1" x14ac:dyDescent="0.35">
      <c r="A4" s="129"/>
      <c r="B4" s="198" t="s">
        <v>159</v>
      </c>
      <c r="C4" s="199"/>
      <c r="D4" s="129"/>
      <c r="E4" s="199"/>
      <c r="F4" s="199"/>
      <c r="H4" s="200"/>
      <c r="I4" s="200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29"/>
      <c r="Z4" s="129"/>
      <c r="AA4" s="129"/>
      <c r="AB4" s="129"/>
      <c r="AC4" s="129"/>
      <c r="AD4" s="129"/>
      <c r="AE4" s="129"/>
      <c r="AF4" s="129" t="s">
        <v>236</v>
      </c>
      <c r="AG4" s="129"/>
      <c r="AH4" s="129"/>
      <c r="AJ4" s="129"/>
      <c r="AK4" s="129"/>
      <c r="AL4" s="129"/>
      <c r="AM4" s="129">
        <v>4.9489999999999998</v>
      </c>
      <c r="AO4" s="130">
        <v>4.9489999999999998</v>
      </c>
      <c r="AQ4" s="130" t="s">
        <v>237</v>
      </c>
      <c r="AR4" s="130" t="s">
        <v>238</v>
      </c>
    </row>
    <row r="5" spans="1:44" ht="24" customHeight="1" thickBot="1" x14ac:dyDescent="0.4">
      <c r="A5" s="129"/>
      <c r="B5" s="198"/>
      <c r="C5" s="199"/>
      <c r="D5" s="129"/>
      <c r="E5" s="199"/>
      <c r="F5" s="199"/>
      <c r="H5" s="200"/>
      <c r="I5" s="200"/>
      <c r="J5" s="129"/>
      <c r="K5" s="129"/>
      <c r="L5" s="129"/>
      <c r="M5" s="129"/>
      <c r="N5" s="129"/>
      <c r="O5" s="129"/>
      <c r="P5" s="129"/>
      <c r="Q5" s="129"/>
      <c r="R5" s="129"/>
      <c r="S5" s="129"/>
      <c r="T5" s="129"/>
      <c r="U5" s="129"/>
      <c r="V5" s="129"/>
      <c r="W5" s="129"/>
      <c r="X5" s="129"/>
      <c r="Y5" s="129"/>
      <c r="Z5" s="129"/>
      <c r="AA5" s="129"/>
      <c r="AB5" s="129"/>
      <c r="AC5" s="129"/>
      <c r="AD5" s="129"/>
      <c r="AE5" s="129"/>
      <c r="AF5" s="129"/>
      <c r="AG5" s="129"/>
      <c r="AH5" s="129"/>
      <c r="AJ5" s="129"/>
      <c r="AK5" s="129"/>
      <c r="AL5" s="129"/>
      <c r="AM5" s="129"/>
    </row>
    <row r="6" spans="1:44" ht="26.25" customHeight="1" thickTop="1" thickBot="1" x14ac:dyDescent="0.4">
      <c r="A6" s="879" t="s">
        <v>239</v>
      </c>
      <c r="B6" s="880"/>
      <c r="C6" s="880"/>
      <c r="D6" s="880"/>
      <c r="E6" s="880"/>
      <c r="F6" s="880"/>
      <c r="G6" s="881"/>
      <c r="H6" s="196"/>
      <c r="I6" s="196"/>
      <c r="J6" s="130"/>
      <c r="K6" s="882" t="s">
        <v>240</v>
      </c>
      <c r="L6" s="883"/>
      <c r="M6" s="883"/>
      <c r="N6" s="883"/>
      <c r="O6" s="883"/>
      <c r="P6" s="883"/>
      <c r="Q6" s="883"/>
      <c r="R6" s="883"/>
      <c r="S6" s="884"/>
      <c r="T6" s="201"/>
      <c r="U6" s="885" t="s">
        <v>241</v>
      </c>
      <c r="V6" s="886"/>
      <c r="W6" s="886"/>
      <c r="X6" s="886"/>
      <c r="Y6" s="886"/>
      <c r="Z6" s="886"/>
      <c r="AA6" s="887"/>
      <c r="AB6" s="193"/>
      <c r="AC6" s="888" t="s">
        <v>242</v>
      </c>
      <c r="AD6" s="889"/>
      <c r="AE6" s="889"/>
      <c r="AF6" s="889"/>
      <c r="AG6" s="889"/>
      <c r="AH6" s="890"/>
    </row>
    <row r="7" spans="1:44" ht="37" customHeight="1" thickTop="1" thickBot="1" x14ac:dyDescent="0.4">
      <c r="A7" s="137" t="s">
        <v>117</v>
      </c>
      <c r="B7" s="138" t="s">
        <v>243</v>
      </c>
      <c r="C7" s="138" t="s">
        <v>244</v>
      </c>
      <c r="D7" s="138" t="s">
        <v>143</v>
      </c>
      <c r="E7" s="202" t="s">
        <v>245</v>
      </c>
      <c r="F7" s="202" t="s">
        <v>246</v>
      </c>
      <c r="G7" s="203" t="s">
        <v>247</v>
      </c>
      <c r="H7" s="204" t="s">
        <v>136</v>
      </c>
      <c r="I7" s="205" t="s">
        <v>248</v>
      </c>
      <c r="J7" s="206"/>
      <c r="K7" s="207" t="s">
        <v>249</v>
      </c>
      <c r="L7" s="102" t="s">
        <v>250</v>
      </c>
      <c r="M7" s="102" t="s">
        <v>125</v>
      </c>
      <c r="N7" s="102" t="s">
        <v>251</v>
      </c>
      <c r="O7" s="103" t="s">
        <v>252</v>
      </c>
      <c r="P7" s="103" t="s">
        <v>253</v>
      </c>
      <c r="Q7" s="103" t="s">
        <v>254</v>
      </c>
      <c r="R7" s="103" t="s">
        <v>255</v>
      </c>
      <c r="S7" s="104" t="s">
        <v>256</v>
      </c>
      <c r="T7" s="201"/>
      <c r="U7" s="208" t="s">
        <v>257</v>
      </c>
      <c r="V7" s="148" t="s">
        <v>258</v>
      </c>
      <c r="W7" s="148" t="s">
        <v>259</v>
      </c>
      <c r="X7" s="148" t="s">
        <v>260</v>
      </c>
      <c r="Y7" s="148" t="s">
        <v>261</v>
      </c>
      <c r="Z7" s="148" t="s">
        <v>262</v>
      </c>
      <c r="AA7" s="209" t="s">
        <v>255</v>
      </c>
      <c r="AB7" s="193"/>
      <c r="AC7" s="155" t="s">
        <v>130</v>
      </c>
      <c r="AD7" s="148" t="s">
        <v>131</v>
      </c>
      <c r="AE7" s="148" t="s">
        <v>132</v>
      </c>
      <c r="AF7" s="148" t="s">
        <v>133</v>
      </c>
      <c r="AG7" s="148" t="s">
        <v>134</v>
      </c>
      <c r="AH7" s="156" t="s">
        <v>135</v>
      </c>
      <c r="AJ7" s="146" t="s">
        <v>137</v>
      </c>
    </row>
    <row r="8" spans="1:44" s="229" customFormat="1" ht="28.5" customHeight="1" thickBot="1" x14ac:dyDescent="0.4">
      <c r="A8" s="210">
        <v>1</v>
      </c>
      <c r="B8" s="105" t="s">
        <v>263</v>
      </c>
      <c r="C8" s="106" t="s">
        <v>264</v>
      </c>
      <c r="D8" s="106"/>
      <c r="E8" s="211"/>
      <c r="F8" s="211"/>
      <c r="G8" s="212" t="s">
        <v>265</v>
      </c>
      <c r="H8" s="213"/>
      <c r="I8" s="214"/>
      <c r="J8" s="206"/>
      <c r="K8" s="215"/>
      <c r="L8" s="216"/>
      <c r="M8" s="217"/>
      <c r="N8" s="217"/>
      <c r="O8" s="218"/>
      <c r="P8" s="218"/>
      <c r="Q8" s="218"/>
      <c r="R8" s="218"/>
      <c r="S8" s="219"/>
      <c r="T8" s="220"/>
      <c r="U8" s="221"/>
      <c r="V8" s="216"/>
      <c r="W8" s="216"/>
      <c r="X8" s="216"/>
      <c r="Y8" s="217"/>
      <c r="Z8" s="217"/>
      <c r="AA8" s="222">
        <v>45117</v>
      </c>
      <c r="AB8" s="223"/>
      <c r="AC8" s="224"/>
      <c r="AD8" s="216"/>
      <c r="AE8" s="216"/>
      <c r="AF8" s="216"/>
      <c r="AG8" s="216"/>
      <c r="AH8" s="225"/>
      <c r="AI8" s="226"/>
      <c r="AJ8" s="227" t="s">
        <v>266</v>
      </c>
      <c r="AK8" s="228"/>
    </row>
    <row r="9" spans="1:44" s="249" customFormat="1" ht="28.5" customHeight="1" x14ac:dyDescent="0.35">
      <c r="A9" s="230"/>
      <c r="B9" s="107"/>
      <c r="C9" s="107" t="s">
        <v>267</v>
      </c>
      <c r="D9" s="231" t="s">
        <v>268</v>
      </c>
      <c r="E9" s="232"/>
      <c r="F9" s="233">
        <v>45037</v>
      </c>
      <c r="G9" s="234">
        <v>21270</v>
      </c>
      <c r="H9" s="235"/>
      <c r="I9" s="236"/>
      <c r="J9" s="237"/>
      <c r="K9" s="238"/>
      <c r="L9" s="122"/>
      <c r="M9" s="233">
        <v>45053</v>
      </c>
      <c r="N9" s="233">
        <v>45040</v>
      </c>
      <c r="O9" s="239"/>
      <c r="P9" s="239">
        <v>45131</v>
      </c>
      <c r="Q9" s="239"/>
      <c r="R9" s="240">
        <v>45117</v>
      </c>
      <c r="S9" s="241">
        <v>45125</v>
      </c>
      <c r="T9" s="242"/>
      <c r="U9" s="243" t="s">
        <v>1</v>
      </c>
      <c r="V9" s="244"/>
      <c r="W9" s="107">
        <v>290</v>
      </c>
      <c r="X9" s="107"/>
      <c r="Y9" s="232" t="s">
        <v>269</v>
      </c>
      <c r="Z9" s="232"/>
      <c r="AA9" s="245"/>
      <c r="AB9" s="246"/>
      <c r="AC9" s="247"/>
      <c r="AD9" s="107"/>
      <c r="AE9" s="29"/>
      <c r="AF9" s="29"/>
      <c r="AG9" s="29"/>
      <c r="AH9" s="248"/>
      <c r="AJ9" s="111"/>
      <c r="AK9" s="250"/>
    </row>
    <row r="10" spans="1:44" ht="28.5" customHeight="1" x14ac:dyDescent="0.35">
      <c r="A10" s="251"/>
      <c r="B10" s="108"/>
      <c r="C10" s="108"/>
      <c r="D10" s="252"/>
      <c r="E10" s="253"/>
      <c r="F10" s="254">
        <v>45037</v>
      </c>
      <c r="G10" s="255"/>
      <c r="H10" s="256"/>
      <c r="I10" s="257"/>
      <c r="J10" s="258"/>
      <c r="K10" s="259"/>
      <c r="L10" s="112"/>
      <c r="M10" s="254"/>
      <c r="N10" s="254">
        <v>45040</v>
      </c>
      <c r="O10" s="260"/>
      <c r="P10" s="254">
        <v>45131</v>
      </c>
      <c r="Q10" s="260"/>
      <c r="R10" s="260">
        <v>45117</v>
      </c>
      <c r="S10" s="261"/>
      <c r="T10" s="262"/>
      <c r="U10" s="263" t="s">
        <v>270</v>
      </c>
      <c r="V10" s="264">
        <v>15</v>
      </c>
      <c r="W10" s="46"/>
      <c r="X10" s="46"/>
      <c r="Y10" s="163"/>
      <c r="Z10" s="163"/>
      <c r="AA10" s="265">
        <v>45089</v>
      </c>
      <c r="AB10" s="193"/>
      <c r="AC10" s="166"/>
      <c r="AD10" s="46"/>
      <c r="AE10" s="46"/>
      <c r="AF10" s="46"/>
      <c r="AG10" s="46"/>
      <c r="AH10" s="266"/>
      <c r="AJ10" s="267"/>
      <c r="AK10" s="268"/>
    </row>
    <row r="11" spans="1:44" ht="28.5" customHeight="1" x14ac:dyDescent="0.35">
      <c r="A11" s="251"/>
      <c r="B11" s="108"/>
      <c r="C11" s="108" t="s">
        <v>271</v>
      </c>
      <c r="D11" s="109" t="s">
        <v>272</v>
      </c>
      <c r="E11" s="253"/>
      <c r="F11" s="253">
        <v>45068</v>
      </c>
      <c r="G11" s="269">
        <v>30053</v>
      </c>
      <c r="H11" s="256"/>
      <c r="I11" s="270"/>
      <c r="J11" s="258"/>
      <c r="K11" s="259"/>
      <c r="L11" s="112"/>
      <c r="M11" s="254"/>
      <c r="N11" s="254">
        <v>45068</v>
      </c>
      <c r="O11" s="260"/>
      <c r="P11" s="260">
        <v>45114</v>
      </c>
      <c r="Q11" s="260"/>
      <c r="R11" s="260">
        <v>45117</v>
      </c>
      <c r="S11" s="261"/>
      <c r="T11" s="262"/>
      <c r="U11" s="263" t="s">
        <v>273</v>
      </c>
      <c r="V11" s="264">
        <v>111</v>
      </c>
      <c r="W11" s="46"/>
      <c r="X11" s="46"/>
      <c r="Y11" s="163"/>
      <c r="Z11" s="163"/>
      <c r="AA11" s="271">
        <v>38889</v>
      </c>
      <c r="AB11" s="193"/>
      <c r="AC11" s="166"/>
      <c r="AD11" s="46"/>
      <c r="AE11" s="46"/>
      <c r="AF11" s="46"/>
      <c r="AG11" s="46"/>
      <c r="AH11" s="266"/>
      <c r="AJ11" s="267" t="s">
        <v>274</v>
      </c>
      <c r="AK11" s="268"/>
    </row>
    <row r="12" spans="1:44" ht="28.5" customHeight="1" x14ac:dyDescent="0.35">
      <c r="A12" s="251"/>
      <c r="B12" s="108"/>
      <c r="C12" s="108"/>
      <c r="D12" s="108"/>
      <c r="E12" s="253"/>
      <c r="F12" s="253"/>
      <c r="G12" s="269"/>
      <c r="H12" s="256"/>
      <c r="I12" s="270"/>
      <c r="J12" s="258"/>
      <c r="K12" s="259"/>
      <c r="L12" s="112"/>
      <c r="M12" s="254"/>
      <c r="N12" s="254"/>
      <c r="O12" s="260"/>
      <c r="P12" s="260"/>
      <c r="Q12" s="260"/>
      <c r="R12" s="260"/>
      <c r="S12" s="272"/>
      <c r="T12" s="262"/>
      <c r="U12" s="263" t="s">
        <v>275</v>
      </c>
      <c r="V12" s="264">
        <v>0</v>
      </c>
      <c r="W12" s="46"/>
      <c r="X12" s="46"/>
      <c r="Y12" s="163"/>
      <c r="Z12" s="163"/>
      <c r="AA12" s="271"/>
      <c r="AB12" s="193"/>
      <c r="AC12" s="166"/>
      <c r="AD12" s="46"/>
      <c r="AE12" s="46"/>
      <c r="AF12" s="46"/>
      <c r="AG12" s="46"/>
      <c r="AH12" s="266"/>
      <c r="AJ12" s="267" t="s">
        <v>276</v>
      </c>
      <c r="AK12" s="268"/>
    </row>
    <row r="13" spans="1:44" s="293" customFormat="1" ht="28.5" customHeight="1" thickBot="1" x14ac:dyDescent="0.4">
      <c r="A13" s="273"/>
      <c r="B13" s="110"/>
      <c r="C13" s="110" t="s">
        <v>277</v>
      </c>
      <c r="D13" s="274"/>
      <c r="E13" s="275">
        <v>45133</v>
      </c>
      <c r="F13" s="276"/>
      <c r="G13" s="277"/>
      <c r="H13" s="278"/>
      <c r="I13" s="279"/>
      <c r="J13" s="280"/>
      <c r="K13" s="281"/>
      <c r="L13" s="282"/>
      <c r="M13" s="283"/>
      <c r="N13" s="283"/>
      <c r="O13" s="284"/>
      <c r="P13" s="284"/>
      <c r="Q13" s="284"/>
      <c r="R13" s="284"/>
      <c r="S13" s="285"/>
      <c r="T13" s="286"/>
      <c r="U13" s="287" t="s">
        <v>277</v>
      </c>
      <c r="V13" s="282"/>
      <c r="W13" s="70"/>
      <c r="X13" s="70"/>
      <c r="Y13" s="288"/>
      <c r="Z13" s="288"/>
      <c r="AA13" s="289"/>
      <c r="AB13" s="290"/>
      <c r="AC13" s="291"/>
      <c r="AD13" s="70"/>
      <c r="AE13" s="70"/>
      <c r="AF13" s="70"/>
      <c r="AG13" s="70"/>
      <c r="AH13" s="292"/>
      <c r="AJ13" s="294"/>
      <c r="AK13" s="295"/>
    </row>
    <row r="14" spans="1:44" s="310" customFormat="1" ht="28.5" customHeight="1" x14ac:dyDescent="0.35">
      <c r="A14" s="296">
        <v>2</v>
      </c>
      <c r="B14" s="297" t="s">
        <v>278</v>
      </c>
      <c r="C14" s="297" t="s">
        <v>279</v>
      </c>
      <c r="D14" s="298"/>
      <c r="E14" s="299"/>
      <c r="F14" s="299"/>
      <c r="G14" s="300" t="s">
        <v>265</v>
      </c>
      <c r="H14" s="301"/>
      <c r="I14" s="302"/>
      <c r="J14" s="303"/>
      <c r="K14" s="304"/>
      <c r="L14" s="297"/>
      <c r="M14" s="299"/>
      <c r="N14" s="299"/>
      <c r="O14" s="305"/>
      <c r="P14" s="305"/>
      <c r="Q14" s="305"/>
      <c r="R14" s="305"/>
      <c r="S14" s="306"/>
      <c r="T14" s="307"/>
      <c r="U14" s="308"/>
      <c r="V14" s="298"/>
      <c r="W14" s="298"/>
      <c r="X14" s="298"/>
      <c r="Y14" s="299"/>
      <c r="Z14" s="299"/>
      <c r="AA14" s="309">
        <v>45114</v>
      </c>
      <c r="AC14" s="311"/>
      <c r="AD14" s="298"/>
      <c r="AE14" s="298"/>
      <c r="AF14" s="298"/>
      <c r="AG14" s="298"/>
      <c r="AH14" s="312"/>
      <c r="AJ14" s="313"/>
      <c r="AK14" s="314"/>
    </row>
    <row r="15" spans="1:44" ht="28.5" customHeight="1" x14ac:dyDescent="0.35">
      <c r="A15" s="315"/>
      <c r="B15" s="112"/>
      <c r="C15" s="112" t="s">
        <v>267</v>
      </c>
      <c r="D15" s="109" t="s">
        <v>280</v>
      </c>
      <c r="E15" s="254"/>
      <c r="F15" s="254">
        <v>45037</v>
      </c>
      <c r="G15" s="255">
        <v>21994</v>
      </c>
      <c r="H15" s="316"/>
      <c r="I15" s="317"/>
      <c r="J15" s="318"/>
      <c r="K15" s="259"/>
      <c r="L15" s="112"/>
      <c r="M15" s="254">
        <v>45050</v>
      </c>
      <c r="N15" s="254">
        <v>45040</v>
      </c>
      <c r="O15" s="260"/>
      <c r="P15" s="260">
        <v>45131</v>
      </c>
      <c r="Q15" s="260"/>
      <c r="R15" s="260">
        <v>45114</v>
      </c>
      <c r="S15" s="272">
        <v>45134</v>
      </c>
      <c r="T15" s="319"/>
      <c r="U15" s="263" t="s">
        <v>281</v>
      </c>
      <c r="V15" s="112" t="s">
        <v>282</v>
      </c>
      <c r="W15" s="46">
        <v>45</v>
      </c>
      <c r="X15" s="160"/>
      <c r="Y15" s="163"/>
      <c r="Z15" s="163"/>
      <c r="AA15" s="271"/>
      <c r="AC15" s="178"/>
      <c r="AD15" s="160"/>
      <c r="AE15" s="160"/>
      <c r="AF15" s="160"/>
      <c r="AG15" s="160"/>
      <c r="AH15" s="167"/>
      <c r="AJ15" s="168"/>
      <c r="AK15" s="268"/>
    </row>
    <row r="16" spans="1:44" ht="28.5" customHeight="1" x14ac:dyDescent="0.4">
      <c r="A16" s="315"/>
      <c r="B16" s="112"/>
      <c r="C16" s="112"/>
      <c r="D16" s="320"/>
      <c r="E16" s="254"/>
      <c r="F16" s="254"/>
      <c r="G16" s="321"/>
      <c r="H16" s="316"/>
      <c r="I16" s="317"/>
      <c r="J16" s="318"/>
      <c r="K16" s="259"/>
      <c r="L16" s="112"/>
      <c r="M16" s="254"/>
      <c r="N16" s="254"/>
      <c r="O16" s="260"/>
      <c r="P16" s="260"/>
      <c r="Q16" s="260"/>
      <c r="R16" s="260"/>
      <c r="S16" s="272"/>
      <c r="T16" s="319"/>
      <c r="U16" s="263"/>
      <c r="V16" s="112"/>
      <c r="W16" s="160"/>
      <c r="X16" s="160"/>
      <c r="Y16" s="163"/>
      <c r="Z16" s="163"/>
      <c r="AA16" s="271">
        <v>45139</v>
      </c>
      <c r="AC16" s="178"/>
      <c r="AD16" s="160"/>
      <c r="AE16" s="160"/>
      <c r="AF16" s="160"/>
      <c r="AG16" s="160"/>
      <c r="AH16" s="167"/>
      <c r="AJ16" s="168"/>
      <c r="AK16" s="268"/>
    </row>
    <row r="17" spans="1:37" ht="28.5" customHeight="1" x14ac:dyDescent="0.35">
      <c r="A17" s="315"/>
      <c r="B17" s="112"/>
      <c r="C17" s="112" t="s">
        <v>271</v>
      </c>
      <c r="D17" s="109" t="s">
        <v>283</v>
      </c>
      <c r="E17" s="254"/>
      <c r="F17" s="254">
        <v>45098</v>
      </c>
      <c r="G17" s="255">
        <v>34076</v>
      </c>
      <c r="H17" s="316"/>
      <c r="I17" s="317"/>
      <c r="J17" s="318"/>
      <c r="K17" s="259"/>
      <c r="L17" s="112"/>
      <c r="M17" s="254"/>
      <c r="N17" s="254">
        <v>45103</v>
      </c>
      <c r="O17" s="260"/>
      <c r="P17" s="260">
        <v>45143</v>
      </c>
      <c r="Q17" s="260"/>
      <c r="R17" s="260">
        <v>45140</v>
      </c>
      <c r="S17" s="261"/>
      <c r="T17" s="322"/>
      <c r="U17" s="263" t="s">
        <v>273</v>
      </c>
      <c r="V17" s="112">
        <v>33</v>
      </c>
      <c r="W17" s="160"/>
      <c r="X17" s="160"/>
      <c r="Y17" s="163"/>
      <c r="Z17" s="163"/>
      <c r="AA17" s="271" t="s">
        <v>284</v>
      </c>
      <c r="AC17" s="178"/>
      <c r="AD17" s="160"/>
      <c r="AE17" s="160"/>
      <c r="AF17" s="160"/>
      <c r="AG17" s="160"/>
      <c r="AH17" s="167"/>
      <c r="AJ17" s="323" t="s">
        <v>285</v>
      </c>
      <c r="AK17" s="268"/>
    </row>
    <row r="18" spans="1:37" s="293" customFormat="1" ht="28.5" customHeight="1" thickBot="1" x14ac:dyDescent="0.45">
      <c r="A18" s="324"/>
      <c r="B18" s="117"/>
      <c r="C18" s="117"/>
      <c r="D18" s="325"/>
      <c r="E18" s="326"/>
      <c r="F18" s="326"/>
      <c r="G18" s="327"/>
      <c r="H18" s="328"/>
      <c r="I18" s="329"/>
      <c r="J18" s="330"/>
      <c r="K18" s="331"/>
      <c r="L18" s="117"/>
      <c r="M18" s="326"/>
      <c r="N18" s="326"/>
      <c r="O18" s="332"/>
      <c r="P18" s="332"/>
      <c r="Q18" s="332"/>
      <c r="R18" s="332"/>
      <c r="S18" s="333"/>
      <c r="T18" s="334"/>
      <c r="U18" s="335" t="s">
        <v>275</v>
      </c>
      <c r="V18" s="117">
        <v>0</v>
      </c>
      <c r="W18" s="192"/>
      <c r="X18" s="192"/>
      <c r="Y18" s="288"/>
      <c r="Z18" s="288"/>
      <c r="AA18" s="289"/>
      <c r="AC18" s="336"/>
      <c r="AD18" s="192"/>
      <c r="AE18" s="192"/>
      <c r="AF18" s="192"/>
      <c r="AG18" s="192"/>
      <c r="AH18" s="337"/>
      <c r="AJ18" s="191"/>
      <c r="AK18" s="295"/>
    </row>
    <row r="19" spans="1:37" s="249" customFormat="1" ht="28.5" customHeight="1" x14ac:dyDescent="0.35">
      <c r="A19" s="230">
        <v>13</v>
      </c>
      <c r="B19" s="107" t="s">
        <v>286</v>
      </c>
      <c r="C19" s="107" t="s">
        <v>28</v>
      </c>
      <c r="D19" s="338"/>
      <c r="E19" s="232"/>
      <c r="F19" s="232"/>
      <c r="G19" s="339" t="s">
        <v>265</v>
      </c>
      <c r="H19" s="340"/>
      <c r="I19" s="341"/>
      <c r="J19" s="342"/>
      <c r="K19" s="343"/>
      <c r="L19" s="344"/>
      <c r="M19" s="345"/>
      <c r="N19" s="345"/>
      <c r="O19" s="346"/>
      <c r="P19" s="346"/>
      <c r="Q19" s="347">
        <v>45195</v>
      </c>
      <c r="R19" s="346"/>
      <c r="S19" s="348"/>
      <c r="T19" s="349"/>
      <c r="U19" s="350"/>
      <c r="V19" s="351"/>
      <c r="W19" s="351"/>
      <c r="X19" s="351"/>
      <c r="Y19" s="352"/>
      <c r="Z19" s="352"/>
      <c r="AA19" s="353">
        <v>45170</v>
      </c>
      <c r="AC19" s="354"/>
      <c r="AD19" s="351"/>
      <c r="AE19" s="351"/>
      <c r="AF19" s="351"/>
      <c r="AG19" s="351"/>
      <c r="AH19" s="355"/>
      <c r="AJ19" s="111" t="s">
        <v>287</v>
      </c>
      <c r="AK19" s="250"/>
    </row>
    <row r="20" spans="1:37" ht="28.5" customHeight="1" x14ac:dyDescent="0.35">
      <c r="A20" s="315"/>
      <c r="B20" s="112"/>
      <c r="C20" s="112" t="s">
        <v>288</v>
      </c>
      <c r="D20" s="109" t="s">
        <v>289</v>
      </c>
      <c r="E20" s="254">
        <v>45138</v>
      </c>
      <c r="F20" s="356"/>
      <c r="G20" s="357">
        <v>54200</v>
      </c>
      <c r="H20" s="316"/>
      <c r="I20" s="317"/>
      <c r="J20" s="318"/>
      <c r="K20" s="259"/>
      <c r="L20" s="112"/>
      <c r="M20" s="254">
        <v>45163</v>
      </c>
      <c r="N20" s="254"/>
      <c r="O20" s="260">
        <v>45145</v>
      </c>
      <c r="P20" s="114"/>
      <c r="Q20" s="358"/>
      <c r="R20" s="359">
        <v>45184</v>
      </c>
      <c r="S20" s="360" t="s">
        <v>290</v>
      </c>
      <c r="T20" s="322"/>
      <c r="U20" s="361" t="s">
        <v>291</v>
      </c>
      <c r="V20" s="362"/>
      <c r="W20" s="46">
        <v>234</v>
      </c>
      <c r="X20" s="46">
        <v>762</v>
      </c>
      <c r="Y20" s="163"/>
      <c r="Z20" s="163"/>
      <c r="AA20" s="271"/>
      <c r="AC20" s="178"/>
      <c r="AD20" s="160"/>
      <c r="AE20" s="160"/>
      <c r="AF20" s="160"/>
      <c r="AG20" s="160"/>
      <c r="AH20" s="167"/>
      <c r="AJ20" s="113"/>
      <c r="AK20" s="268"/>
    </row>
    <row r="21" spans="1:37" ht="35.15" customHeight="1" x14ac:dyDescent="0.4">
      <c r="A21" s="174"/>
      <c r="B21" s="46"/>
      <c r="C21" s="46" t="s">
        <v>34</v>
      </c>
      <c r="D21" s="160"/>
      <c r="E21" s="163"/>
      <c r="F21" s="163"/>
      <c r="G21" s="363"/>
      <c r="H21" s="316"/>
      <c r="I21" s="317"/>
      <c r="J21" s="318"/>
      <c r="K21" s="364"/>
      <c r="L21" s="46"/>
      <c r="M21" s="163"/>
      <c r="N21" s="163"/>
      <c r="O21" s="359">
        <v>45173</v>
      </c>
      <c r="P21" s="114"/>
      <c r="Q21" s="114"/>
      <c r="R21" s="359">
        <v>45177</v>
      </c>
      <c r="S21" s="360" t="s">
        <v>292</v>
      </c>
      <c r="T21" s="322"/>
      <c r="U21" s="365" t="s">
        <v>270</v>
      </c>
      <c r="V21" s="46">
        <v>10</v>
      </c>
      <c r="W21" s="160"/>
      <c r="X21" s="160"/>
      <c r="Y21" s="163"/>
      <c r="Z21" s="163"/>
      <c r="AA21" s="271"/>
      <c r="AC21" s="178"/>
      <c r="AD21" s="160"/>
      <c r="AE21" s="160"/>
      <c r="AF21" s="160"/>
      <c r="AG21" s="160"/>
      <c r="AH21" s="167"/>
      <c r="AJ21" s="113"/>
      <c r="AK21" s="268"/>
    </row>
    <row r="22" spans="1:37" ht="28.5" customHeight="1" thickBot="1" x14ac:dyDescent="0.4">
      <c r="A22" s="174"/>
      <c r="B22" s="46"/>
      <c r="C22" s="112" t="s">
        <v>271</v>
      </c>
      <c r="D22" s="109" t="s">
        <v>293</v>
      </c>
      <c r="E22" s="254"/>
      <c r="F22" s="366">
        <v>45147</v>
      </c>
      <c r="G22" s="367">
        <v>23525.63</v>
      </c>
      <c r="H22" s="316"/>
      <c r="I22" s="317"/>
      <c r="J22" s="318"/>
      <c r="K22" s="364"/>
      <c r="L22" s="46"/>
      <c r="M22" s="163"/>
      <c r="N22" s="163"/>
      <c r="O22" s="368">
        <v>45173</v>
      </c>
      <c r="P22" s="369"/>
      <c r="Q22" s="369"/>
      <c r="R22" s="368">
        <v>45191</v>
      </c>
      <c r="S22" s="360"/>
      <c r="T22" s="322"/>
      <c r="U22" s="365" t="s">
        <v>273</v>
      </c>
      <c r="V22" s="46">
        <v>44</v>
      </c>
      <c r="W22" s="160"/>
      <c r="X22" s="160"/>
      <c r="Y22" s="163"/>
      <c r="Z22" s="163"/>
      <c r="AA22" s="271"/>
      <c r="AC22" s="178"/>
      <c r="AD22" s="160"/>
      <c r="AE22" s="160"/>
      <c r="AF22" s="160"/>
      <c r="AG22" s="160"/>
      <c r="AH22" s="167"/>
      <c r="AJ22" s="113"/>
      <c r="AK22" s="268"/>
    </row>
    <row r="23" spans="1:37" s="293" customFormat="1" ht="38.25" customHeight="1" thickBot="1" x14ac:dyDescent="0.45">
      <c r="A23" s="370"/>
      <c r="B23" s="70"/>
      <c r="C23" s="70"/>
      <c r="D23" s="371" t="s">
        <v>294</v>
      </c>
      <c r="E23" s="288"/>
      <c r="F23" s="288"/>
      <c r="G23" s="372"/>
      <c r="H23" s="328"/>
      <c r="I23" s="329"/>
      <c r="J23" s="330"/>
      <c r="K23" s="373"/>
      <c r="L23" s="70"/>
      <c r="M23" s="288"/>
      <c r="N23" s="288"/>
      <c r="O23" s="368">
        <v>45173</v>
      </c>
      <c r="P23" s="369"/>
      <c r="Q23" s="369"/>
      <c r="R23" s="368">
        <v>45191</v>
      </c>
      <c r="S23" s="374"/>
      <c r="T23" s="375"/>
      <c r="U23" s="115" t="s">
        <v>295</v>
      </c>
      <c r="V23" s="70">
        <v>1</v>
      </c>
      <c r="W23" s="192"/>
      <c r="X23" s="192"/>
      <c r="Y23" s="288"/>
      <c r="Z23" s="288"/>
      <c r="AA23" s="289"/>
      <c r="AC23" s="336"/>
      <c r="AD23" s="192"/>
      <c r="AE23" s="192"/>
      <c r="AF23" s="192"/>
      <c r="AG23" s="192"/>
      <c r="AH23" s="337"/>
      <c r="AJ23" s="116"/>
      <c r="AK23" s="295"/>
    </row>
    <row r="24" spans="1:37" s="249" customFormat="1" ht="28.5" customHeight="1" x14ac:dyDescent="0.35">
      <c r="A24" s="230">
        <v>14</v>
      </c>
      <c r="B24" s="107" t="s">
        <v>296</v>
      </c>
      <c r="C24" s="107" t="s">
        <v>297</v>
      </c>
      <c r="D24" s="338"/>
      <c r="E24" s="232"/>
      <c r="G24" s="339" t="s">
        <v>265</v>
      </c>
      <c r="H24" s="340"/>
      <c r="I24" s="341"/>
      <c r="J24" s="342"/>
      <c r="K24" s="376"/>
      <c r="L24" s="107"/>
      <c r="M24" s="107"/>
      <c r="N24" s="232">
        <v>45085</v>
      </c>
      <c r="O24" s="240"/>
      <c r="P24" s="232">
        <v>45128</v>
      </c>
      <c r="Q24" s="347">
        <v>45195</v>
      </c>
      <c r="R24" s="232"/>
      <c r="S24" s="377"/>
      <c r="T24" s="349"/>
      <c r="U24" s="350"/>
      <c r="V24" s="351"/>
      <c r="W24" s="351"/>
      <c r="X24" s="351"/>
      <c r="Y24" s="352"/>
      <c r="Z24" s="352"/>
      <c r="AA24" s="353">
        <v>45135</v>
      </c>
      <c r="AC24" s="354"/>
      <c r="AD24" s="351"/>
      <c r="AE24" s="351"/>
      <c r="AF24" s="351"/>
      <c r="AG24" s="351"/>
      <c r="AH24" s="355"/>
      <c r="AJ24" s="111" t="s">
        <v>298</v>
      </c>
      <c r="AK24" s="250"/>
    </row>
    <row r="25" spans="1:37" ht="28.5" customHeight="1" x14ac:dyDescent="0.35">
      <c r="A25" s="315"/>
      <c r="B25" s="112"/>
      <c r="C25" s="112" t="s">
        <v>1</v>
      </c>
      <c r="D25" s="378"/>
      <c r="E25" s="379"/>
      <c r="F25" s="379"/>
      <c r="G25" s="380"/>
      <c r="H25" s="316"/>
      <c r="I25" s="317"/>
      <c r="J25" s="318"/>
      <c r="K25" s="259"/>
      <c r="L25" s="112"/>
      <c r="M25" s="254">
        <v>45072</v>
      </c>
      <c r="N25" s="254">
        <v>45085</v>
      </c>
      <c r="O25" s="359">
        <v>45187</v>
      </c>
      <c r="P25" s="381"/>
      <c r="Q25" s="379"/>
      <c r="R25" s="382">
        <v>45191</v>
      </c>
      <c r="S25" s="383"/>
      <c r="T25" s="319"/>
      <c r="U25" s="361" t="s">
        <v>291</v>
      </c>
      <c r="V25" s="362"/>
      <c r="W25" s="160"/>
      <c r="X25" s="160"/>
      <c r="Y25" s="163">
        <v>45085</v>
      </c>
      <c r="Z25" s="46">
        <v>30</v>
      </c>
      <c r="AA25" s="271">
        <v>45128</v>
      </c>
      <c r="AC25" s="178"/>
      <c r="AD25" s="160"/>
      <c r="AE25" s="160"/>
      <c r="AF25" s="160"/>
      <c r="AG25" s="160"/>
      <c r="AH25" s="167"/>
      <c r="AJ25" s="113"/>
      <c r="AK25" s="268"/>
    </row>
    <row r="26" spans="1:37" ht="28.5" customHeight="1" x14ac:dyDescent="0.35">
      <c r="A26" s="315"/>
      <c r="B26" s="112"/>
      <c r="C26" s="112" t="s">
        <v>299</v>
      </c>
      <c r="D26" s="109" t="s">
        <v>300</v>
      </c>
      <c r="E26" s="254"/>
      <c r="F26" s="254">
        <v>45084</v>
      </c>
      <c r="G26" s="255">
        <v>6220</v>
      </c>
      <c r="H26" s="384">
        <v>2743.46</v>
      </c>
      <c r="I26" s="385" t="s">
        <v>301</v>
      </c>
      <c r="J26" s="318"/>
      <c r="K26" s="259"/>
      <c r="L26" s="112"/>
      <c r="M26" s="254">
        <v>45072</v>
      </c>
      <c r="N26" s="254"/>
      <c r="O26" s="359">
        <v>45180</v>
      </c>
      <c r="P26" s="254">
        <v>45128</v>
      </c>
      <c r="Q26" s="260"/>
      <c r="R26" s="382">
        <v>45184</v>
      </c>
      <c r="S26" s="383"/>
      <c r="T26" s="322"/>
      <c r="U26" s="386" t="s">
        <v>270</v>
      </c>
      <c r="V26" s="46">
        <v>28</v>
      </c>
      <c r="W26" s="160"/>
      <c r="X26" s="160"/>
      <c r="Y26" s="163"/>
      <c r="Z26" s="163"/>
      <c r="AA26" s="271"/>
      <c r="AC26" s="178"/>
      <c r="AD26" s="160"/>
      <c r="AE26" s="160"/>
      <c r="AF26" s="160"/>
      <c r="AG26" s="160"/>
      <c r="AH26" s="167"/>
      <c r="AJ26" s="113"/>
      <c r="AK26" s="268"/>
    </row>
    <row r="27" spans="1:37" ht="28.5" customHeight="1" x14ac:dyDescent="0.35">
      <c r="A27" s="315"/>
      <c r="B27" s="112"/>
      <c r="C27" s="112" t="s">
        <v>271</v>
      </c>
      <c r="D27" s="109" t="s">
        <v>302</v>
      </c>
      <c r="E27" s="254"/>
      <c r="F27" s="254">
        <v>45147</v>
      </c>
      <c r="G27" s="387">
        <v>51836.61</v>
      </c>
      <c r="H27" s="316"/>
      <c r="I27" s="317"/>
      <c r="J27" s="318"/>
      <c r="K27" s="259"/>
      <c r="L27" s="112"/>
      <c r="M27" s="254"/>
      <c r="N27" s="254"/>
      <c r="O27" s="388">
        <v>45187</v>
      </c>
      <c r="P27" s="254">
        <v>45128</v>
      </c>
      <c r="Q27" s="260"/>
      <c r="R27" s="356">
        <v>45219</v>
      </c>
      <c r="S27" s="389"/>
      <c r="T27" s="322"/>
      <c r="U27" s="365" t="s">
        <v>273</v>
      </c>
      <c r="V27" s="46">
        <v>106</v>
      </c>
      <c r="W27" s="160"/>
      <c r="X27" s="160"/>
      <c r="Y27" s="163"/>
      <c r="Z27" s="163"/>
      <c r="AA27" s="271"/>
      <c r="AC27" s="178"/>
      <c r="AD27" s="160"/>
      <c r="AE27" s="160"/>
      <c r="AF27" s="160"/>
      <c r="AG27" s="160"/>
      <c r="AH27" s="167"/>
      <c r="AJ27" s="113"/>
      <c r="AK27" s="268"/>
    </row>
    <row r="28" spans="1:37" s="293" customFormat="1" ht="28.5" customHeight="1" thickBot="1" x14ac:dyDescent="0.45">
      <c r="A28" s="324"/>
      <c r="B28" s="117"/>
      <c r="C28" s="117"/>
      <c r="D28" s="390" t="s">
        <v>303</v>
      </c>
      <c r="E28" s="326"/>
      <c r="F28" s="326"/>
      <c r="G28" s="327"/>
      <c r="H28" s="328"/>
      <c r="I28" s="329"/>
      <c r="J28" s="330"/>
      <c r="K28" s="331"/>
      <c r="L28" s="117"/>
      <c r="M28" s="326"/>
      <c r="N28" s="326"/>
      <c r="O28" s="368"/>
      <c r="P28" s="326">
        <v>45128</v>
      </c>
      <c r="Q28" s="332"/>
      <c r="R28" s="391">
        <v>45142</v>
      </c>
      <c r="S28" s="392" t="s">
        <v>304</v>
      </c>
      <c r="T28" s="375"/>
      <c r="U28" s="335" t="s">
        <v>275</v>
      </c>
      <c r="V28" s="282">
        <v>1</v>
      </c>
      <c r="W28" s="70">
        <v>11.5</v>
      </c>
      <c r="X28" s="192"/>
      <c r="Y28" s="288"/>
      <c r="Z28" s="288"/>
      <c r="AA28" s="289"/>
      <c r="AC28" s="336"/>
      <c r="AD28" s="192"/>
      <c r="AE28" s="192"/>
      <c r="AF28" s="192"/>
      <c r="AG28" s="192"/>
      <c r="AH28" s="337"/>
      <c r="AJ28" s="116"/>
      <c r="AK28" s="295"/>
    </row>
    <row r="29" spans="1:37" s="249" customFormat="1" ht="28.5" customHeight="1" x14ac:dyDescent="0.35">
      <c r="A29" s="230">
        <v>23</v>
      </c>
      <c r="B29" s="107" t="s">
        <v>305</v>
      </c>
      <c r="C29" s="107" t="s">
        <v>3</v>
      </c>
      <c r="D29" s="231"/>
      <c r="E29" s="232"/>
      <c r="F29" s="232"/>
      <c r="G29" s="339"/>
      <c r="H29" s="340"/>
      <c r="I29" s="341"/>
      <c r="J29" s="342"/>
      <c r="K29" s="343"/>
      <c r="L29" s="344"/>
      <c r="M29" s="345"/>
      <c r="N29" s="345"/>
      <c r="O29" s="393"/>
      <c r="P29" s="394"/>
      <c r="Q29" s="347">
        <v>45195</v>
      </c>
      <c r="R29" s="393"/>
      <c r="S29" s="395"/>
      <c r="T29" s="349"/>
      <c r="U29" s="350"/>
      <c r="V29" s="351"/>
      <c r="W29" s="351"/>
      <c r="X29" s="351"/>
      <c r="Y29" s="352">
        <v>45085</v>
      </c>
      <c r="Z29" s="29">
        <v>35</v>
      </c>
      <c r="AA29" s="353">
        <v>45135</v>
      </c>
      <c r="AC29" s="354"/>
      <c r="AD29" s="351"/>
      <c r="AE29" s="351"/>
      <c r="AF29" s="351"/>
      <c r="AG29" s="351"/>
      <c r="AH29" s="355"/>
      <c r="AJ29" s="111" t="s">
        <v>306</v>
      </c>
      <c r="AK29" s="250"/>
    </row>
    <row r="30" spans="1:37" ht="28.5" customHeight="1" x14ac:dyDescent="0.35">
      <c r="A30" s="315"/>
      <c r="B30" s="118"/>
      <c r="C30" s="112" t="s">
        <v>307</v>
      </c>
      <c r="D30" s="109" t="s">
        <v>308</v>
      </c>
      <c r="E30" s="254"/>
      <c r="F30" s="254">
        <v>45084</v>
      </c>
      <c r="G30" s="255" t="s">
        <v>309</v>
      </c>
      <c r="H30" s="316"/>
      <c r="I30" s="317"/>
      <c r="J30" s="318"/>
      <c r="K30" s="259"/>
      <c r="L30" s="112"/>
      <c r="M30" s="254">
        <v>45072</v>
      </c>
      <c r="N30" s="254"/>
      <c r="O30" s="119" t="s">
        <v>310</v>
      </c>
      <c r="P30" s="260">
        <v>45135</v>
      </c>
      <c r="Q30" s="260"/>
      <c r="R30" s="396">
        <v>45142</v>
      </c>
      <c r="S30" s="120" t="s">
        <v>311</v>
      </c>
      <c r="T30" s="319"/>
      <c r="U30" s="121" t="s">
        <v>312</v>
      </c>
      <c r="V30" s="320"/>
      <c r="W30" s="46">
        <v>450</v>
      </c>
      <c r="X30" s="160"/>
      <c r="Y30" s="163"/>
      <c r="Z30" s="163"/>
      <c r="AA30" s="271">
        <v>45135</v>
      </c>
      <c r="AC30" s="178"/>
      <c r="AD30" s="160"/>
      <c r="AE30" s="160"/>
      <c r="AF30" s="160"/>
      <c r="AG30" s="160"/>
      <c r="AH30" s="167"/>
      <c r="AJ30" s="113"/>
      <c r="AK30" s="268"/>
    </row>
    <row r="31" spans="1:37" ht="28.5" customHeight="1" x14ac:dyDescent="0.35">
      <c r="A31" s="174"/>
      <c r="B31" s="82"/>
      <c r="C31" s="112" t="s">
        <v>313</v>
      </c>
      <c r="D31" s="109" t="s">
        <v>308</v>
      </c>
      <c r="E31" s="254"/>
      <c r="F31" s="254">
        <v>45084</v>
      </c>
      <c r="G31" s="255" t="s">
        <v>309</v>
      </c>
      <c r="H31" s="316"/>
      <c r="I31" s="317"/>
      <c r="J31" s="318"/>
      <c r="K31" s="364"/>
      <c r="L31" s="46"/>
      <c r="M31" s="163"/>
      <c r="N31" s="163"/>
      <c r="O31" s="114">
        <v>45180</v>
      </c>
      <c r="P31" s="260">
        <v>45135</v>
      </c>
      <c r="Q31" s="260"/>
      <c r="R31" s="397">
        <v>45184</v>
      </c>
      <c r="S31" s="360"/>
      <c r="T31" s="322"/>
      <c r="U31" s="365" t="s">
        <v>270</v>
      </c>
      <c r="V31" s="46">
        <v>26</v>
      </c>
      <c r="W31" s="160"/>
      <c r="X31" s="160"/>
      <c r="Y31" s="163"/>
      <c r="Z31" s="163"/>
      <c r="AA31" s="271"/>
      <c r="AC31" s="178"/>
      <c r="AD31" s="160"/>
      <c r="AE31" s="160"/>
      <c r="AF31" s="160"/>
      <c r="AG31" s="160"/>
      <c r="AH31" s="167"/>
      <c r="AJ31" s="113"/>
      <c r="AK31" s="268"/>
    </row>
    <row r="32" spans="1:37" ht="28.5" customHeight="1" x14ac:dyDescent="0.35">
      <c r="A32" s="174"/>
      <c r="B32" s="82"/>
      <c r="C32" s="118" t="s">
        <v>314</v>
      </c>
      <c r="D32" s="109" t="s">
        <v>315</v>
      </c>
      <c r="E32" s="254"/>
      <c r="F32" s="254">
        <v>45147</v>
      </c>
      <c r="G32" s="255">
        <v>23130.38</v>
      </c>
      <c r="H32" s="316"/>
      <c r="I32" s="317"/>
      <c r="J32" s="318"/>
      <c r="K32" s="364"/>
      <c r="L32" s="46"/>
      <c r="M32" s="163"/>
      <c r="N32" s="163"/>
      <c r="O32" s="114">
        <v>45215</v>
      </c>
      <c r="P32" s="114"/>
      <c r="Q32" s="114"/>
      <c r="R32" s="388">
        <v>45240</v>
      </c>
      <c r="S32" s="360"/>
      <c r="T32" s="322"/>
      <c r="U32" s="365" t="s">
        <v>273</v>
      </c>
      <c r="V32" s="46">
        <v>40</v>
      </c>
      <c r="W32" s="160"/>
      <c r="X32" s="160"/>
      <c r="Y32" s="163"/>
      <c r="Z32" s="163"/>
      <c r="AA32" s="271"/>
      <c r="AC32" s="178"/>
      <c r="AD32" s="160"/>
      <c r="AE32" s="160"/>
      <c r="AF32" s="160"/>
      <c r="AG32" s="160"/>
      <c r="AH32" s="167"/>
      <c r="AJ32" s="113"/>
      <c r="AK32" s="268"/>
    </row>
    <row r="33" spans="1:37" ht="28.5" customHeight="1" x14ac:dyDescent="0.35">
      <c r="A33" s="398"/>
      <c r="B33" s="82"/>
      <c r="C33" s="118"/>
      <c r="D33" s="109" t="s">
        <v>316</v>
      </c>
      <c r="E33" s="399"/>
      <c r="F33" s="399"/>
      <c r="G33" s="400"/>
      <c r="H33" s="401"/>
      <c r="I33" s="402"/>
      <c r="J33" s="403"/>
      <c r="K33" s="404"/>
      <c r="L33" s="82"/>
      <c r="M33" s="405"/>
      <c r="N33" s="405"/>
      <c r="O33" s="369"/>
      <c r="P33" s="114"/>
      <c r="Q33" s="406"/>
      <c r="R33" s="407"/>
      <c r="S33" s="408"/>
      <c r="T33" s="322"/>
      <c r="U33" s="409"/>
      <c r="V33" s="82"/>
      <c r="W33" s="410"/>
      <c r="X33" s="410"/>
      <c r="Y33" s="405"/>
      <c r="Z33" s="405"/>
      <c r="AA33" s="411"/>
      <c r="AC33" s="412"/>
      <c r="AD33" s="410"/>
      <c r="AE33" s="410"/>
      <c r="AF33" s="410"/>
      <c r="AG33" s="410"/>
      <c r="AH33" s="413"/>
      <c r="AJ33" s="414"/>
      <c r="AK33" s="268"/>
    </row>
    <row r="34" spans="1:37" s="293" customFormat="1" ht="28.5" customHeight="1" thickBot="1" x14ac:dyDescent="0.45">
      <c r="A34" s="324"/>
      <c r="B34" s="117"/>
      <c r="C34" s="117" t="s">
        <v>243</v>
      </c>
      <c r="D34" s="390" t="s">
        <v>317</v>
      </c>
      <c r="E34" s="326"/>
      <c r="F34" s="326"/>
      <c r="G34" s="327"/>
      <c r="H34" s="328"/>
      <c r="I34" s="329"/>
      <c r="J34" s="330"/>
      <c r="K34" s="331"/>
      <c r="L34" s="117"/>
      <c r="M34" s="326"/>
      <c r="N34" s="326"/>
      <c r="O34" s="332"/>
      <c r="P34" s="260">
        <v>45135</v>
      </c>
      <c r="Q34" s="415"/>
      <c r="R34" s="416">
        <v>45142</v>
      </c>
      <c r="S34" s="417" t="s">
        <v>146</v>
      </c>
      <c r="T34" s="375"/>
      <c r="U34" s="335" t="s">
        <v>275</v>
      </c>
      <c r="V34" s="282">
        <v>1</v>
      </c>
      <c r="W34" s="192"/>
      <c r="X34" s="192"/>
      <c r="Y34" s="288"/>
      <c r="Z34" s="288"/>
      <c r="AA34" s="289"/>
      <c r="AC34" s="336"/>
      <c r="AD34" s="192"/>
      <c r="AE34" s="192"/>
      <c r="AF34" s="192"/>
      <c r="AG34" s="192"/>
      <c r="AH34" s="337"/>
      <c r="AJ34" s="116"/>
      <c r="AK34" s="295"/>
    </row>
    <row r="35" spans="1:37" s="249" customFormat="1" ht="28.5" customHeight="1" x14ac:dyDescent="0.35">
      <c r="A35" s="230">
        <v>16</v>
      </c>
      <c r="B35" s="122" t="s">
        <v>318</v>
      </c>
      <c r="C35" s="122" t="s">
        <v>100</v>
      </c>
      <c r="D35" s="338"/>
      <c r="E35" s="232"/>
      <c r="F35" s="232">
        <v>45124</v>
      </c>
      <c r="G35" s="339" t="s">
        <v>265</v>
      </c>
      <c r="H35" s="340"/>
      <c r="I35" s="341"/>
      <c r="J35" s="342"/>
      <c r="K35" s="376"/>
      <c r="L35" s="232">
        <v>45127</v>
      </c>
      <c r="M35" s="123">
        <v>45163</v>
      </c>
      <c r="N35" s="352"/>
      <c r="O35" s="346"/>
      <c r="P35" s="346"/>
      <c r="Q35" s="347">
        <v>45175</v>
      </c>
      <c r="R35" s="346"/>
      <c r="S35" s="348"/>
      <c r="T35" s="349"/>
      <c r="U35" s="350"/>
      <c r="V35" s="351"/>
      <c r="W35" s="351"/>
      <c r="X35" s="351"/>
      <c r="Y35" s="352">
        <v>45120</v>
      </c>
      <c r="Z35" s="29">
        <v>40</v>
      </c>
      <c r="AA35" s="353">
        <v>45177</v>
      </c>
      <c r="AC35" s="354"/>
      <c r="AD35" s="351"/>
      <c r="AE35" s="351"/>
      <c r="AF35" s="351"/>
      <c r="AG35" s="351"/>
      <c r="AH35" s="355"/>
      <c r="AJ35" s="111" t="s">
        <v>319</v>
      </c>
      <c r="AK35" s="250"/>
    </row>
    <row r="36" spans="1:37" ht="28.5" customHeight="1" x14ac:dyDescent="0.4">
      <c r="A36" s="315"/>
      <c r="B36" s="112"/>
      <c r="C36" s="112" t="s">
        <v>1</v>
      </c>
      <c r="D36" s="112" t="s">
        <v>320</v>
      </c>
      <c r="E36" s="356">
        <v>45177</v>
      </c>
      <c r="F36" s="356"/>
      <c r="G36" s="363"/>
      <c r="H36" s="316"/>
      <c r="I36" s="317"/>
      <c r="J36" s="318"/>
      <c r="K36" s="364"/>
      <c r="M36" s="163"/>
      <c r="N36" s="163"/>
      <c r="O36" s="388">
        <v>45171</v>
      </c>
      <c r="P36" s="114">
        <v>45177</v>
      </c>
      <c r="Q36" s="114"/>
      <c r="R36" s="388">
        <v>45175</v>
      </c>
      <c r="S36" s="360" t="s">
        <v>290</v>
      </c>
      <c r="T36" s="322"/>
      <c r="U36" s="365" t="s">
        <v>1</v>
      </c>
      <c r="V36" s="160"/>
      <c r="W36" s="46">
        <v>200</v>
      </c>
      <c r="X36" s="160"/>
      <c r="Y36" s="163"/>
      <c r="Z36" s="163"/>
      <c r="AA36" s="271"/>
      <c r="AC36" s="178"/>
      <c r="AD36" s="160"/>
      <c r="AE36" s="160"/>
      <c r="AF36" s="160"/>
      <c r="AG36" s="160"/>
      <c r="AH36" s="167"/>
      <c r="AJ36" s="113"/>
      <c r="AK36" s="268"/>
    </row>
    <row r="37" spans="1:37" ht="28.5" customHeight="1" x14ac:dyDescent="0.4">
      <c r="A37" s="315"/>
      <c r="B37" s="112"/>
      <c r="C37" s="112" t="s">
        <v>270</v>
      </c>
      <c r="D37" s="320"/>
      <c r="E37" s="356">
        <v>45177</v>
      </c>
      <c r="F37" s="356"/>
      <c r="G37" s="363"/>
      <c r="H37" s="316"/>
      <c r="I37" s="317"/>
      <c r="J37" s="318"/>
      <c r="K37" s="364"/>
      <c r="L37" s="46"/>
      <c r="M37" s="163"/>
      <c r="N37" s="163"/>
      <c r="O37" s="114">
        <v>45166</v>
      </c>
      <c r="P37" s="114">
        <v>45177</v>
      </c>
      <c r="Q37" s="114"/>
      <c r="R37" s="388">
        <v>45170</v>
      </c>
      <c r="S37" s="360" t="s">
        <v>292</v>
      </c>
      <c r="T37" s="322"/>
      <c r="U37" s="365" t="s">
        <v>270</v>
      </c>
      <c r="V37" s="46">
        <v>58</v>
      </c>
      <c r="W37" s="160"/>
      <c r="X37" s="160"/>
      <c r="Y37" s="163"/>
      <c r="Z37" s="163"/>
      <c r="AA37" s="271"/>
      <c r="AC37" s="178"/>
      <c r="AD37" s="160"/>
      <c r="AE37" s="160"/>
      <c r="AF37" s="160"/>
      <c r="AG37" s="160"/>
      <c r="AH37" s="167"/>
      <c r="AJ37" s="113"/>
      <c r="AK37" s="268"/>
    </row>
    <row r="38" spans="1:37" s="422" customFormat="1" ht="28.5" customHeight="1" x14ac:dyDescent="0.4">
      <c r="A38" s="315"/>
      <c r="B38" s="112"/>
      <c r="C38" s="112" t="s">
        <v>273</v>
      </c>
      <c r="D38" s="112" t="s">
        <v>321</v>
      </c>
      <c r="E38" s="254"/>
      <c r="F38" s="254"/>
      <c r="G38" s="321"/>
      <c r="H38" s="418"/>
      <c r="I38" s="419"/>
      <c r="J38" s="419"/>
      <c r="K38" s="259"/>
      <c r="L38" s="420"/>
      <c r="M38" s="254"/>
      <c r="N38" s="254"/>
      <c r="O38" s="260"/>
      <c r="P38" s="260"/>
      <c r="Q38" s="260"/>
      <c r="R38" s="260"/>
      <c r="S38" s="272"/>
      <c r="T38" s="319"/>
      <c r="U38" s="263" t="s">
        <v>273</v>
      </c>
      <c r="V38" s="320">
        <v>0</v>
      </c>
      <c r="W38" s="320"/>
      <c r="X38" s="320"/>
      <c r="Y38" s="254"/>
      <c r="Z38" s="254"/>
      <c r="AA38" s="421"/>
      <c r="AC38" s="418"/>
      <c r="AD38" s="320"/>
      <c r="AE38" s="320"/>
      <c r="AF38" s="320"/>
      <c r="AG38" s="320"/>
      <c r="AH38" s="423"/>
      <c r="AI38" s="424"/>
      <c r="AJ38" s="124" t="s">
        <v>322</v>
      </c>
      <c r="AK38" s="425"/>
    </row>
    <row r="39" spans="1:37" s="293" customFormat="1" ht="28.5" customHeight="1" thickBot="1" x14ac:dyDescent="0.45">
      <c r="A39" s="324"/>
      <c r="B39" s="117"/>
      <c r="C39" s="117" t="s">
        <v>275</v>
      </c>
      <c r="D39" s="325"/>
      <c r="E39" s="356">
        <v>45177</v>
      </c>
      <c r="F39" s="356"/>
      <c r="G39" s="372"/>
      <c r="H39" s="328"/>
      <c r="I39" s="329"/>
      <c r="J39" s="330"/>
      <c r="K39" s="373"/>
      <c r="L39" s="70"/>
      <c r="M39" s="288"/>
      <c r="N39" s="288"/>
      <c r="O39" s="426">
        <v>45201</v>
      </c>
      <c r="P39" s="114">
        <v>45177</v>
      </c>
      <c r="Q39" s="114"/>
      <c r="R39" s="388">
        <v>45175</v>
      </c>
      <c r="S39" s="374" t="s">
        <v>290</v>
      </c>
      <c r="T39" s="375"/>
      <c r="U39" s="115" t="s">
        <v>275</v>
      </c>
      <c r="V39" s="70">
        <v>1</v>
      </c>
      <c r="W39" s="192"/>
      <c r="X39" s="192"/>
      <c r="Y39" s="288"/>
      <c r="Z39" s="288"/>
      <c r="AA39" s="289"/>
      <c r="AC39" s="336"/>
      <c r="AD39" s="192"/>
      <c r="AE39" s="192"/>
      <c r="AF39" s="192"/>
      <c r="AG39" s="192"/>
      <c r="AH39" s="337"/>
      <c r="AJ39" s="116"/>
      <c r="AK39" s="295"/>
    </row>
    <row r="40" spans="1:37" s="249" customFormat="1" ht="28.5" customHeight="1" x14ac:dyDescent="0.4">
      <c r="A40" s="427">
        <v>17</v>
      </c>
      <c r="B40" s="29" t="s">
        <v>323</v>
      </c>
      <c r="C40" s="29" t="s">
        <v>324</v>
      </c>
      <c r="D40" s="351"/>
      <c r="E40" s="352"/>
      <c r="F40" s="352"/>
      <c r="G40" s="428"/>
      <c r="H40" s="340"/>
      <c r="I40" s="341"/>
      <c r="J40" s="342"/>
      <c r="K40" s="429"/>
      <c r="L40" s="352"/>
      <c r="M40" s="123">
        <v>45198</v>
      </c>
      <c r="N40" s="29"/>
      <c r="O40" s="427"/>
      <c r="P40" s="346"/>
      <c r="Q40" s="347">
        <v>45254</v>
      </c>
      <c r="R40" s="346"/>
      <c r="S40" s="348"/>
      <c r="T40" s="349"/>
      <c r="U40" s="350"/>
      <c r="V40" s="351"/>
      <c r="W40" s="351"/>
      <c r="X40" s="351"/>
      <c r="Y40" s="29"/>
      <c r="Z40" s="29"/>
      <c r="AA40" s="353"/>
      <c r="AC40" s="354"/>
      <c r="AD40" s="351"/>
      <c r="AE40" s="351"/>
      <c r="AF40" s="351"/>
      <c r="AG40" s="351"/>
      <c r="AH40" s="355"/>
      <c r="AJ40" s="430" t="s">
        <v>325</v>
      </c>
      <c r="AK40" s="250"/>
    </row>
    <row r="41" spans="1:37" ht="28.5" customHeight="1" x14ac:dyDescent="0.4">
      <c r="A41" s="174"/>
      <c r="B41" s="46"/>
      <c r="C41" s="46"/>
      <c r="D41" s="128" t="s">
        <v>326</v>
      </c>
      <c r="E41" s="163"/>
      <c r="F41" s="163"/>
      <c r="G41" s="363"/>
      <c r="H41" s="316"/>
      <c r="I41" s="317"/>
      <c r="J41" s="318"/>
      <c r="K41" s="431"/>
      <c r="L41" s="163"/>
      <c r="M41" s="46"/>
      <c r="N41" s="46"/>
      <c r="O41" s="174"/>
      <c r="P41" s="114"/>
      <c r="Q41" s="114"/>
      <c r="R41" s="114"/>
      <c r="S41" s="360"/>
      <c r="T41" s="322"/>
      <c r="U41" s="365" t="s">
        <v>1</v>
      </c>
      <c r="V41" s="160"/>
      <c r="W41" s="160"/>
      <c r="X41" s="160"/>
      <c r="Y41" s="46"/>
      <c r="Z41" s="46"/>
      <c r="AA41" s="271"/>
      <c r="AC41" s="178"/>
      <c r="AD41" s="160"/>
      <c r="AE41" s="160"/>
      <c r="AF41" s="160"/>
      <c r="AG41" s="160"/>
      <c r="AH41" s="167"/>
      <c r="AJ41" s="168"/>
      <c r="AK41" s="268"/>
    </row>
    <row r="42" spans="1:37" ht="28.5" customHeight="1" x14ac:dyDescent="0.4">
      <c r="A42" s="174"/>
      <c r="B42" s="46"/>
      <c r="C42" s="46"/>
      <c r="D42" s="128" t="s">
        <v>327</v>
      </c>
      <c r="E42" s="163"/>
      <c r="F42" s="163"/>
      <c r="G42" s="363"/>
      <c r="H42" s="316"/>
      <c r="I42" s="317"/>
      <c r="J42" s="318"/>
      <c r="K42" s="431"/>
      <c r="L42" s="163"/>
      <c r="M42" s="46"/>
      <c r="N42" s="46"/>
      <c r="O42" s="174"/>
      <c r="P42" s="114"/>
      <c r="Q42" s="114"/>
      <c r="R42" s="114"/>
      <c r="S42" s="360"/>
      <c r="T42" s="322"/>
      <c r="U42" s="365" t="s">
        <v>270</v>
      </c>
      <c r="V42" s="160"/>
      <c r="W42" s="160"/>
      <c r="X42" s="160"/>
      <c r="Y42" s="46"/>
      <c r="Z42" s="46"/>
      <c r="AA42" s="271"/>
      <c r="AC42" s="178"/>
      <c r="AD42" s="160"/>
      <c r="AE42" s="160"/>
      <c r="AF42" s="160"/>
      <c r="AG42" s="160"/>
      <c r="AH42" s="167"/>
      <c r="AJ42" s="168"/>
      <c r="AK42" s="268"/>
    </row>
    <row r="43" spans="1:37" ht="28.5" customHeight="1" x14ac:dyDescent="0.4">
      <c r="A43" s="174"/>
      <c r="B43" s="46"/>
      <c r="C43" s="46"/>
      <c r="D43" s="160"/>
      <c r="E43" s="163"/>
      <c r="F43" s="163"/>
      <c r="G43" s="363"/>
      <c r="H43" s="316"/>
      <c r="I43" s="317"/>
      <c r="J43" s="318"/>
      <c r="K43" s="431"/>
      <c r="L43" s="163"/>
      <c r="M43" s="46"/>
      <c r="N43" s="46"/>
      <c r="O43" s="174"/>
      <c r="P43" s="114"/>
      <c r="Q43" s="114"/>
      <c r="R43" s="114"/>
      <c r="S43" s="360"/>
      <c r="T43" s="322"/>
      <c r="U43" s="365" t="s">
        <v>273</v>
      </c>
      <c r="V43" s="160"/>
      <c r="W43" s="160"/>
      <c r="X43" s="160"/>
      <c r="Y43" s="46"/>
      <c r="Z43" s="46"/>
      <c r="AA43" s="271"/>
      <c r="AC43" s="178"/>
      <c r="AD43" s="160"/>
      <c r="AE43" s="160"/>
      <c r="AF43" s="160"/>
      <c r="AG43" s="160"/>
      <c r="AH43" s="167"/>
      <c r="AJ43" s="168"/>
      <c r="AK43" s="268"/>
    </row>
    <row r="44" spans="1:37" s="293" customFormat="1" ht="28.5" customHeight="1" thickBot="1" x14ac:dyDescent="0.45">
      <c r="A44" s="370"/>
      <c r="B44" s="70"/>
      <c r="C44" s="70"/>
      <c r="D44" s="192"/>
      <c r="E44" s="288"/>
      <c r="F44" s="288"/>
      <c r="G44" s="372"/>
      <c r="H44" s="328"/>
      <c r="I44" s="329"/>
      <c r="J44" s="330"/>
      <c r="K44" s="432"/>
      <c r="L44" s="288"/>
      <c r="M44" s="70"/>
      <c r="N44" s="70"/>
      <c r="O44" s="370"/>
      <c r="P44" s="433"/>
      <c r="Q44" s="433"/>
      <c r="R44" s="433"/>
      <c r="S44" s="374"/>
      <c r="T44" s="375"/>
      <c r="U44" s="115" t="s">
        <v>275</v>
      </c>
      <c r="V44" s="192"/>
      <c r="W44" s="192"/>
      <c r="X44" s="192"/>
      <c r="Y44" s="70"/>
      <c r="Z44" s="70"/>
      <c r="AA44" s="289"/>
      <c r="AC44" s="336"/>
      <c r="AD44" s="192"/>
      <c r="AE44" s="192"/>
      <c r="AF44" s="192"/>
      <c r="AG44" s="192"/>
      <c r="AH44" s="337"/>
      <c r="AJ44" s="191"/>
      <c r="AK44" s="295"/>
    </row>
    <row r="45" spans="1:37" s="249" customFormat="1" ht="28.5" customHeight="1" x14ac:dyDescent="0.35">
      <c r="A45" s="427">
        <v>18</v>
      </c>
      <c r="B45" s="107" t="s">
        <v>328</v>
      </c>
      <c r="C45" s="107" t="s">
        <v>329</v>
      </c>
      <c r="D45" s="338"/>
      <c r="E45" s="232"/>
      <c r="F45" s="232">
        <v>45120</v>
      </c>
      <c r="G45" s="339" t="s">
        <v>265</v>
      </c>
      <c r="H45" s="340"/>
      <c r="I45" s="341"/>
      <c r="J45" s="342"/>
      <c r="K45" s="434"/>
      <c r="L45" s="232">
        <v>45119</v>
      </c>
      <c r="M45" s="123">
        <v>45163</v>
      </c>
      <c r="N45" s="29"/>
      <c r="O45" s="427"/>
      <c r="P45" s="346"/>
      <c r="Q45" s="347">
        <v>45229</v>
      </c>
      <c r="R45" s="346"/>
      <c r="S45" s="348"/>
      <c r="T45" s="349"/>
      <c r="U45" s="350"/>
      <c r="V45" s="351"/>
      <c r="W45" s="351"/>
      <c r="X45" s="351"/>
      <c r="Y45" s="352">
        <v>45120</v>
      </c>
      <c r="Z45" s="29">
        <v>40</v>
      </c>
      <c r="AA45" s="353">
        <v>45177</v>
      </c>
      <c r="AC45" s="354"/>
      <c r="AD45" s="351"/>
      <c r="AE45" s="351"/>
      <c r="AF45" s="351"/>
      <c r="AG45" s="351"/>
      <c r="AH45" s="355"/>
      <c r="AJ45" s="111" t="s">
        <v>330</v>
      </c>
      <c r="AK45" s="250"/>
    </row>
    <row r="46" spans="1:37" ht="28.5" customHeight="1" x14ac:dyDescent="0.4">
      <c r="A46" s="315"/>
      <c r="B46" s="112"/>
      <c r="C46" s="112" t="s">
        <v>1</v>
      </c>
      <c r="D46" s="112" t="s">
        <v>331</v>
      </c>
      <c r="E46" s="356">
        <v>45177</v>
      </c>
      <c r="F46" s="356"/>
      <c r="G46" s="363"/>
      <c r="H46" s="316"/>
      <c r="I46" s="317"/>
      <c r="J46" s="318"/>
      <c r="K46" s="431"/>
      <c r="L46" s="163"/>
      <c r="M46" s="163"/>
      <c r="N46" s="46"/>
      <c r="O46" s="435">
        <v>45187</v>
      </c>
      <c r="P46" s="114"/>
      <c r="Q46" s="114"/>
      <c r="R46" s="435">
        <v>45205</v>
      </c>
      <c r="S46" s="360" t="s">
        <v>332</v>
      </c>
      <c r="T46" s="322"/>
      <c r="U46" s="365" t="s">
        <v>1</v>
      </c>
      <c r="V46" s="160"/>
      <c r="W46" s="160"/>
      <c r="X46" s="46">
        <v>5000</v>
      </c>
      <c r="Y46" s="46"/>
      <c r="Z46" s="46"/>
      <c r="AA46" s="271"/>
      <c r="AC46" s="178"/>
      <c r="AD46" s="160"/>
      <c r="AE46" s="160"/>
      <c r="AF46" s="160"/>
      <c r="AG46" s="160"/>
      <c r="AH46" s="167"/>
      <c r="AJ46" s="113"/>
      <c r="AK46" s="268"/>
    </row>
    <row r="47" spans="1:37" ht="28.5" customHeight="1" x14ac:dyDescent="0.4">
      <c r="A47" s="315"/>
      <c r="B47" s="112"/>
      <c r="C47" s="112" t="s">
        <v>270</v>
      </c>
      <c r="D47" s="320"/>
      <c r="E47" s="356">
        <v>45177</v>
      </c>
      <c r="F47" s="356"/>
      <c r="G47" s="363"/>
      <c r="H47" s="316"/>
      <c r="I47" s="317"/>
      <c r="J47" s="318"/>
      <c r="K47" s="431"/>
      <c r="L47" s="163"/>
      <c r="M47" s="163"/>
      <c r="N47" s="46"/>
      <c r="O47" s="388">
        <v>45187</v>
      </c>
      <c r="P47" s="114"/>
      <c r="Q47" s="114"/>
      <c r="R47" s="388">
        <v>45198</v>
      </c>
      <c r="S47" s="360" t="s">
        <v>292</v>
      </c>
      <c r="T47" s="322"/>
      <c r="U47" s="365" t="s">
        <v>270</v>
      </c>
      <c r="V47" s="46">
        <v>75</v>
      </c>
      <c r="W47" s="160"/>
      <c r="X47" s="160"/>
      <c r="Y47" s="46"/>
      <c r="Z47" s="46"/>
      <c r="AA47" s="271"/>
      <c r="AC47" s="178"/>
      <c r="AD47" s="160"/>
      <c r="AE47" s="160"/>
      <c r="AF47" s="160"/>
      <c r="AG47" s="160"/>
      <c r="AH47" s="167"/>
      <c r="AJ47" s="113"/>
      <c r="AK47" s="268"/>
    </row>
    <row r="48" spans="1:37" s="422" customFormat="1" ht="28.5" customHeight="1" x14ac:dyDescent="0.4">
      <c r="A48" s="315"/>
      <c r="B48" s="112"/>
      <c r="C48" s="112" t="s">
        <v>273</v>
      </c>
      <c r="D48" s="112" t="s">
        <v>333</v>
      </c>
      <c r="E48" s="254"/>
      <c r="F48" s="254"/>
      <c r="G48" s="321"/>
      <c r="H48" s="418"/>
      <c r="I48" s="419"/>
      <c r="J48" s="419"/>
      <c r="K48" s="436"/>
      <c r="L48" s="254"/>
      <c r="M48" s="254"/>
      <c r="N48" s="112"/>
      <c r="O48" s="315"/>
      <c r="P48" s="260"/>
      <c r="Q48" s="260"/>
      <c r="R48" s="260"/>
      <c r="S48" s="272"/>
      <c r="T48" s="319"/>
      <c r="U48" s="263" t="s">
        <v>273</v>
      </c>
      <c r="V48" s="320"/>
      <c r="W48" s="320"/>
      <c r="X48" s="320"/>
      <c r="Y48" s="112"/>
      <c r="Z48" s="112"/>
      <c r="AA48" s="421"/>
      <c r="AC48" s="418"/>
      <c r="AD48" s="320"/>
      <c r="AE48" s="320"/>
      <c r="AF48" s="320"/>
      <c r="AG48" s="320"/>
      <c r="AH48" s="423"/>
      <c r="AI48" s="424"/>
      <c r="AJ48" s="124"/>
      <c r="AK48" s="425"/>
    </row>
    <row r="49" spans="1:37" s="293" customFormat="1" ht="28.5" customHeight="1" thickBot="1" x14ac:dyDescent="0.45">
      <c r="A49" s="324"/>
      <c r="B49" s="117"/>
      <c r="C49" s="117" t="s">
        <v>275</v>
      </c>
      <c r="D49" s="325"/>
      <c r="E49" s="356">
        <v>45177</v>
      </c>
      <c r="F49" s="356"/>
      <c r="G49" s="372"/>
      <c r="H49" s="328"/>
      <c r="I49" s="329"/>
      <c r="J49" s="330"/>
      <c r="K49" s="432"/>
      <c r="L49" s="288"/>
      <c r="M49" s="288"/>
      <c r="N49" s="70"/>
      <c r="O49" s="435">
        <v>45187</v>
      </c>
      <c r="P49" s="114"/>
      <c r="Q49" s="114"/>
      <c r="R49" s="435">
        <v>45205</v>
      </c>
      <c r="S49" s="360" t="s">
        <v>332</v>
      </c>
      <c r="T49" s="375"/>
      <c r="U49" s="115" t="s">
        <v>275</v>
      </c>
      <c r="V49" s="70">
        <v>1</v>
      </c>
      <c r="W49" s="192"/>
      <c r="X49" s="192"/>
      <c r="Y49" s="70"/>
      <c r="Z49" s="70"/>
      <c r="AA49" s="289"/>
      <c r="AC49" s="336"/>
      <c r="AD49" s="192"/>
      <c r="AE49" s="192"/>
      <c r="AF49" s="192"/>
      <c r="AG49" s="192"/>
      <c r="AH49" s="337"/>
      <c r="AJ49" s="116"/>
      <c r="AK49" s="295"/>
    </row>
    <row r="50" spans="1:37" s="249" customFormat="1" ht="28.5" customHeight="1" x14ac:dyDescent="0.35">
      <c r="A50" s="29">
        <v>19</v>
      </c>
      <c r="B50" s="107" t="s">
        <v>334</v>
      </c>
      <c r="C50" s="107" t="s">
        <v>335</v>
      </c>
      <c r="D50" s="338"/>
      <c r="E50" s="232"/>
      <c r="F50" s="232">
        <v>45120</v>
      </c>
      <c r="G50" s="339" t="s">
        <v>265</v>
      </c>
      <c r="H50" s="340"/>
      <c r="I50" s="341"/>
      <c r="J50" s="342"/>
      <c r="K50" s="434"/>
      <c r="L50" s="232">
        <v>45134</v>
      </c>
      <c r="M50" s="123">
        <v>45163</v>
      </c>
      <c r="N50" s="29"/>
      <c r="O50" s="427"/>
      <c r="P50" s="346"/>
      <c r="Q50" s="347">
        <v>45199</v>
      </c>
      <c r="R50" s="346"/>
      <c r="S50" s="348"/>
      <c r="T50" s="349"/>
      <c r="U50" s="350"/>
      <c r="V50" s="351"/>
      <c r="W50" s="351"/>
      <c r="X50" s="351"/>
      <c r="Y50" s="353">
        <v>45120</v>
      </c>
      <c r="Z50" s="29">
        <v>70</v>
      </c>
      <c r="AA50" s="353">
        <v>45229</v>
      </c>
      <c r="AC50" s="354"/>
      <c r="AD50" s="351"/>
      <c r="AE50" s="351"/>
      <c r="AF50" s="351"/>
      <c r="AG50" s="351"/>
      <c r="AH50" s="355"/>
      <c r="AJ50" s="111" t="s">
        <v>336</v>
      </c>
      <c r="AK50" s="250"/>
    </row>
    <row r="51" spans="1:37" ht="28.5" customHeight="1" x14ac:dyDescent="0.4">
      <c r="A51" s="112"/>
      <c r="B51" s="112"/>
      <c r="C51" s="112" t="s">
        <v>1</v>
      </c>
      <c r="D51" s="109" t="s">
        <v>337</v>
      </c>
      <c r="E51" s="356">
        <v>45177</v>
      </c>
      <c r="F51" s="356"/>
      <c r="G51" s="363"/>
      <c r="H51" s="316"/>
      <c r="I51" s="317"/>
      <c r="J51" s="318"/>
      <c r="K51" s="431"/>
      <c r="L51" s="163"/>
      <c r="M51" s="46"/>
      <c r="N51" s="46"/>
      <c r="O51" s="437" t="s">
        <v>338</v>
      </c>
      <c r="P51" s="388"/>
      <c r="Q51" s="388"/>
      <c r="R51" s="388"/>
      <c r="S51" s="360" t="s">
        <v>198</v>
      </c>
      <c r="T51" s="322"/>
      <c r="U51" s="365" t="s">
        <v>1</v>
      </c>
      <c r="V51" s="160"/>
      <c r="W51" s="160"/>
      <c r="X51" s="160"/>
      <c r="Y51" s="46"/>
      <c r="Z51" s="46"/>
      <c r="AA51" s="271"/>
      <c r="AC51" s="178"/>
      <c r="AD51" s="160"/>
      <c r="AE51" s="160"/>
      <c r="AF51" s="160"/>
      <c r="AG51" s="160"/>
      <c r="AH51" s="167"/>
      <c r="AJ51" s="113" t="s">
        <v>339</v>
      </c>
      <c r="AK51" s="268"/>
    </row>
    <row r="52" spans="1:37" ht="28.5" customHeight="1" x14ac:dyDescent="0.4">
      <c r="A52" s="112"/>
      <c r="B52" s="112"/>
      <c r="C52" s="112" t="s">
        <v>270</v>
      </c>
      <c r="D52" s="109" t="s">
        <v>340</v>
      </c>
      <c r="E52" s="356">
        <v>45177</v>
      </c>
      <c r="F52" s="356"/>
      <c r="G52" s="363"/>
      <c r="H52" s="316"/>
      <c r="I52" s="317"/>
      <c r="J52" s="318"/>
      <c r="K52" s="431"/>
      <c r="L52" s="163"/>
      <c r="M52" s="46"/>
      <c r="N52" s="46"/>
      <c r="O52" s="359">
        <v>45194</v>
      </c>
      <c r="P52" s="359"/>
      <c r="Q52" s="359"/>
      <c r="R52" s="359">
        <v>45198</v>
      </c>
      <c r="S52" s="360"/>
      <c r="T52" s="322"/>
      <c r="U52" s="365" t="s">
        <v>270</v>
      </c>
      <c r="V52" s="46">
        <v>40</v>
      </c>
      <c r="W52" s="160"/>
      <c r="X52" s="160"/>
      <c r="Y52" s="46"/>
      <c r="Z52" s="46"/>
      <c r="AA52" s="271"/>
      <c r="AC52" s="178"/>
      <c r="AD52" s="160"/>
      <c r="AE52" s="160"/>
      <c r="AF52" s="160"/>
      <c r="AG52" s="160"/>
      <c r="AH52" s="167"/>
      <c r="AJ52" s="113"/>
      <c r="AK52" s="268"/>
    </row>
    <row r="53" spans="1:37" ht="28.5" customHeight="1" x14ac:dyDescent="0.35">
      <c r="A53" s="112"/>
      <c r="B53" s="112"/>
      <c r="C53" s="112" t="s">
        <v>273</v>
      </c>
      <c r="D53" s="109" t="s">
        <v>341</v>
      </c>
      <c r="E53" s="254"/>
      <c r="F53" s="254">
        <v>45154</v>
      </c>
      <c r="G53" s="438">
        <v>43751.66</v>
      </c>
      <c r="H53" s="316"/>
      <c r="I53" s="317"/>
      <c r="J53" s="318"/>
      <c r="K53" s="431"/>
      <c r="L53" s="163"/>
      <c r="M53" s="46"/>
      <c r="N53" s="46"/>
      <c r="O53" s="359">
        <v>45236</v>
      </c>
      <c r="P53" s="359"/>
      <c r="Q53" s="359"/>
      <c r="R53" s="359">
        <v>45275</v>
      </c>
      <c r="S53" s="360"/>
      <c r="T53" s="322"/>
      <c r="U53" s="365" t="s">
        <v>273</v>
      </c>
      <c r="V53" s="46">
        <v>96</v>
      </c>
      <c r="W53" s="160"/>
      <c r="X53" s="160"/>
      <c r="Y53" s="46"/>
      <c r="Z53" s="46"/>
      <c r="AA53" s="271"/>
      <c r="AC53" s="178"/>
      <c r="AD53" s="160"/>
      <c r="AE53" s="160"/>
      <c r="AF53" s="160"/>
      <c r="AG53" s="160"/>
      <c r="AH53" s="167"/>
      <c r="AJ53" s="113"/>
      <c r="AK53" s="268"/>
    </row>
    <row r="54" spans="1:37" ht="28.5" customHeight="1" x14ac:dyDescent="0.35">
      <c r="A54" s="118"/>
      <c r="B54" s="118"/>
      <c r="C54" s="118"/>
      <c r="D54" s="109" t="s">
        <v>342</v>
      </c>
      <c r="E54" s="254"/>
      <c r="F54" s="254"/>
      <c r="G54" s="439"/>
      <c r="H54" s="401"/>
      <c r="I54" s="402"/>
      <c r="J54" s="403"/>
      <c r="K54" s="440"/>
      <c r="L54" s="405"/>
      <c r="M54" s="82"/>
      <c r="N54" s="82"/>
      <c r="O54" s="441"/>
      <c r="P54" s="441"/>
      <c r="Q54" s="441"/>
      <c r="R54" s="441"/>
      <c r="S54" s="408"/>
      <c r="T54" s="322"/>
      <c r="U54" s="409"/>
      <c r="V54" s="82"/>
      <c r="W54" s="410"/>
      <c r="X54" s="410"/>
      <c r="Y54" s="82"/>
      <c r="Z54" s="82"/>
      <c r="AA54" s="411"/>
      <c r="AC54" s="412"/>
      <c r="AD54" s="410"/>
      <c r="AE54" s="410"/>
      <c r="AF54" s="410"/>
      <c r="AG54" s="410"/>
      <c r="AH54" s="413"/>
      <c r="AJ54" s="414"/>
      <c r="AK54" s="268"/>
    </row>
    <row r="55" spans="1:37" s="446" customFormat="1" ht="28.5" customHeight="1" thickBot="1" x14ac:dyDescent="0.45">
      <c r="A55" s="117"/>
      <c r="B55" s="117"/>
      <c r="C55" s="117" t="s">
        <v>275</v>
      </c>
      <c r="D55" s="117" t="s">
        <v>343</v>
      </c>
      <c r="E55" s="254"/>
      <c r="F55" s="254"/>
      <c r="G55" s="327"/>
      <c r="H55" s="442"/>
      <c r="I55" s="443"/>
      <c r="J55" s="443"/>
      <c r="K55" s="444"/>
      <c r="L55" s="326"/>
      <c r="M55" s="117"/>
      <c r="N55" s="117"/>
      <c r="O55" s="324"/>
      <c r="P55" s="332"/>
      <c r="Q55" s="332"/>
      <c r="R55" s="332"/>
      <c r="S55" s="333"/>
      <c r="T55" s="334"/>
      <c r="U55" s="335" t="s">
        <v>275</v>
      </c>
      <c r="V55" s="117">
        <v>0</v>
      </c>
      <c r="W55" s="325"/>
      <c r="X55" s="325"/>
      <c r="Y55" s="117"/>
      <c r="Z55" s="117"/>
      <c r="AA55" s="445"/>
      <c r="AC55" s="442"/>
      <c r="AD55" s="325"/>
      <c r="AE55" s="325"/>
      <c r="AF55" s="325"/>
      <c r="AG55" s="325"/>
      <c r="AH55" s="447"/>
      <c r="AJ55" s="448"/>
      <c r="AK55" s="449"/>
    </row>
    <row r="56" spans="1:37" s="249" customFormat="1" ht="28.5" customHeight="1" x14ac:dyDescent="0.35">
      <c r="A56" s="29">
        <v>20</v>
      </c>
      <c r="B56" s="107" t="s">
        <v>344</v>
      </c>
      <c r="C56" s="107" t="s">
        <v>345</v>
      </c>
      <c r="D56" s="338"/>
      <c r="E56" s="232"/>
      <c r="F56" s="232">
        <v>45120</v>
      </c>
      <c r="G56" s="339" t="s">
        <v>265</v>
      </c>
      <c r="H56" s="340"/>
      <c r="I56" s="341"/>
      <c r="J56" s="342"/>
      <c r="K56" s="434"/>
      <c r="L56" s="232">
        <v>45134</v>
      </c>
      <c r="M56" s="125">
        <v>45177</v>
      </c>
      <c r="N56" s="29"/>
      <c r="O56" s="427"/>
      <c r="P56" s="346"/>
      <c r="Q56" s="347">
        <v>45245</v>
      </c>
      <c r="R56" s="346"/>
      <c r="S56" s="450"/>
      <c r="T56" s="349"/>
      <c r="U56" s="350"/>
      <c r="V56" s="351"/>
      <c r="W56" s="351"/>
      <c r="X56" s="351"/>
      <c r="Y56" s="29"/>
      <c r="Z56" s="29"/>
      <c r="AA56" s="353">
        <v>45233</v>
      </c>
      <c r="AC56" s="354"/>
      <c r="AD56" s="351"/>
      <c r="AE56" s="351"/>
      <c r="AF56" s="351"/>
      <c r="AG56" s="351"/>
      <c r="AH56" s="355"/>
      <c r="AJ56" s="451" t="s">
        <v>346</v>
      </c>
      <c r="AK56" s="250"/>
    </row>
    <row r="57" spans="1:37" ht="28.5" customHeight="1" x14ac:dyDescent="0.4">
      <c r="A57" s="46"/>
      <c r="B57" s="46"/>
      <c r="C57" s="112" t="s">
        <v>1</v>
      </c>
      <c r="D57" s="452" t="s">
        <v>347</v>
      </c>
      <c r="E57" s="382">
        <v>45177</v>
      </c>
      <c r="F57" s="163"/>
      <c r="G57" s="363"/>
      <c r="H57" s="316"/>
      <c r="I57" s="317"/>
      <c r="J57" s="318"/>
      <c r="K57" s="431"/>
      <c r="L57" s="163"/>
      <c r="M57" s="46"/>
      <c r="N57" s="46"/>
      <c r="O57" s="174"/>
      <c r="P57" s="174"/>
      <c r="Q57" s="174"/>
      <c r="R57" s="174"/>
      <c r="S57" s="261" t="s">
        <v>332</v>
      </c>
      <c r="U57" s="365" t="s">
        <v>1</v>
      </c>
      <c r="V57" s="160"/>
      <c r="W57" s="160"/>
      <c r="X57" s="160"/>
      <c r="Y57" s="46"/>
      <c r="Z57" s="46"/>
      <c r="AA57" s="453"/>
      <c r="AC57" s="178"/>
      <c r="AD57" s="160"/>
      <c r="AE57" s="160"/>
      <c r="AF57" s="160"/>
      <c r="AG57" s="160"/>
      <c r="AH57" s="167"/>
      <c r="AJ57" s="168"/>
      <c r="AK57" s="268"/>
    </row>
    <row r="58" spans="1:37" ht="28.5" customHeight="1" x14ac:dyDescent="0.4">
      <c r="A58" s="46"/>
      <c r="B58" s="46"/>
      <c r="C58" s="112" t="s">
        <v>270</v>
      </c>
      <c r="D58" s="452" t="s">
        <v>348</v>
      </c>
      <c r="E58" s="163"/>
      <c r="F58" s="163"/>
      <c r="G58" s="363"/>
      <c r="H58" s="316"/>
      <c r="I58" s="317"/>
      <c r="J58" s="318"/>
      <c r="K58" s="431"/>
      <c r="L58" s="163"/>
      <c r="M58" s="46"/>
      <c r="N58" s="46"/>
      <c r="O58" s="114">
        <v>45201</v>
      </c>
      <c r="P58" s="174"/>
      <c r="Q58" s="174"/>
      <c r="R58" s="359">
        <v>45219</v>
      </c>
      <c r="S58" s="360">
        <v>45233</v>
      </c>
      <c r="T58" s="322"/>
      <c r="U58" s="365" t="s">
        <v>270</v>
      </c>
      <c r="V58" s="46">
        <v>115</v>
      </c>
      <c r="W58" s="160"/>
      <c r="X58" s="160"/>
      <c r="Y58" s="46"/>
      <c r="Z58" s="46"/>
      <c r="AA58" s="453"/>
      <c r="AC58" s="178"/>
      <c r="AD58" s="160"/>
      <c r="AE58" s="160"/>
      <c r="AF58" s="160"/>
      <c r="AG58" s="160"/>
      <c r="AH58" s="167"/>
      <c r="AJ58" s="168"/>
      <c r="AK58" s="268"/>
    </row>
    <row r="59" spans="1:37" s="422" customFormat="1" ht="28.5" customHeight="1" x14ac:dyDescent="0.4">
      <c r="A59" s="112"/>
      <c r="B59" s="112"/>
      <c r="C59" s="112" t="s">
        <v>273</v>
      </c>
      <c r="D59" s="112" t="s">
        <v>321</v>
      </c>
      <c r="E59" s="254"/>
      <c r="F59" s="254"/>
      <c r="G59" s="321"/>
      <c r="H59" s="418"/>
      <c r="I59" s="419"/>
      <c r="J59" s="419"/>
      <c r="K59" s="436"/>
      <c r="L59" s="112"/>
      <c r="M59" s="112"/>
      <c r="N59" s="112"/>
      <c r="O59" s="315"/>
      <c r="P59" s="315"/>
      <c r="Q59" s="315"/>
      <c r="R59" s="315"/>
      <c r="S59" s="272">
        <v>45233</v>
      </c>
      <c r="T59" s="319"/>
      <c r="U59" s="263" t="s">
        <v>273</v>
      </c>
      <c r="V59" s="320"/>
      <c r="W59" s="320"/>
      <c r="X59" s="320"/>
      <c r="Y59" s="112"/>
      <c r="Z59" s="112"/>
      <c r="AA59" s="454"/>
      <c r="AC59" s="418"/>
      <c r="AD59" s="320"/>
      <c r="AE59" s="320"/>
      <c r="AF59" s="320"/>
      <c r="AG59" s="320"/>
      <c r="AH59" s="423"/>
      <c r="AI59" s="424"/>
      <c r="AJ59" s="419"/>
      <c r="AK59" s="425"/>
    </row>
    <row r="60" spans="1:37" s="293" customFormat="1" ht="28.5" customHeight="1" thickBot="1" x14ac:dyDescent="0.45">
      <c r="A60" s="70"/>
      <c r="B60" s="70"/>
      <c r="C60" s="117" t="s">
        <v>275</v>
      </c>
      <c r="D60" s="192"/>
      <c r="E60" s="288"/>
      <c r="F60" s="288"/>
      <c r="G60" s="372"/>
      <c r="H60" s="328"/>
      <c r="I60" s="329"/>
      <c r="J60" s="330"/>
      <c r="K60" s="432"/>
      <c r="L60" s="70"/>
      <c r="M60" s="70"/>
      <c r="N60" s="70"/>
      <c r="O60" s="370"/>
      <c r="P60" s="370"/>
      <c r="Q60" s="370"/>
      <c r="R60" s="370"/>
      <c r="S60" s="374">
        <v>45233</v>
      </c>
      <c r="T60" s="375"/>
      <c r="U60" s="115" t="s">
        <v>275</v>
      </c>
      <c r="V60" s="70">
        <v>1</v>
      </c>
      <c r="W60" s="192"/>
      <c r="X60" s="192"/>
      <c r="Y60" s="70"/>
      <c r="Z60" s="70"/>
      <c r="AA60" s="455"/>
      <c r="AC60" s="336"/>
      <c r="AD60" s="192"/>
      <c r="AE60" s="192"/>
      <c r="AF60" s="192"/>
      <c r="AG60" s="192"/>
      <c r="AH60" s="337"/>
      <c r="AJ60" s="191"/>
      <c r="AK60" s="295"/>
    </row>
    <row r="61" spans="1:37" ht="28.5" customHeight="1" x14ac:dyDescent="0.4">
      <c r="A61" s="456">
        <v>24</v>
      </c>
      <c r="B61" s="148"/>
      <c r="C61" s="148"/>
      <c r="D61" s="158"/>
      <c r="E61" s="457"/>
      <c r="F61" s="149"/>
      <c r="G61" s="458"/>
      <c r="H61" s="459"/>
      <c r="I61" s="460"/>
      <c r="J61" s="461"/>
      <c r="K61" s="462"/>
      <c r="L61" s="148"/>
      <c r="M61" s="148"/>
      <c r="N61" s="148"/>
      <c r="O61" s="463"/>
      <c r="P61" s="463"/>
      <c r="Q61" s="463"/>
      <c r="R61" s="463"/>
      <c r="S61" s="464"/>
      <c r="T61" s="322"/>
      <c r="U61" s="465"/>
      <c r="V61" s="158"/>
      <c r="W61" s="158"/>
      <c r="X61" s="158"/>
      <c r="Y61" s="148"/>
      <c r="Z61" s="148"/>
      <c r="AA61" s="209"/>
      <c r="AC61" s="466"/>
      <c r="AD61" s="158"/>
      <c r="AE61" s="158"/>
      <c r="AF61" s="158"/>
      <c r="AG61" s="158"/>
      <c r="AH61" s="467"/>
      <c r="AJ61" s="157"/>
      <c r="AK61" s="268"/>
    </row>
    <row r="62" spans="1:37" ht="28.5" customHeight="1" x14ac:dyDescent="0.4">
      <c r="A62" s="456"/>
      <c r="B62" s="148"/>
      <c r="C62" s="148"/>
      <c r="D62" s="158"/>
      <c r="E62" s="457"/>
      <c r="F62" s="149"/>
      <c r="G62" s="458"/>
      <c r="H62" s="459"/>
      <c r="I62" s="460"/>
      <c r="J62" s="461"/>
      <c r="K62" s="462"/>
      <c r="L62" s="148"/>
      <c r="M62" s="148"/>
      <c r="N62" s="148"/>
      <c r="O62" s="463"/>
      <c r="P62" s="463"/>
      <c r="Q62" s="463"/>
      <c r="R62" s="463"/>
      <c r="S62" s="464"/>
      <c r="T62" s="322"/>
      <c r="U62" s="465"/>
      <c r="V62" s="158"/>
      <c r="W62" s="158"/>
      <c r="X62" s="158"/>
      <c r="Y62" s="148"/>
      <c r="Z62" s="148"/>
      <c r="AA62" s="209"/>
      <c r="AC62" s="466"/>
      <c r="AD62" s="158"/>
      <c r="AE62" s="158"/>
      <c r="AF62" s="158"/>
      <c r="AG62" s="158"/>
      <c r="AH62" s="467"/>
      <c r="AJ62" s="157"/>
      <c r="AK62" s="268"/>
    </row>
    <row r="63" spans="1:37" ht="28.5" customHeight="1" x14ac:dyDescent="0.4">
      <c r="A63" s="456"/>
      <c r="B63" s="148"/>
      <c r="C63" s="148"/>
      <c r="D63" s="158"/>
      <c r="E63" s="457"/>
      <c r="F63" s="149"/>
      <c r="G63" s="458"/>
      <c r="H63" s="459"/>
      <c r="I63" s="460"/>
      <c r="J63" s="461"/>
      <c r="K63" s="462"/>
      <c r="L63" s="148"/>
      <c r="M63" s="148"/>
      <c r="N63" s="148"/>
      <c r="O63" s="463"/>
      <c r="P63" s="463"/>
      <c r="Q63" s="463"/>
      <c r="R63" s="463"/>
      <c r="S63" s="464"/>
      <c r="T63" s="322"/>
      <c r="U63" s="465"/>
      <c r="V63" s="158"/>
      <c r="W63" s="158"/>
      <c r="X63" s="158"/>
      <c r="Y63" s="148"/>
      <c r="Z63" s="148"/>
      <c r="AA63" s="209"/>
      <c r="AC63" s="466"/>
      <c r="AD63" s="158"/>
      <c r="AE63" s="158"/>
      <c r="AF63" s="158"/>
      <c r="AG63" s="158"/>
      <c r="AH63" s="467"/>
      <c r="AJ63" s="157"/>
      <c r="AK63" s="268"/>
    </row>
    <row r="64" spans="1:37" ht="28.5" customHeight="1" x14ac:dyDescent="0.4">
      <c r="A64" s="456"/>
      <c r="B64" s="148"/>
      <c r="C64" s="148"/>
      <c r="D64" s="158"/>
      <c r="E64" s="457"/>
      <c r="F64" s="149"/>
      <c r="G64" s="458"/>
      <c r="H64" s="459"/>
      <c r="I64" s="460"/>
      <c r="J64" s="461"/>
      <c r="K64" s="462"/>
      <c r="L64" s="148"/>
      <c r="M64" s="148"/>
      <c r="N64" s="148"/>
      <c r="O64" s="463"/>
      <c r="P64" s="463"/>
      <c r="Q64" s="463"/>
      <c r="R64" s="463"/>
      <c r="S64" s="464"/>
      <c r="T64" s="322"/>
      <c r="U64" s="465"/>
      <c r="V64" s="158"/>
      <c r="W64" s="158"/>
      <c r="X64" s="158"/>
      <c r="Y64" s="148"/>
      <c r="Z64" s="148"/>
      <c r="AA64" s="209"/>
      <c r="AC64" s="466"/>
      <c r="AD64" s="158"/>
      <c r="AE64" s="158"/>
      <c r="AF64" s="158"/>
      <c r="AG64" s="158"/>
      <c r="AH64" s="467"/>
      <c r="AJ64" s="157"/>
      <c r="AK64" s="268"/>
    </row>
    <row r="65" spans="1:37" ht="28.5" customHeight="1" x14ac:dyDescent="0.4">
      <c r="A65" s="456"/>
      <c r="B65" s="148"/>
      <c r="C65" s="148"/>
      <c r="D65" s="158"/>
      <c r="E65" s="457"/>
      <c r="F65" s="149"/>
      <c r="G65" s="458"/>
      <c r="H65" s="459"/>
      <c r="I65" s="460"/>
      <c r="J65" s="461"/>
      <c r="K65" s="462"/>
      <c r="L65" s="148"/>
      <c r="M65" s="148"/>
      <c r="N65" s="148"/>
      <c r="O65" s="463"/>
      <c r="P65" s="463"/>
      <c r="Q65" s="463"/>
      <c r="R65" s="463"/>
      <c r="S65" s="464"/>
      <c r="T65" s="322"/>
      <c r="U65" s="465"/>
      <c r="V65" s="158"/>
      <c r="W65" s="158"/>
      <c r="X65" s="158"/>
      <c r="Y65" s="148"/>
      <c r="Z65" s="148"/>
      <c r="AA65" s="209"/>
      <c r="AC65" s="466"/>
      <c r="AD65" s="158"/>
      <c r="AE65" s="158"/>
      <c r="AF65" s="158"/>
      <c r="AG65" s="158"/>
      <c r="AH65" s="467"/>
      <c r="AJ65" s="157"/>
      <c r="AK65" s="268"/>
    </row>
    <row r="66" spans="1:37" ht="28.5" customHeight="1" x14ac:dyDescent="0.4">
      <c r="A66" s="456"/>
      <c r="B66" s="148"/>
      <c r="C66" s="148"/>
      <c r="D66" s="158"/>
      <c r="E66" s="457"/>
      <c r="F66" s="149"/>
      <c r="G66" s="458"/>
      <c r="H66" s="459"/>
      <c r="I66" s="460"/>
      <c r="J66" s="461"/>
      <c r="K66" s="462"/>
      <c r="L66" s="148"/>
      <c r="M66" s="148"/>
      <c r="N66" s="148"/>
      <c r="O66" s="463"/>
      <c r="P66" s="463"/>
      <c r="Q66" s="463"/>
      <c r="R66" s="463"/>
      <c r="S66" s="464"/>
      <c r="T66" s="322"/>
      <c r="U66" s="465"/>
      <c r="V66" s="158"/>
      <c r="W66" s="158"/>
      <c r="X66" s="158"/>
      <c r="Y66" s="148"/>
      <c r="Z66" s="148"/>
      <c r="AA66" s="209"/>
      <c r="AC66" s="466"/>
      <c r="AD66" s="158"/>
      <c r="AE66" s="158"/>
      <c r="AF66" s="158"/>
      <c r="AG66" s="158"/>
      <c r="AH66" s="467"/>
      <c r="AJ66" s="157"/>
      <c r="AK66" s="268"/>
    </row>
    <row r="67" spans="1:37" ht="28.5" customHeight="1" x14ac:dyDescent="0.4">
      <c r="A67" s="456"/>
      <c r="B67" s="148"/>
      <c r="C67" s="148"/>
      <c r="D67" s="158"/>
      <c r="E67" s="457"/>
      <c r="F67" s="149"/>
      <c r="G67" s="458"/>
      <c r="H67" s="459"/>
      <c r="I67" s="460"/>
      <c r="J67" s="461"/>
      <c r="K67" s="462"/>
      <c r="L67" s="148"/>
      <c r="M67" s="148"/>
      <c r="N67" s="148"/>
      <c r="O67" s="463"/>
      <c r="P67" s="463"/>
      <c r="Q67" s="463"/>
      <c r="R67" s="463"/>
      <c r="S67" s="464"/>
      <c r="T67" s="322"/>
      <c r="U67" s="465"/>
      <c r="V67" s="158"/>
      <c r="W67" s="158"/>
      <c r="X67" s="158"/>
      <c r="Y67" s="148"/>
      <c r="Z67" s="148"/>
      <c r="AA67" s="209"/>
      <c r="AC67" s="466"/>
      <c r="AD67" s="158"/>
      <c r="AE67" s="158"/>
      <c r="AF67" s="158"/>
      <c r="AG67" s="158"/>
      <c r="AH67" s="467"/>
      <c r="AJ67" s="157"/>
      <c r="AK67" s="268"/>
    </row>
    <row r="68" spans="1:37" ht="28.5" customHeight="1" x14ac:dyDescent="0.4">
      <c r="A68" s="456"/>
      <c r="B68" s="148"/>
      <c r="C68" s="148"/>
      <c r="D68" s="158"/>
      <c r="E68" s="457"/>
      <c r="F68" s="149"/>
      <c r="G68" s="458"/>
      <c r="H68" s="459"/>
      <c r="I68" s="460"/>
      <c r="J68" s="461"/>
      <c r="K68" s="462"/>
      <c r="L68" s="148"/>
      <c r="M68" s="148"/>
      <c r="N68" s="148"/>
      <c r="O68" s="463"/>
      <c r="P68" s="463"/>
      <c r="Q68" s="463"/>
      <c r="R68" s="463"/>
      <c r="S68" s="464"/>
      <c r="T68" s="322"/>
      <c r="U68" s="465"/>
      <c r="V68" s="158"/>
      <c r="W68" s="158"/>
      <c r="X68" s="158"/>
      <c r="Y68" s="148"/>
      <c r="Z68" s="148"/>
      <c r="AA68" s="209"/>
      <c r="AC68" s="466"/>
      <c r="AD68" s="158"/>
      <c r="AE68" s="158"/>
      <c r="AF68" s="158"/>
      <c r="AG68" s="158"/>
      <c r="AH68" s="467"/>
      <c r="AJ68" s="157"/>
      <c r="AK68" s="268"/>
    </row>
    <row r="69" spans="1:37" ht="28.5" customHeight="1" x14ac:dyDescent="0.4">
      <c r="A69" s="456"/>
      <c r="B69" s="148"/>
      <c r="C69" s="148"/>
      <c r="D69" s="158"/>
      <c r="E69" s="457"/>
      <c r="F69" s="149"/>
      <c r="G69" s="458"/>
      <c r="H69" s="459"/>
      <c r="I69" s="460"/>
      <c r="J69" s="461"/>
      <c r="K69" s="462"/>
      <c r="L69" s="148"/>
      <c r="M69" s="148"/>
      <c r="N69" s="148"/>
      <c r="O69" s="463"/>
      <c r="P69" s="463"/>
      <c r="Q69" s="463"/>
      <c r="R69" s="463"/>
      <c r="S69" s="464"/>
      <c r="T69" s="322"/>
      <c r="U69" s="465"/>
      <c r="V69" s="158"/>
      <c r="W69" s="158"/>
      <c r="X69" s="158"/>
      <c r="Y69" s="148"/>
      <c r="Z69" s="148"/>
      <c r="AA69" s="209"/>
      <c r="AC69" s="466"/>
      <c r="AD69" s="158"/>
      <c r="AE69" s="158"/>
      <c r="AF69" s="158"/>
      <c r="AG69" s="158"/>
      <c r="AH69" s="467"/>
      <c r="AJ69" s="157"/>
      <c r="AK69" s="268"/>
    </row>
    <row r="70" spans="1:37" ht="28.5" customHeight="1" x14ac:dyDescent="0.4">
      <c r="A70" s="456"/>
      <c r="B70" s="148"/>
      <c r="C70" s="148"/>
      <c r="D70" s="158"/>
      <c r="E70" s="457"/>
      <c r="F70" s="149"/>
      <c r="G70" s="458"/>
      <c r="H70" s="459"/>
      <c r="I70" s="460"/>
      <c r="J70" s="461"/>
      <c r="K70" s="462"/>
      <c r="L70" s="148"/>
      <c r="M70" s="148"/>
      <c r="N70" s="148"/>
      <c r="O70" s="463"/>
      <c r="P70" s="463"/>
      <c r="Q70" s="463"/>
      <c r="R70" s="463"/>
      <c r="S70" s="464"/>
      <c r="T70" s="322"/>
      <c r="U70" s="465"/>
      <c r="V70" s="158"/>
      <c r="W70" s="158"/>
      <c r="X70" s="158"/>
      <c r="Y70" s="148"/>
      <c r="Z70" s="148"/>
      <c r="AA70" s="209"/>
      <c r="AC70" s="466"/>
      <c r="AD70" s="158"/>
      <c r="AE70" s="158"/>
      <c r="AF70" s="158"/>
      <c r="AG70" s="158"/>
      <c r="AH70" s="467"/>
      <c r="AJ70" s="157"/>
      <c r="AK70" s="268"/>
    </row>
    <row r="71" spans="1:37" ht="28.5" customHeight="1" x14ac:dyDescent="0.4">
      <c r="A71" s="456"/>
      <c r="B71" s="148"/>
      <c r="C71" s="148"/>
      <c r="D71" s="158"/>
      <c r="E71" s="457"/>
      <c r="F71" s="149"/>
      <c r="G71" s="458"/>
      <c r="H71" s="459"/>
      <c r="I71" s="460"/>
      <c r="J71" s="461"/>
      <c r="K71" s="462"/>
      <c r="L71" s="148"/>
      <c r="M71" s="148"/>
      <c r="N71" s="148"/>
      <c r="O71" s="463"/>
      <c r="P71" s="463"/>
      <c r="Q71" s="463"/>
      <c r="R71" s="463"/>
      <c r="S71" s="464"/>
      <c r="T71" s="322"/>
      <c r="U71" s="465"/>
      <c r="V71" s="158"/>
      <c r="W71" s="158"/>
      <c r="X71" s="158"/>
      <c r="Y71" s="148"/>
      <c r="Z71" s="148"/>
      <c r="AA71" s="209"/>
      <c r="AC71" s="466"/>
      <c r="AD71" s="158"/>
      <c r="AE71" s="158"/>
      <c r="AF71" s="158"/>
      <c r="AG71" s="158"/>
      <c r="AH71" s="467"/>
      <c r="AJ71" s="157"/>
      <c r="AK71" s="268"/>
    </row>
    <row r="72" spans="1:37" ht="28.5" customHeight="1" x14ac:dyDescent="0.4">
      <c r="A72" s="456"/>
      <c r="B72" s="148"/>
      <c r="C72" s="148"/>
      <c r="D72" s="158"/>
      <c r="E72" s="457"/>
      <c r="F72" s="149"/>
      <c r="G72" s="458"/>
      <c r="H72" s="459"/>
      <c r="I72" s="460"/>
      <c r="J72" s="461"/>
      <c r="K72" s="462"/>
      <c r="L72" s="148"/>
      <c r="M72" s="148"/>
      <c r="N72" s="148"/>
      <c r="O72" s="463"/>
      <c r="P72" s="463"/>
      <c r="Q72" s="463"/>
      <c r="R72" s="463"/>
      <c r="S72" s="464"/>
      <c r="T72" s="322"/>
      <c r="U72" s="465"/>
      <c r="V72" s="158"/>
      <c r="W72" s="158"/>
      <c r="X72" s="158"/>
      <c r="Y72" s="148"/>
      <c r="Z72" s="148"/>
      <c r="AA72" s="209"/>
      <c r="AC72" s="466"/>
      <c r="AD72" s="158"/>
      <c r="AE72" s="158"/>
      <c r="AF72" s="158"/>
      <c r="AG72" s="158"/>
      <c r="AH72" s="467"/>
      <c r="AJ72" s="157"/>
      <c r="AK72" s="268"/>
    </row>
    <row r="73" spans="1:37" ht="28.5" customHeight="1" x14ac:dyDescent="0.4">
      <c r="A73" s="456"/>
      <c r="B73" s="148"/>
      <c r="C73" s="148"/>
      <c r="D73" s="158"/>
      <c r="E73" s="457"/>
      <c r="F73" s="149"/>
      <c r="G73" s="458"/>
      <c r="H73" s="459"/>
      <c r="I73" s="460"/>
      <c r="J73" s="461"/>
      <c r="K73" s="462"/>
      <c r="L73" s="148"/>
      <c r="M73" s="148"/>
      <c r="N73" s="148"/>
      <c r="O73" s="463"/>
      <c r="P73" s="463"/>
      <c r="Q73" s="463"/>
      <c r="R73" s="463"/>
      <c r="S73" s="464"/>
      <c r="T73" s="322"/>
      <c r="U73" s="465"/>
      <c r="V73" s="158"/>
      <c r="W73" s="158"/>
      <c r="X73" s="158"/>
      <c r="Y73" s="148"/>
      <c r="Z73" s="148"/>
      <c r="AA73" s="209"/>
      <c r="AC73" s="466"/>
      <c r="AD73" s="158"/>
      <c r="AE73" s="158"/>
      <c r="AF73" s="158"/>
      <c r="AG73" s="158"/>
      <c r="AH73" s="467"/>
      <c r="AJ73" s="157"/>
      <c r="AK73" s="268"/>
    </row>
    <row r="74" spans="1:37" ht="28.5" customHeight="1" x14ac:dyDescent="0.4">
      <c r="A74" s="456"/>
      <c r="B74" s="148"/>
      <c r="C74" s="148"/>
      <c r="D74" s="158"/>
      <c r="E74" s="457"/>
      <c r="F74" s="149"/>
      <c r="G74" s="458"/>
      <c r="H74" s="459"/>
      <c r="I74" s="460"/>
      <c r="J74" s="461"/>
      <c r="K74" s="462"/>
      <c r="L74" s="148"/>
      <c r="M74" s="148"/>
      <c r="N74" s="148"/>
      <c r="O74" s="463"/>
      <c r="P74" s="463"/>
      <c r="Q74" s="463"/>
      <c r="R74" s="463"/>
      <c r="S74" s="464"/>
      <c r="T74" s="322"/>
      <c r="U74" s="465"/>
      <c r="V74" s="158"/>
      <c r="W74" s="158"/>
      <c r="X74" s="158"/>
      <c r="Y74" s="148"/>
      <c r="Z74" s="148"/>
      <c r="AA74" s="209"/>
      <c r="AC74" s="466"/>
      <c r="AD74" s="158"/>
      <c r="AE74" s="158"/>
      <c r="AF74" s="158"/>
      <c r="AG74" s="158"/>
      <c r="AH74" s="467"/>
      <c r="AJ74" s="157"/>
      <c r="AK74" s="268"/>
    </row>
    <row r="75" spans="1:37" ht="28.5" customHeight="1" x14ac:dyDescent="0.4">
      <c r="A75" s="456"/>
      <c r="B75" s="148"/>
      <c r="C75" s="148"/>
      <c r="D75" s="158"/>
      <c r="E75" s="457"/>
      <c r="F75" s="149"/>
      <c r="G75" s="458"/>
      <c r="H75" s="459"/>
      <c r="I75" s="460"/>
      <c r="J75" s="461"/>
      <c r="K75" s="462"/>
      <c r="L75" s="148"/>
      <c r="M75" s="148"/>
      <c r="N75" s="148"/>
      <c r="O75" s="463"/>
      <c r="P75" s="463"/>
      <c r="Q75" s="463"/>
      <c r="R75" s="463"/>
      <c r="S75" s="464"/>
      <c r="T75" s="322"/>
      <c r="U75" s="465"/>
      <c r="V75" s="158"/>
      <c r="W75" s="158"/>
      <c r="X75" s="158"/>
      <c r="Y75" s="148"/>
      <c r="Z75" s="148"/>
      <c r="AA75" s="209"/>
      <c r="AC75" s="466"/>
      <c r="AD75" s="158"/>
      <c r="AE75" s="158"/>
      <c r="AF75" s="158"/>
      <c r="AG75" s="158"/>
      <c r="AH75" s="467"/>
      <c r="AJ75" s="157"/>
      <c r="AK75" s="268"/>
    </row>
    <row r="76" spans="1:37" ht="28.5" customHeight="1" x14ac:dyDescent="0.4">
      <c r="A76" s="456"/>
      <c r="B76" s="148"/>
      <c r="C76" s="148"/>
      <c r="D76" s="158"/>
      <c r="E76" s="457"/>
      <c r="F76" s="149"/>
      <c r="G76" s="458"/>
      <c r="H76" s="459"/>
      <c r="I76" s="460"/>
      <c r="J76" s="461"/>
      <c r="K76" s="462"/>
      <c r="L76" s="148"/>
      <c r="M76" s="148"/>
      <c r="N76" s="148"/>
      <c r="O76" s="463"/>
      <c r="P76" s="463"/>
      <c r="Q76" s="463"/>
      <c r="R76" s="463"/>
      <c r="S76" s="464"/>
      <c r="T76" s="322"/>
      <c r="U76" s="465"/>
      <c r="V76" s="158"/>
      <c r="W76" s="158"/>
      <c r="X76" s="158"/>
      <c r="Y76" s="148"/>
      <c r="Z76" s="148"/>
      <c r="AA76" s="209"/>
      <c r="AC76" s="466"/>
      <c r="AD76" s="158"/>
      <c r="AE76" s="158"/>
      <c r="AF76" s="158"/>
      <c r="AG76" s="158"/>
      <c r="AH76" s="467"/>
      <c r="AJ76" s="157"/>
      <c r="AK76" s="268"/>
    </row>
    <row r="77" spans="1:37" ht="28.5" customHeight="1" x14ac:dyDescent="0.4">
      <c r="A77" s="456"/>
      <c r="B77" s="148"/>
      <c r="C77" s="148"/>
      <c r="D77" s="158"/>
      <c r="E77" s="457"/>
      <c r="F77" s="149"/>
      <c r="G77" s="458"/>
      <c r="H77" s="459"/>
      <c r="I77" s="460"/>
      <c r="J77" s="461"/>
      <c r="K77" s="462"/>
      <c r="L77" s="148"/>
      <c r="M77" s="148"/>
      <c r="N77" s="148"/>
      <c r="O77" s="463"/>
      <c r="P77" s="463"/>
      <c r="Q77" s="463"/>
      <c r="R77" s="463"/>
      <c r="S77" s="464"/>
      <c r="T77" s="322"/>
      <c r="U77" s="465"/>
      <c r="V77" s="158"/>
      <c r="W77" s="158"/>
      <c r="X77" s="158"/>
      <c r="Y77" s="148"/>
      <c r="Z77" s="148"/>
      <c r="AA77" s="209"/>
      <c r="AC77" s="466"/>
      <c r="AD77" s="158"/>
      <c r="AE77" s="158"/>
      <c r="AF77" s="158"/>
      <c r="AG77" s="158"/>
      <c r="AH77" s="467"/>
      <c r="AJ77" s="157"/>
      <c r="AK77" s="268"/>
    </row>
    <row r="78" spans="1:37" ht="28.5" customHeight="1" x14ac:dyDescent="0.4">
      <c r="A78" s="456"/>
      <c r="B78" s="148"/>
      <c r="C78" s="148"/>
      <c r="D78" s="158"/>
      <c r="E78" s="457"/>
      <c r="F78" s="149"/>
      <c r="G78" s="458"/>
      <c r="H78" s="459"/>
      <c r="I78" s="460"/>
      <c r="J78" s="461"/>
      <c r="K78" s="462"/>
      <c r="L78" s="148"/>
      <c r="M78" s="148"/>
      <c r="N78" s="148"/>
      <c r="O78" s="463"/>
      <c r="P78" s="463"/>
      <c r="Q78" s="463"/>
      <c r="R78" s="463"/>
      <c r="S78" s="464"/>
      <c r="T78" s="322"/>
      <c r="U78" s="465"/>
      <c r="V78" s="158"/>
      <c r="W78" s="158"/>
      <c r="X78" s="158"/>
      <c r="Y78" s="148"/>
      <c r="Z78" s="148"/>
      <c r="AA78" s="209"/>
      <c r="AC78" s="466"/>
      <c r="AD78" s="158"/>
      <c r="AE78" s="158"/>
      <c r="AF78" s="158"/>
      <c r="AG78" s="158"/>
      <c r="AH78" s="467"/>
      <c r="AJ78" s="157"/>
      <c r="AK78" s="268"/>
    </row>
    <row r="79" spans="1:37" ht="28.5" customHeight="1" x14ac:dyDescent="0.4">
      <c r="A79" s="456"/>
      <c r="B79" s="148"/>
      <c r="C79" s="148"/>
      <c r="D79" s="158"/>
      <c r="E79" s="457"/>
      <c r="F79" s="149"/>
      <c r="G79" s="458"/>
      <c r="H79" s="459"/>
      <c r="I79" s="460"/>
      <c r="J79" s="461"/>
      <c r="K79" s="462"/>
      <c r="L79" s="148"/>
      <c r="M79" s="148"/>
      <c r="N79" s="148"/>
      <c r="O79" s="463"/>
      <c r="P79" s="463"/>
      <c r="Q79" s="463"/>
      <c r="R79" s="463"/>
      <c r="S79" s="464"/>
      <c r="T79" s="322"/>
      <c r="U79" s="465"/>
      <c r="V79" s="158"/>
      <c r="W79" s="158"/>
      <c r="X79" s="158"/>
      <c r="Y79" s="148"/>
      <c r="Z79" s="148"/>
      <c r="AA79" s="209"/>
      <c r="AC79" s="466"/>
      <c r="AD79" s="158"/>
      <c r="AE79" s="158"/>
      <c r="AF79" s="158"/>
      <c r="AG79" s="158"/>
      <c r="AH79" s="467"/>
      <c r="AJ79" s="157"/>
      <c r="AK79" s="268"/>
    </row>
    <row r="80" spans="1:37" ht="28.5" customHeight="1" x14ac:dyDescent="0.4">
      <c r="A80" s="456"/>
      <c r="B80" s="148"/>
      <c r="C80" s="148"/>
      <c r="D80" s="158"/>
      <c r="E80" s="457"/>
      <c r="F80" s="149"/>
      <c r="G80" s="458"/>
      <c r="H80" s="459"/>
      <c r="I80" s="460"/>
      <c r="J80" s="461"/>
      <c r="K80" s="462"/>
      <c r="L80" s="148"/>
      <c r="M80" s="148"/>
      <c r="N80" s="148"/>
      <c r="O80" s="463"/>
      <c r="P80" s="463"/>
      <c r="Q80" s="463"/>
      <c r="R80" s="463"/>
      <c r="S80" s="464"/>
      <c r="T80" s="322"/>
      <c r="U80" s="465"/>
      <c r="V80" s="158"/>
      <c r="W80" s="158"/>
      <c r="X80" s="158"/>
      <c r="Y80" s="148"/>
      <c r="Z80" s="148"/>
      <c r="AA80" s="209"/>
      <c r="AC80" s="466"/>
      <c r="AD80" s="158"/>
      <c r="AE80" s="158"/>
      <c r="AF80" s="158"/>
      <c r="AG80" s="158"/>
      <c r="AH80" s="467"/>
      <c r="AJ80" s="157"/>
      <c r="AK80" s="268"/>
    </row>
    <row r="81" spans="1:37" ht="28.5" customHeight="1" x14ac:dyDescent="0.4">
      <c r="A81" s="456"/>
      <c r="B81" s="148"/>
      <c r="C81" s="148"/>
      <c r="D81" s="158"/>
      <c r="E81" s="457"/>
      <c r="F81" s="149"/>
      <c r="G81" s="458"/>
      <c r="H81" s="459"/>
      <c r="I81" s="460"/>
      <c r="J81" s="461"/>
      <c r="K81" s="462"/>
      <c r="L81" s="148"/>
      <c r="M81" s="148"/>
      <c r="N81" s="148"/>
      <c r="O81" s="463"/>
      <c r="P81" s="463"/>
      <c r="Q81" s="463"/>
      <c r="R81" s="463"/>
      <c r="S81" s="464"/>
      <c r="T81" s="322"/>
      <c r="U81" s="465"/>
      <c r="V81" s="158"/>
      <c r="W81" s="158"/>
      <c r="X81" s="158"/>
      <c r="Y81" s="148"/>
      <c r="Z81" s="148"/>
      <c r="AA81" s="209"/>
      <c r="AC81" s="466"/>
      <c r="AD81" s="158"/>
      <c r="AE81" s="158"/>
      <c r="AF81" s="158"/>
      <c r="AG81" s="158"/>
      <c r="AH81" s="467"/>
      <c r="AJ81" s="157"/>
      <c r="AK81" s="268"/>
    </row>
    <row r="82" spans="1:37" ht="28.5" customHeight="1" x14ac:dyDescent="0.4">
      <c r="A82" s="456"/>
      <c r="B82" s="148"/>
      <c r="C82" s="148"/>
      <c r="D82" s="158"/>
      <c r="E82" s="457"/>
      <c r="F82" s="149"/>
      <c r="G82" s="458"/>
      <c r="H82" s="459"/>
      <c r="I82" s="460"/>
      <c r="J82" s="461"/>
      <c r="K82" s="462"/>
      <c r="L82" s="148"/>
      <c r="M82" s="148"/>
      <c r="N82" s="148"/>
      <c r="O82" s="463"/>
      <c r="P82" s="463"/>
      <c r="Q82" s="463"/>
      <c r="R82" s="463"/>
      <c r="S82" s="464"/>
      <c r="T82" s="322"/>
      <c r="U82" s="465"/>
      <c r="V82" s="158"/>
      <c r="W82" s="158"/>
      <c r="X82" s="158"/>
      <c r="Y82" s="148"/>
      <c r="Z82" s="148"/>
      <c r="AA82" s="209"/>
      <c r="AC82" s="466"/>
      <c r="AD82" s="158"/>
      <c r="AE82" s="158"/>
      <c r="AF82" s="158"/>
      <c r="AG82" s="158"/>
      <c r="AH82" s="467"/>
      <c r="AJ82" s="157"/>
      <c r="AK82" s="268"/>
    </row>
    <row r="83" spans="1:37" ht="28.5" customHeight="1" x14ac:dyDescent="0.4">
      <c r="A83" s="456"/>
      <c r="B83" s="148"/>
      <c r="C83" s="148"/>
      <c r="D83" s="158"/>
      <c r="E83" s="457"/>
      <c r="F83" s="149"/>
      <c r="G83" s="458"/>
      <c r="H83" s="459"/>
      <c r="I83" s="460"/>
      <c r="J83" s="461"/>
      <c r="K83" s="462"/>
      <c r="L83" s="148"/>
      <c r="M83" s="148"/>
      <c r="N83" s="148"/>
      <c r="O83" s="463"/>
      <c r="P83" s="463"/>
      <c r="Q83" s="463"/>
      <c r="R83" s="463"/>
      <c r="S83" s="464"/>
      <c r="T83" s="322"/>
      <c r="U83" s="465"/>
      <c r="V83" s="158"/>
      <c r="W83" s="158"/>
      <c r="X83" s="158"/>
      <c r="Y83" s="148"/>
      <c r="Z83" s="148"/>
      <c r="AA83" s="209"/>
      <c r="AC83" s="466"/>
      <c r="AD83" s="158"/>
      <c r="AE83" s="158"/>
      <c r="AF83" s="158"/>
      <c r="AG83" s="158"/>
      <c r="AH83" s="467"/>
      <c r="AJ83" s="157"/>
      <c r="AK83" s="268"/>
    </row>
    <row r="84" spans="1:37" ht="28.5" customHeight="1" x14ac:dyDescent="0.4">
      <c r="A84" s="456"/>
      <c r="B84" s="148"/>
      <c r="C84" s="148"/>
      <c r="D84" s="158"/>
      <c r="E84" s="457"/>
      <c r="F84" s="149"/>
      <c r="G84" s="458"/>
      <c r="H84" s="459"/>
      <c r="I84" s="460"/>
      <c r="J84" s="461"/>
      <c r="K84" s="462"/>
      <c r="L84" s="148"/>
      <c r="M84" s="148"/>
      <c r="N84" s="148"/>
      <c r="O84" s="463"/>
      <c r="P84" s="463"/>
      <c r="Q84" s="463"/>
      <c r="R84" s="463"/>
      <c r="S84" s="464"/>
      <c r="T84" s="322"/>
      <c r="U84" s="465"/>
      <c r="V84" s="158"/>
      <c r="W84" s="158"/>
      <c r="X84" s="158"/>
      <c r="Y84" s="148"/>
      <c r="Z84" s="148"/>
      <c r="AA84" s="209"/>
      <c r="AC84" s="466"/>
      <c r="AD84" s="158"/>
      <c r="AE84" s="158"/>
      <c r="AF84" s="158"/>
      <c r="AG84" s="158"/>
      <c r="AH84" s="467"/>
      <c r="AJ84" s="157"/>
      <c r="AK84" s="268"/>
    </row>
    <row r="85" spans="1:37" ht="28.5" customHeight="1" x14ac:dyDescent="0.4">
      <c r="A85" s="456"/>
      <c r="B85" s="148"/>
      <c r="C85" s="148"/>
      <c r="D85" s="158"/>
      <c r="E85" s="457"/>
      <c r="F85" s="149"/>
      <c r="G85" s="458"/>
      <c r="H85" s="459"/>
      <c r="I85" s="460"/>
      <c r="J85" s="461"/>
      <c r="K85" s="462"/>
      <c r="L85" s="148"/>
      <c r="M85" s="148"/>
      <c r="N85" s="148"/>
      <c r="O85" s="463"/>
      <c r="P85" s="463"/>
      <c r="Q85" s="463"/>
      <c r="R85" s="463"/>
      <c r="S85" s="464"/>
      <c r="T85" s="322"/>
      <c r="U85" s="465"/>
      <c r="V85" s="158"/>
      <c r="W85" s="158"/>
      <c r="X85" s="158"/>
      <c r="Y85" s="148"/>
      <c r="Z85" s="148"/>
      <c r="AA85" s="209"/>
      <c r="AC85" s="466"/>
      <c r="AD85" s="158"/>
      <c r="AE85" s="158"/>
      <c r="AF85" s="158"/>
      <c r="AG85" s="158"/>
      <c r="AH85" s="467"/>
      <c r="AJ85" s="157"/>
      <c r="AK85" s="268"/>
    </row>
    <row r="86" spans="1:37" ht="28.5" customHeight="1" x14ac:dyDescent="0.4">
      <c r="A86" s="456"/>
      <c r="B86" s="148"/>
      <c r="C86" s="148"/>
      <c r="D86" s="158"/>
      <c r="E86" s="457"/>
      <c r="F86" s="149"/>
      <c r="G86" s="458"/>
      <c r="H86" s="459"/>
      <c r="I86" s="460"/>
      <c r="J86" s="461"/>
      <c r="K86" s="462"/>
      <c r="L86" s="148"/>
      <c r="M86" s="148"/>
      <c r="N86" s="148"/>
      <c r="O86" s="463"/>
      <c r="P86" s="463"/>
      <c r="Q86" s="463"/>
      <c r="R86" s="463"/>
      <c r="S86" s="464"/>
      <c r="T86" s="322"/>
      <c r="U86" s="465"/>
      <c r="V86" s="158"/>
      <c r="W86" s="158"/>
      <c r="X86" s="158"/>
      <c r="Y86" s="148"/>
      <c r="Z86" s="148"/>
      <c r="AA86" s="209"/>
      <c r="AC86" s="466"/>
      <c r="AD86" s="158"/>
      <c r="AE86" s="158"/>
      <c r="AF86" s="158"/>
      <c r="AG86" s="158"/>
      <c r="AH86" s="467"/>
      <c r="AJ86" s="157"/>
      <c r="AK86" s="268"/>
    </row>
    <row r="87" spans="1:37" ht="28.5" customHeight="1" x14ac:dyDescent="0.4">
      <c r="A87" s="456"/>
      <c r="B87" s="148"/>
      <c r="C87" s="148"/>
      <c r="D87" s="158"/>
      <c r="E87" s="457"/>
      <c r="F87" s="149"/>
      <c r="G87" s="458"/>
      <c r="H87" s="459"/>
      <c r="I87" s="460"/>
      <c r="J87" s="461"/>
      <c r="K87" s="462"/>
      <c r="L87" s="148"/>
      <c r="M87" s="148"/>
      <c r="N87" s="148"/>
      <c r="O87" s="463"/>
      <c r="P87" s="463"/>
      <c r="Q87" s="463"/>
      <c r="R87" s="463"/>
      <c r="S87" s="464"/>
      <c r="T87" s="322"/>
      <c r="U87" s="465"/>
      <c r="V87" s="158"/>
      <c r="W87" s="158"/>
      <c r="X87" s="158"/>
      <c r="Y87" s="148"/>
      <c r="Z87" s="148"/>
      <c r="AA87" s="209"/>
      <c r="AC87" s="466"/>
      <c r="AD87" s="158"/>
      <c r="AE87" s="158"/>
      <c r="AF87" s="158"/>
      <c r="AG87" s="158"/>
      <c r="AH87" s="467"/>
      <c r="AJ87" s="157"/>
      <c r="AK87" s="268"/>
    </row>
    <row r="88" spans="1:37" ht="28.5" customHeight="1" x14ac:dyDescent="0.4">
      <c r="A88" s="456"/>
      <c r="B88" s="148"/>
      <c r="C88" s="148"/>
      <c r="D88" s="158"/>
      <c r="E88" s="457"/>
      <c r="F88" s="149"/>
      <c r="G88" s="458"/>
      <c r="H88" s="459"/>
      <c r="I88" s="460"/>
      <c r="J88" s="461"/>
      <c r="K88" s="462"/>
      <c r="L88" s="148"/>
      <c r="M88" s="148"/>
      <c r="N88" s="148"/>
      <c r="O88" s="463"/>
      <c r="P88" s="463"/>
      <c r="Q88" s="463"/>
      <c r="R88" s="463"/>
      <c r="S88" s="464"/>
      <c r="T88" s="322"/>
      <c r="U88" s="465"/>
      <c r="V88" s="158"/>
      <c r="W88" s="158"/>
      <c r="X88" s="158"/>
      <c r="Y88" s="148"/>
      <c r="Z88" s="148"/>
      <c r="AA88" s="209"/>
      <c r="AC88" s="466"/>
      <c r="AD88" s="158"/>
      <c r="AE88" s="158"/>
      <c r="AF88" s="158"/>
      <c r="AG88" s="158"/>
      <c r="AH88" s="467"/>
      <c r="AJ88" s="157"/>
      <c r="AK88" s="268"/>
    </row>
    <row r="89" spans="1:37" ht="28.5" customHeight="1" x14ac:dyDescent="0.4">
      <c r="A89" s="177"/>
      <c r="B89" s="46"/>
      <c r="C89" s="46"/>
      <c r="D89" s="160"/>
      <c r="E89" s="468"/>
      <c r="F89" s="163"/>
      <c r="G89" s="363"/>
      <c r="H89" s="316"/>
      <c r="I89" s="317"/>
      <c r="J89" s="318"/>
      <c r="K89" s="431"/>
      <c r="L89" s="46"/>
      <c r="M89" s="46"/>
      <c r="N89" s="46"/>
      <c r="O89" s="174"/>
      <c r="P89" s="174"/>
      <c r="Q89" s="174"/>
      <c r="R89" s="174"/>
      <c r="S89" s="469"/>
      <c r="T89" s="322"/>
      <c r="U89" s="470"/>
      <c r="V89" s="160"/>
      <c r="W89" s="160"/>
      <c r="X89" s="160"/>
      <c r="Y89" s="46"/>
      <c r="Z89" s="46"/>
      <c r="AA89" s="453"/>
      <c r="AC89" s="178"/>
      <c r="AD89" s="160"/>
      <c r="AE89" s="160"/>
      <c r="AF89" s="160"/>
      <c r="AG89" s="160"/>
      <c r="AH89" s="167"/>
      <c r="AJ89" s="168"/>
      <c r="AK89" s="268"/>
    </row>
    <row r="90" spans="1:37" ht="28.5" customHeight="1" x14ac:dyDescent="0.4">
      <c r="A90" s="177"/>
      <c r="B90" s="46"/>
      <c r="C90" s="46"/>
      <c r="D90" s="160"/>
      <c r="E90" s="468"/>
      <c r="F90" s="163"/>
      <c r="G90" s="363"/>
      <c r="H90" s="316"/>
      <c r="I90" s="317"/>
      <c r="J90" s="318"/>
      <c r="K90" s="431"/>
      <c r="L90" s="46"/>
      <c r="M90" s="46"/>
      <c r="N90" s="46"/>
      <c r="O90" s="174"/>
      <c r="P90" s="174"/>
      <c r="Q90" s="174"/>
      <c r="R90" s="174"/>
      <c r="S90" s="469"/>
      <c r="T90" s="322"/>
      <c r="U90" s="470"/>
      <c r="V90" s="160"/>
      <c r="W90" s="160"/>
      <c r="X90" s="160"/>
      <c r="Y90" s="46"/>
      <c r="Z90" s="46"/>
      <c r="AA90" s="453"/>
      <c r="AC90" s="178"/>
      <c r="AD90" s="160"/>
      <c r="AE90" s="160"/>
      <c r="AF90" s="160"/>
      <c r="AG90" s="160"/>
      <c r="AH90" s="167"/>
      <c r="AJ90" s="168"/>
      <c r="AK90" s="268"/>
    </row>
    <row r="91" spans="1:37" ht="28.5" customHeight="1" x14ac:dyDescent="0.4">
      <c r="A91" s="177"/>
      <c r="B91" s="46"/>
      <c r="C91" s="46"/>
      <c r="D91" s="160"/>
      <c r="E91" s="468"/>
      <c r="F91" s="163"/>
      <c r="G91" s="363"/>
      <c r="H91" s="316"/>
      <c r="I91" s="317"/>
      <c r="J91" s="318"/>
      <c r="K91" s="431"/>
      <c r="L91" s="46"/>
      <c r="M91" s="46"/>
      <c r="N91" s="46"/>
      <c r="O91" s="174"/>
      <c r="P91" s="174"/>
      <c r="Q91" s="174"/>
      <c r="R91" s="174"/>
      <c r="S91" s="469"/>
      <c r="T91" s="322"/>
      <c r="U91" s="470"/>
      <c r="V91" s="160"/>
      <c r="W91" s="160"/>
      <c r="X91" s="160"/>
      <c r="Y91" s="46"/>
      <c r="Z91" s="46"/>
      <c r="AA91" s="453"/>
      <c r="AC91" s="178"/>
      <c r="AD91" s="160"/>
      <c r="AE91" s="160"/>
      <c r="AF91" s="160"/>
      <c r="AG91" s="160"/>
      <c r="AH91" s="167"/>
      <c r="AJ91" s="168"/>
      <c r="AK91" s="268"/>
    </row>
    <row r="92" spans="1:37" ht="28.5" customHeight="1" x14ac:dyDescent="0.4">
      <c r="A92" s="177"/>
      <c r="B92" s="46"/>
      <c r="C92" s="46"/>
      <c r="D92" s="160"/>
      <c r="E92" s="468"/>
      <c r="F92" s="163"/>
      <c r="G92" s="363"/>
      <c r="H92" s="316"/>
      <c r="I92" s="317"/>
      <c r="J92" s="318"/>
      <c r="K92" s="431"/>
      <c r="L92" s="46"/>
      <c r="M92" s="46"/>
      <c r="N92" s="46"/>
      <c r="O92" s="174"/>
      <c r="P92" s="174"/>
      <c r="Q92" s="174"/>
      <c r="R92" s="174"/>
      <c r="S92" s="469"/>
      <c r="T92" s="322"/>
      <c r="U92" s="470"/>
      <c r="V92" s="160"/>
      <c r="W92" s="160"/>
      <c r="X92" s="160"/>
      <c r="Y92" s="46"/>
      <c r="Z92" s="46"/>
      <c r="AA92" s="453"/>
      <c r="AC92" s="178"/>
      <c r="AD92" s="160"/>
      <c r="AE92" s="160"/>
      <c r="AF92" s="160"/>
      <c r="AG92" s="160"/>
      <c r="AH92" s="167"/>
      <c r="AJ92" s="168"/>
      <c r="AK92" s="268"/>
    </row>
    <row r="93" spans="1:37" ht="28.5" customHeight="1" x14ac:dyDescent="0.4">
      <c r="A93" s="177"/>
      <c r="B93" s="46"/>
      <c r="C93" s="46"/>
      <c r="D93" s="160"/>
      <c r="E93" s="468"/>
      <c r="F93" s="163"/>
      <c r="G93" s="363"/>
      <c r="H93" s="316"/>
      <c r="I93" s="317"/>
      <c r="J93" s="318"/>
      <c r="K93" s="431"/>
      <c r="L93" s="46"/>
      <c r="M93" s="46"/>
      <c r="N93" s="46"/>
      <c r="O93" s="174"/>
      <c r="P93" s="174"/>
      <c r="Q93" s="174"/>
      <c r="R93" s="174"/>
      <c r="S93" s="469"/>
      <c r="T93" s="322"/>
      <c r="U93" s="470"/>
      <c r="V93" s="160"/>
      <c r="W93" s="160"/>
      <c r="X93" s="160"/>
      <c r="Y93" s="46"/>
      <c r="Z93" s="46"/>
      <c r="AA93" s="453"/>
      <c r="AC93" s="178"/>
      <c r="AD93" s="160"/>
      <c r="AE93" s="160"/>
      <c r="AF93" s="160"/>
      <c r="AG93" s="160"/>
      <c r="AH93" s="167"/>
      <c r="AJ93" s="168"/>
      <c r="AK93" s="268"/>
    </row>
    <row r="94" spans="1:37" ht="28.5" customHeight="1" x14ac:dyDescent="0.4">
      <c r="A94" s="177"/>
      <c r="B94" s="46"/>
      <c r="C94" s="46"/>
      <c r="D94" s="160"/>
      <c r="E94" s="468"/>
      <c r="F94" s="163"/>
      <c r="G94" s="363"/>
      <c r="H94" s="316"/>
      <c r="I94" s="317"/>
      <c r="J94" s="318"/>
      <c r="K94" s="431"/>
      <c r="L94" s="46"/>
      <c r="M94" s="46"/>
      <c r="N94" s="46"/>
      <c r="O94" s="174"/>
      <c r="P94" s="174"/>
      <c r="Q94" s="174"/>
      <c r="R94" s="174"/>
      <c r="S94" s="469"/>
      <c r="T94" s="322"/>
      <c r="U94" s="470"/>
      <c r="V94" s="160"/>
      <c r="W94" s="160"/>
      <c r="X94" s="160"/>
      <c r="Y94" s="46"/>
      <c r="Z94" s="46"/>
      <c r="AA94" s="453"/>
      <c r="AC94" s="178"/>
      <c r="AD94" s="160"/>
      <c r="AE94" s="160"/>
      <c r="AF94" s="160"/>
      <c r="AG94" s="160"/>
      <c r="AH94" s="167"/>
      <c r="AJ94" s="168"/>
      <c r="AK94" s="268"/>
    </row>
    <row r="95" spans="1:37" ht="28.5" customHeight="1" x14ac:dyDescent="0.4">
      <c r="A95" s="177"/>
      <c r="B95" s="46"/>
      <c r="C95" s="46"/>
      <c r="D95" s="160"/>
      <c r="E95" s="468"/>
      <c r="F95" s="163"/>
      <c r="G95" s="363"/>
      <c r="H95" s="316"/>
      <c r="I95" s="317"/>
      <c r="J95" s="318"/>
      <c r="K95" s="431"/>
      <c r="L95" s="46"/>
      <c r="M95" s="46"/>
      <c r="N95" s="46"/>
      <c r="O95" s="174"/>
      <c r="P95" s="174"/>
      <c r="Q95" s="174"/>
      <c r="R95" s="174"/>
      <c r="S95" s="469"/>
      <c r="T95" s="322"/>
      <c r="U95" s="470"/>
      <c r="V95" s="160"/>
      <c r="W95" s="160"/>
      <c r="X95" s="160"/>
      <c r="Y95" s="46"/>
      <c r="Z95" s="46"/>
      <c r="AA95" s="453"/>
      <c r="AC95" s="178"/>
      <c r="AD95" s="160"/>
      <c r="AE95" s="160"/>
      <c r="AF95" s="160"/>
      <c r="AG95" s="160"/>
      <c r="AH95" s="167"/>
      <c r="AJ95" s="168"/>
      <c r="AK95" s="268"/>
    </row>
    <row r="96" spans="1:37" ht="28.5" customHeight="1" x14ac:dyDescent="0.4">
      <c r="A96" s="177"/>
      <c r="B96" s="46"/>
      <c r="C96" s="46"/>
      <c r="D96" s="160"/>
      <c r="E96" s="468"/>
      <c r="F96" s="163"/>
      <c r="G96" s="363"/>
      <c r="H96" s="316"/>
      <c r="I96" s="317"/>
      <c r="J96" s="318"/>
      <c r="K96" s="431"/>
      <c r="L96" s="46"/>
      <c r="M96" s="46"/>
      <c r="N96" s="46"/>
      <c r="O96" s="174"/>
      <c r="P96" s="174"/>
      <c r="Q96" s="174"/>
      <c r="R96" s="174"/>
      <c r="S96" s="469"/>
      <c r="T96" s="322"/>
      <c r="U96" s="470"/>
      <c r="V96" s="160"/>
      <c r="W96" s="160"/>
      <c r="X96" s="160"/>
      <c r="Y96" s="46"/>
      <c r="Z96" s="46"/>
      <c r="AA96" s="453"/>
      <c r="AC96" s="178"/>
      <c r="AD96" s="160"/>
      <c r="AE96" s="160"/>
      <c r="AF96" s="160"/>
      <c r="AG96" s="160"/>
      <c r="AH96" s="167"/>
      <c r="AJ96" s="168"/>
      <c r="AK96" s="268"/>
    </row>
    <row r="97" spans="1:37" ht="28.5" customHeight="1" x14ac:dyDescent="0.4">
      <c r="A97" s="177"/>
      <c r="B97" s="46"/>
      <c r="C97" s="46"/>
      <c r="D97" s="160"/>
      <c r="E97" s="468"/>
      <c r="F97" s="163"/>
      <c r="G97" s="363"/>
      <c r="H97" s="316"/>
      <c r="I97" s="317"/>
      <c r="J97" s="318"/>
      <c r="K97" s="431"/>
      <c r="L97" s="46"/>
      <c r="M97" s="46"/>
      <c r="N97" s="46"/>
      <c r="O97" s="174"/>
      <c r="P97" s="174"/>
      <c r="Q97" s="174"/>
      <c r="R97" s="174"/>
      <c r="S97" s="469"/>
      <c r="T97" s="322"/>
      <c r="U97" s="470"/>
      <c r="V97" s="160"/>
      <c r="W97" s="160"/>
      <c r="X97" s="160"/>
      <c r="Y97" s="46"/>
      <c r="Z97" s="46"/>
      <c r="AA97" s="453"/>
      <c r="AC97" s="178"/>
      <c r="AD97" s="160"/>
      <c r="AE97" s="160"/>
      <c r="AF97" s="160"/>
      <c r="AG97" s="160"/>
      <c r="AH97" s="167"/>
      <c r="AJ97" s="168"/>
      <c r="AK97" s="268"/>
    </row>
    <row r="98" spans="1:37" ht="28.5" customHeight="1" thickBot="1" x14ac:dyDescent="0.45">
      <c r="A98" s="180"/>
      <c r="B98" s="181"/>
      <c r="C98" s="181"/>
      <c r="D98" s="182"/>
      <c r="E98" s="471"/>
      <c r="F98" s="472"/>
      <c r="G98" s="473"/>
      <c r="H98" s="328"/>
      <c r="I98" s="402"/>
      <c r="J98" s="403"/>
      <c r="K98" s="474"/>
      <c r="L98" s="185"/>
      <c r="M98" s="185"/>
      <c r="N98" s="185"/>
      <c r="O98" s="186"/>
      <c r="P98" s="186"/>
      <c r="Q98" s="186"/>
      <c r="R98" s="186"/>
      <c r="S98" s="475"/>
      <c r="T98" s="322"/>
      <c r="U98" s="476"/>
      <c r="V98" s="477"/>
      <c r="W98" s="477"/>
      <c r="X98" s="477"/>
      <c r="Y98" s="478"/>
      <c r="Z98" s="478"/>
      <c r="AA98" s="479"/>
      <c r="AC98" s="188"/>
      <c r="AD98" s="189"/>
      <c r="AE98" s="189"/>
      <c r="AF98" s="189"/>
      <c r="AG98" s="189"/>
      <c r="AH98" s="190"/>
      <c r="AJ98" s="191"/>
      <c r="AK98" s="268"/>
    </row>
    <row r="99" spans="1:37" ht="20.5" thickTop="1" x14ac:dyDescent="0.35"/>
  </sheetData>
  <mergeCells count="5">
    <mergeCell ref="B2:AJ2"/>
    <mergeCell ref="A6:G6"/>
    <mergeCell ref="K6:S6"/>
    <mergeCell ref="U6:AA6"/>
    <mergeCell ref="AC6:AH6"/>
  </mergeCells>
  <pageMargins left="0.7" right="0.7" top="0.75" bottom="0.75" header="0.3" footer="0.3"/>
  <pageSetup paperSize="9" scale="25" fitToWidth="0" orientation="portrait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782A5-0F93-4A3B-9645-607C6C0A2CA8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9C8CF-3CC8-4F45-9E32-533FEA1FC50D}">
  <dimension ref="A2:AA35"/>
  <sheetViews>
    <sheetView zoomScale="55" zoomScaleNormal="55" workbookViewId="0">
      <selection activeCell="X18" sqref="X18"/>
    </sheetView>
  </sheetViews>
  <sheetFormatPr baseColWidth="10" defaultColWidth="11.453125" defaultRowHeight="15.5" x14ac:dyDescent="0.35"/>
  <cols>
    <col min="1" max="1" width="19.453125" style="193" customWidth="1"/>
    <col min="2" max="2" width="45.81640625" style="130" bestFit="1" customWidth="1"/>
    <col min="3" max="3" width="21.1796875" style="130" bestFit="1" customWidth="1"/>
    <col min="4" max="4" width="18.1796875" style="130" bestFit="1" customWidth="1"/>
    <col min="5" max="5" width="11.453125" style="193" bestFit="1" customWidth="1"/>
    <col min="6" max="6" width="7.7265625" style="193" bestFit="1" customWidth="1"/>
    <col min="7" max="7" width="14.81640625" style="193" bestFit="1" customWidth="1"/>
    <col min="8" max="8" width="19.54296875" style="193" bestFit="1" customWidth="1"/>
    <col min="9" max="9" width="1.1796875" style="130" customWidth="1"/>
    <col min="10" max="10" width="24.7265625" style="193" bestFit="1" customWidth="1"/>
    <col min="11" max="11" width="16.81640625" style="193" customWidth="1"/>
    <col min="12" max="12" width="17" style="193" customWidth="1"/>
    <col min="13" max="13" width="17.1796875" style="130" customWidth="1"/>
    <col min="14" max="14" width="22.7265625" style="130" customWidth="1"/>
    <col min="15" max="15" width="1.26953125" style="130" customWidth="1"/>
    <col min="16" max="17" width="10.26953125" style="130" customWidth="1"/>
    <col min="18" max="18" width="13.453125" style="130" customWidth="1"/>
    <col min="19" max="19" width="25.81640625" style="130" bestFit="1" customWidth="1"/>
    <col min="20" max="20" width="12" style="130" bestFit="1" customWidth="1"/>
    <col min="21" max="21" width="14.26953125" style="130" bestFit="1" customWidth="1"/>
    <col min="22" max="22" width="19" style="130" bestFit="1" customWidth="1"/>
    <col min="23" max="23" width="19.453125" style="130" bestFit="1" customWidth="1"/>
    <col min="24" max="24" width="109.26953125" style="130" bestFit="1" customWidth="1"/>
    <col min="25" max="25" width="34.7265625" style="130" customWidth="1"/>
    <col min="26" max="16384" width="11.453125" style="130"/>
  </cols>
  <sheetData>
    <row r="2" spans="1:27" ht="20" x14ac:dyDescent="0.35">
      <c r="A2" s="891" t="s">
        <v>349</v>
      </c>
      <c r="B2" s="891"/>
      <c r="C2" s="891"/>
      <c r="D2" s="891"/>
      <c r="E2" s="891"/>
      <c r="F2" s="891"/>
      <c r="G2" s="891"/>
      <c r="H2" s="891"/>
      <c r="I2" s="891"/>
      <c r="J2" s="891"/>
      <c r="K2" s="891"/>
      <c r="L2" s="891"/>
      <c r="M2" s="891"/>
      <c r="N2" s="891"/>
      <c r="O2" s="891"/>
      <c r="P2" s="891"/>
      <c r="Q2" s="891"/>
      <c r="R2" s="891"/>
      <c r="S2" s="891"/>
      <c r="T2" s="891"/>
      <c r="U2" s="891"/>
      <c r="V2" s="891"/>
      <c r="W2" s="891"/>
      <c r="X2" s="891"/>
    </row>
    <row r="3" spans="1:27" ht="20" x14ac:dyDescent="0.35">
      <c r="A3" s="131" t="s">
        <v>350</v>
      </c>
      <c r="B3" s="132">
        <v>45173</v>
      </c>
      <c r="C3" s="131" t="s">
        <v>351</v>
      </c>
      <c r="D3" s="131"/>
      <c r="E3" s="129" t="s">
        <v>352</v>
      </c>
      <c r="F3" s="131" t="s">
        <v>353</v>
      </c>
      <c r="G3" s="132">
        <v>45050</v>
      </c>
      <c r="H3" s="129"/>
      <c r="I3" s="129"/>
      <c r="J3" s="129" t="s">
        <v>157</v>
      </c>
      <c r="K3" s="133">
        <f ca="1">TODAY()</f>
        <v>45272</v>
      </c>
      <c r="L3" s="129"/>
      <c r="M3" s="129"/>
      <c r="N3" s="129"/>
      <c r="O3" s="129"/>
      <c r="P3" s="129"/>
      <c r="Q3" s="129"/>
      <c r="R3" s="129"/>
      <c r="S3" s="129"/>
      <c r="T3" s="129"/>
      <c r="U3" s="129"/>
      <c r="V3" s="129"/>
      <c r="W3" s="129"/>
    </row>
    <row r="4" spans="1:27" ht="20" x14ac:dyDescent="0.35">
      <c r="A4" s="130"/>
      <c r="B4" s="131" t="s">
        <v>354</v>
      </c>
      <c r="C4" s="132">
        <v>45131</v>
      </c>
      <c r="D4" s="132"/>
      <c r="E4" s="129"/>
      <c r="F4" s="131"/>
      <c r="G4" s="129"/>
      <c r="H4" s="129"/>
      <c r="I4" s="129"/>
      <c r="J4" s="129"/>
      <c r="K4" s="133"/>
      <c r="L4" s="129"/>
      <c r="M4" s="129"/>
      <c r="N4" s="129"/>
      <c r="O4" s="129"/>
      <c r="P4" s="129"/>
      <c r="Q4" s="129"/>
      <c r="R4" s="129"/>
      <c r="S4" s="129"/>
      <c r="T4" s="129"/>
      <c r="U4" s="129"/>
      <c r="V4" s="129"/>
      <c r="W4" s="129"/>
    </row>
    <row r="5" spans="1:27" ht="20" x14ac:dyDescent="0.35">
      <c r="A5" s="134"/>
      <c r="B5" s="131" t="s">
        <v>355</v>
      </c>
      <c r="C5" s="132">
        <v>45190</v>
      </c>
      <c r="D5" s="132"/>
      <c r="E5" s="129"/>
      <c r="F5" s="131"/>
      <c r="G5" s="129"/>
      <c r="H5" s="129"/>
      <c r="I5" s="129"/>
      <c r="J5" s="129"/>
      <c r="K5" s="133"/>
      <c r="L5" s="129"/>
      <c r="M5" s="129"/>
      <c r="N5" s="129"/>
      <c r="O5" s="129"/>
      <c r="P5" s="129"/>
      <c r="Q5" s="129"/>
      <c r="R5" s="129"/>
      <c r="S5" s="129"/>
      <c r="T5" s="129"/>
      <c r="U5" s="129"/>
      <c r="V5" s="129"/>
      <c r="W5" s="129"/>
    </row>
    <row r="6" spans="1:27" ht="20" x14ac:dyDescent="0.35">
      <c r="A6" s="131" t="s">
        <v>159</v>
      </c>
      <c r="B6" s="132"/>
      <c r="C6" s="132"/>
      <c r="D6" s="132"/>
      <c r="E6" s="129"/>
      <c r="F6" s="131"/>
      <c r="G6" s="129"/>
      <c r="H6" s="129"/>
      <c r="I6" s="129"/>
      <c r="J6" s="129"/>
      <c r="K6" s="133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</row>
    <row r="7" spans="1:27" ht="20.5" thickBot="1" x14ac:dyDescent="0.4">
      <c r="A7" s="129"/>
      <c r="B7" s="129"/>
      <c r="C7" s="129"/>
      <c r="D7" s="129"/>
      <c r="E7" s="129"/>
      <c r="F7" s="129"/>
      <c r="G7" s="129"/>
      <c r="H7" s="129"/>
      <c r="I7" s="129"/>
      <c r="J7" s="129"/>
      <c r="K7" s="129"/>
      <c r="L7" s="129"/>
      <c r="M7" s="129"/>
      <c r="N7" s="129"/>
      <c r="O7" s="129"/>
      <c r="P7" s="129"/>
      <c r="Q7" s="129"/>
      <c r="R7" s="129"/>
      <c r="S7" s="129"/>
      <c r="T7" s="129"/>
      <c r="U7" s="129"/>
      <c r="V7" s="129"/>
      <c r="W7" s="129"/>
      <c r="X7" s="129"/>
      <c r="Y7" s="129"/>
      <c r="Z7" s="129"/>
      <c r="AA7" s="129"/>
    </row>
    <row r="8" spans="1:27" ht="16.5" thickTop="1" thickBot="1" x14ac:dyDescent="0.4">
      <c r="A8" s="879" t="s">
        <v>239</v>
      </c>
      <c r="B8" s="880"/>
      <c r="C8" s="880"/>
      <c r="D8" s="880"/>
      <c r="E8" s="880"/>
      <c r="F8" s="880"/>
      <c r="G8" s="880"/>
      <c r="H8" s="881"/>
      <c r="I8" s="135"/>
      <c r="J8" s="882" t="s">
        <v>356</v>
      </c>
      <c r="K8" s="883"/>
      <c r="L8" s="883"/>
      <c r="M8" s="883"/>
      <c r="N8" s="884"/>
      <c r="O8" s="136"/>
      <c r="P8" s="892" t="s">
        <v>357</v>
      </c>
      <c r="Q8" s="893"/>
      <c r="R8" s="893"/>
      <c r="S8" s="893"/>
      <c r="T8" s="893"/>
      <c r="U8" s="893"/>
      <c r="V8" s="894"/>
    </row>
    <row r="9" spans="1:27" ht="32" thickTop="1" thickBot="1" x14ac:dyDescent="0.4">
      <c r="A9" s="137" t="s">
        <v>160</v>
      </c>
      <c r="B9" s="138" t="s">
        <v>140</v>
      </c>
      <c r="C9" s="138" t="s">
        <v>141</v>
      </c>
      <c r="D9" s="138"/>
      <c r="E9" s="138" t="s">
        <v>143</v>
      </c>
      <c r="F9" s="138" t="s">
        <v>117</v>
      </c>
      <c r="G9" s="138" t="s">
        <v>118</v>
      </c>
      <c r="H9" s="139" t="s">
        <v>144</v>
      </c>
      <c r="I9" s="135"/>
      <c r="J9" s="140" t="s">
        <v>358</v>
      </c>
      <c r="K9" s="138" t="s">
        <v>127</v>
      </c>
      <c r="L9" s="138" t="s">
        <v>359</v>
      </c>
      <c r="M9" s="141" t="s">
        <v>261</v>
      </c>
      <c r="N9" s="142" t="s">
        <v>255</v>
      </c>
      <c r="O9" s="136"/>
      <c r="P9" s="143" t="s">
        <v>130</v>
      </c>
      <c r="Q9" s="21" t="s">
        <v>163</v>
      </c>
      <c r="R9" s="138" t="s">
        <v>131</v>
      </c>
      <c r="S9" s="138" t="s">
        <v>132</v>
      </c>
      <c r="T9" s="138" t="s">
        <v>133</v>
      </c>
      <c r="U9" s="138" t="s">
        <v>134</v>
      </c>
      <c r="V9" s="144" t="s">
        <v>135</v>
      </c>
      <c r="W9" s="145" t="s">
        <v>136</v>
      </c>
      <c r="X9" s="146" t="s">
        <v>137</v>
      </c>
    </row>
    <row r="10" spans="1:27" x14ac:dyDescent="0.35">
      <c r="A10" s="147" t="s">
        <v>360</v>
      </c>
      <c r="B10" s="6" t="s">
        <v>63</v>
      </c>
      <c r="C10" s="126" t="s">
        <v>361</v>
      </c>
      <c r="D10" s="7" t="s">
        <v>152</v>
      </c>
      <c r="E10" s="148"/>
      <c r="F10" s="148"/>
      <c r="G10" s="149"/>
      <c r="H10" s="150">
        <v>176741.95</v>
      </c>
      <c r="I10" s="151"/>
      <c r="J10" s="152" t="s">
        <v>362</v>
      </c>
      <c r="K10" s="149">
        <v>45182</v>
      </c>
      <c r="L10" s="149">
        <v>45173</v>
      </c>
      <c r="M10" s="153">
        <v>45201</v>
      </c>
      <c r="N10" s="154">
        <v>45416</v>
      </c>
      <c r="O10" s="136"/>
      <c r="P10" s="155" t="s">
        <v>165</v>
      </c>
      <c r="Q10" s="34" t="s">
        <v>178</v>
      </c>
      <c r="R10" s="34" t="s">
        <v>178</v>
      </c>
      <c r="S10" s="148" t="s">
        <v>363</v>
      </c>
      <c r="T10" s="148"/>
      <c r="U10" s="148"/>
      <c r="V10" s="156"/>
      <c r="W10" s="844">
        <v>51394.68</v>
      </c>
      <c r="X10" s="35" t="s">
        <v>626</v>
      </c>
    </row>
    <row r="11" spans="1:27" x14ac:dyDescent="0.35">
      <c r="A11" s="159" t="s">
        <v>364</v>
      </c>
      <c r="B11" s="7" t="s">
        <v>365</v>
      </c>
      <c r="C11" s="7" t="s">
        <v>88</v>
      </c>
      <c r="D11" s="7" t="s">
        <v>152</v>
      </c>
      <c r="E11" s="160"/>
      <c r="F11" s="46"/>
      <c r="G11" s="160"/>
      <c r="H11" s="161">
        <v>22623.759999999998</v>
      </c>
      <c r="I11" s="151"/>
      <c r="J11" s="162" t="s">
        <v>362</v>
      </c>
      <c r="K11" s="163">
        <v>45182</v>
      </c>
      <c r="L11" s="149">
        <v>45173</v>
      </c>
      <c r="M11" s="164">
        <v>45208</v>
      </c>
      <c r="N11" s="154">
        <v>45416</v>
      </c>
      <c r="O11" s="165"/>
      <c r="P11" s="166" t="s">
        <v>178</v>
      </c>
      <c r="Q11" s="68" t="s">
        <v>178</v>
      </c>
      <c r="R11" s="34" t="s">
        <v>178</v>
      </c>
      <c r="S11" s="46" t="s">
        <v>166</v>
      </c>
      <c r="T11" s="160"/>
      <c r="U11" s="160"/>
      <c r="V11" s="167"/>
      <c r="W11" s="43"/>
      <c r="X11" s="38"/>
    </row>
    <row r="12" spans="1:27" x14ac:dyDescent="0.35">
      <c r="A12" s="159" t="s">
        <v>366</v>
      </c>
      <c r="B12" s="7" t="s">
        <v>66</v>
      </c>
      <c r="C12" s="7" t="s">
        <v>88</v>
      </c>
      <c r="D12" s="7" t="s">
        <v>152</v>
      </c>
      <c r="E12" s="160"/>
      <c r="F12" s="46"/>
      <c r="G12" s="160"/>
      <c r="H12" s="161">
        <v>103062.67</v>
      </c>
      <c r="I12" s="151"/>
      <c r="J12" s="162" t="s">
        <v>362</v>
      </c>
      <c r="K12" s="163">
        <v>45181</v>
      </c>
      <c r="L12" s="163">
        <v>45173</v>
      </c>
      <c r="M12" s="164">
        <v>45229</v>
      </c>
      <c r="N12" s="154">
        <v>45416</v>
      </c>
      <c r="O12" s="165"/>
      <c r="P12" s="166" t="s">
        <v>367</v>
      </c>
      <c r="Q12" s="68" t="s">
        <v>178</v>
      </c>
      <c r="R12" s="34" t="s">
        <v>178</v>
      </c>
      <c r="S12" s="46" t="s">
        <v>166</v>
      </c>
      <c r="T12" s="160"/>
      <c r="U12" s="160"/>
      <c r="V12" s="167"/>
      <c r="W12" s="43"/>
      <c r="X12" s="38"/>
    </row>
    <row r="13" spans="1:27" x14ac:dyDescent="0.35">
      <c r="A13" s="159" t="s">
        <v>368</v>
      </c>
      <c r="B13" s="7" t="s">
        <v>67</v>
      </c>
      <c r="C13" s="7" t="s">
        <v>88</v>
      </c>
      <c r="D13" s="7"/>
      <c r="E13" s="160"/>
      <c r="F13" s="46"/>
      <c r="G13" s="160"/>
      <c r="H13" s="161">
        <v>27521.97</v>
      </c>
      <c r="I13" s="151"/>
      <c r="J13" s="162" t="s">
        <v>369</v>
      </c>
      <c r="K13" s="163"/>
      <c r="L13" s="163">
        <v>45222</v>
      </c>
      <c r="M13" s="164">
        <v>45250</v>
      </c>
      <c r="N13" s="154">
        <v>45416</v>
      </c>
      <c r="O13" s="165"/>
      <c r="P13" s="166" t="s">
        <v>178</v>
      </c>
      <c r="Q13" s="68" t="s">
        <v>178</v>
      </c>
      <c r="R13" s="34" t="s">
        <v>178</v>
      </c>
      <c r="S13" s="46" t="s">
        <v>166</v>
      </c>
      <c r="T13" s="160"/>
      <c r="U13" s="160"/>
      <c r="V13" s="167"/>
      <c r="W13" s="43"/>
      <c r="X13" s="38"/>
    </row>
    <row r="14" spans="1:27" x14ac:dyDescent="0.35">
      <c r="A14" s="159" t="s">
        <v>370</v>
      </c>
      <c r="B14" s="7" t="s">
        <v>65</v>
      </c>
      <c r="C14" s="7" t="s">
        <v>88</v>
      </c>
      <c r="D14" s="7" t="s">
        <v>152</v>
      </c>
      <c r="E14" s="160"/>
      <c r="F14" s="46"/>
      <c r="G14" s="160"/>
      <c r="H14" s="161">
        <v>159124.66</v>
      </c>
      <c r="I14" s="151"/>
      <c r="J14" s="162" t="s">
        <v>362</v>
      </c>
      <c r="K14" s="163">
        <v>45181</v>
      </c>
      <c r="L14" s="149">
        <v>45243</v>
      </c>
      <c r="M14" s="164">
        <v>45293</v>
      </c>
      <c r="N14" s="154">
        <v>45416</v>
      </c>
      <c r="O14" s="165"/>
      <c r="P14" s="166" t="s">
        <v>165</v>
      </c>
      <c r="Q14" s="68" t="s">
        <v>178</v>
      </c>
      <c r="R14" s="34" t="s">
        <v>178</v>
      </c>
      <c r="S14" s="46" t="s">
        <v>166</v>
      </c>
      <c r="T14" s="160"/>
      <c r="U14" s="160"/>
      <c r="V14" s="167"/>
      <c r="W14" s="845">
        <v>39484.379999999997</v>
      </c>
      <c r="X14" s="35" t="s">
        <v>626</v>
      </c>
    </row>
    <row r="15" spans="1:27" ht="46.5" x14ac:dyDescent="0.35">
      <c r="A15" s="159" t="s">
        <v>371</v>
      </c>
      <c r="B15" s="127" t="s">
        <v>68</v>
      </c>
      <c r="C15" s="7" t="s">
        <v>88</v>
      </c>
      <c r="D15" s="7"/>
      <c r="E15" s="160"/>
      <c r="F15" s="46"/>
      <c r="G15" s="160"/>
      <c r="H15" s="161">
        <v>193146.25</v>
      </c>
      <c r="I15" s="151"/>
      <c r="J15" s="169" t="s">
        <v>369</v>
      </c>
      <c r="K15" s="46"/>
      <c r="L15" s="163">
        <v>45243</v>
      </c>
      <c r="M15" s="164">
        <v>45320</v>
      </c>
      <c r="N15" s="154"/>
      <c r="O15" s="165"/>
      <c r="P15" s="166" t="s">
        <v>165</v>
      </c>
      <c r="Q15" s="68" t="s">
        <v>178</v>
      </c>
      <c r="R15" s="34" t="s">
        <v>178</v>
      </c>
      <c r="S15" s="46" t="s">
        <v>166</v>
      </c>
      <c r="T15" s="160"/>
      <c r="U15" s="160"/>
      <c r="V15" s="167"/>
      <c r="W15" s="845">
        <v>77258.5</v>
      </c>
      <c r="X15" s="128" t="s">
        <v>629</v>
      </c>
    </row>
    <row r="16" spans="1:27" ht="28.5" customHeight="1" x14ac:dyDescent="0.35">
      <c r="A16" s="170"/>
      <c r="B16" s="46"/>
      <c r="C16" s="46"/>
      <c r="D16" s="46"/>
      <c r="E16" s="160"/>
      <c r="F16" s="46"/>
      <c r="G16" s="160"/>
      <c r="H16" s="171"/>
      <c r="I16" s="172"/>
      <c r="J16" s="173"/>
      <c r="K16" s="46"/>
      <c r="L16" s="46"/>
      <c r="M16" s="174"/>
      <c r="N16" s="175"/>
      <c r="O16" s="165"/>
      <c r="P16" s="166"/>
      <c r="Q16" s="68"/>
      <c r="R16" s="160"/>
      <c r="S16" s="160"/>
      <c r="T16" s="160"/>
      <c r="U16" s="160"/>
      <c r="V16" s="167"/>
      <c r="W16" s="43"/>
      <c r="X16" s="38"/>
    </row>
    <row r="17" spans="1:24" ht="28.5" customHeight="1" x14ac:dyDescent="0.35">
      <c r="A17" s="170"/>
      <c r="B17" s="46"/>
      <c r="C17" s="46"/>
      <c r="D17" s="46"/>
      <c r="E17" s="160"/>
      <c r="F17" s="46"/>
      <c r="G17" s="160"/>
      <c r="H17" s="171"/>
      <c r="I17" s="172"/>
      <c r="J17" s="176"/>
      <c r="K17" s="46"/>
      <c r="L17" s="46"/>
      <c r="M17" s="174"/>
      <c r="N17" s="175"/>
      <c r="O17" s="165"/>
      <c r="P17" s="166"/>
      <c r="Q17" s="68"/>
      <c r="R17" s="160"/>
      <c r="S17" s="160"/>
      <c r="T17" s="160"/>
      <c r="U17" s="160"/>
      <c r="V17" s="167"/>
      <c r="W17" s="849">
        <f>SUM(W10:W15)</f>
        <v>168137.56</v>
      </c>
      <c r="X17" s="38"/>
    </row>
    <row r="18" spans="1:24" ht="28.5" customHeight="1" x14ac:dyDescent="0.35">
      <c r="A18" s="177"/>
      <c r="B18" s="46"/>
      <c r="C18" s="46"/>
      <c r="D18" s="46"/>
      <c r="E18" s="160"/>
      <c r="F18" s="46"/>
      <c r="G18" s="160"/>
      <c r="H18" s="171"/>
      <c r="I18" s="172"/>
      <c r="J18" s="176"/>
      <c r="K18" s="46"/>
      <c r="L18" s="46"/>
      <c r="M18" s="174"/>
      <c r="N18" s="175"/>
      <c r="O18" s="165"/>
      <c r="P18" s="178"/>
      <c r="Q18" s="68"/>
      <c r="R18" s="160"/>
      <c r="S18" s="160"/>
      <c r="T18" s="160"/>
      <c r="U18" s="160"/>
      <c r="V18" s="167"/>
      <c r="W18" s="168"/>
      <c r="X18" s="160"/>
    </row>
    <row r="19" spans="1:24" ht="28.5" customHeight="1" x14ac:dyDescent="0.35">
      <c r="A19" s="177"/>
      <c r="B19" s="46"/>
      <c r="C19" s="46"/>
      <c r="D19" s="46"/>
      <c r="E19" s="160"/>
      <c r="F19" s="46"/>
      <c r="G19" s="160"/>
      <c r="H19" s="171"/>
      <c r="I19" s="172"/>
      <c r="J19" s="176"/>
      <c r="K19" s="46"/>
      <c r="L19" s="46"/>
      <c r="M19" s="174"/>
      <c r="N19" s="175"/>
      <c r="O19" s="165"/>
      <c r="P19" s="178"/>
      <c r="Q19" s="68"/>
      <c r="R19" s="160"/>
      <c r="S19" s="160"/>
      <c r="T19" s="160"/>
      <c r="U19" s="160"/>
      <c r="V19" s="167"/>
      <c r="W19" s="168"/>
      <c r="X19" s="160"/>
    </row>
    <row r="20" spans="1:24" ht="28.5" customHeight="1" x14ac:dyDescent="0.35">
      <c r="A20" s="177"/>
      <c r="B20" s="46"/>
      <c r="C20" s="46"/>
      <c r="D20" s="46"/>
      <c r="E20" s="160"/>
      <c r="F20" s="46"/>
      <c r="G20" s="160"/>
      <c r="H20" s="171"/>
      <c r="I20" s="172"/>
      <c r="J20" s="176"/>
      <c r="K20" s="46"/>
      <c r="L20" s="46"/>
      <c r="M20" s="174"/>
      <c r="N20" s="175"/>
      <c r="O20" s="165"/>
      <c r="P20" s="178"/>
      <c r="Q20" s="68"/>
      <c r="R20" s="160"/>
      <c r="S20" s="160"/>
      <c r="T20" s="160"/>
      <c r="U20" s="160"/>
      <c r="V20" s="167"/>
      <c r="W20" s="168"/>
      <c r="X20" s="160"/>
    </row>
    <row r="21" spans="1:24" ht="28.5" customHeight="1" x14ac:dyDescent="0.35">
      <c r="A21" s="177"/>
      <c r="B21" s="46"/>
      <c r="C21" s="46"/>
      <c r="D21" s="46"/>
      <c r="E21" s="160"/>
      <c r="F21" s="46"/>
      <c r="G21" s="160"/>
      <c r="H21" s="171"/>
      <c r="I21" s="172"/>
      <c r="J21" s="176"/>
      <c r="K21" s="46"/>
      <c r="L21" s="46"/>
      <c r="M21" s="174"/>
      <c r="N21" s="175"/>
      <c r="O21" s="165"/>
      <c r="P21" s="178"/>
      <c r="Q21" s="68"/>
      <c r="R21" s="160"/>
      <c r="S21" s="160"/>
      <c r="T21" s="160"/>
      <c r="U21" s="160"/>
      <c r="V21" s="167"/>
      <c r="W21" s="168"/>
      <c r="X21" s="160"/>
    </row>
    <row r="22" spans="1:24" ht="28.5" customHeight="1" x14ac:dyDescent="0.35">
      <c r="A22" s="177"/>
      <c r="B22" s="46"/>
      <c r="C22" s="46"/>
      <c r="D22" s="46"/>
      <c r="E22" s="160"/>
      <c r="F22" s="46"/>
      <c r="G22" s="160"/>
      <c r="H22" s="171"/>
      <c r="I22" s="172"/>
      <c r="J22" s="179"/>
      <c r="K22" s="46"/>
      <c r="L22" s="46"/>
      <c r="M22" s="174"/>
      <c r="N22" s="175"/>
      <c r="O22" s="165"/>
      <c r="P22" s="178"/>
      <c r="Q22" s="68"/>
      <c r="R22" s="160"/>
      <c r="S22" s="160"/>
      <c r="T22" s="160"/>
      <c r="U22" s="160"/>
      <c r="V22" s="167"/>
      <c r="W22" s="168"/>
      <c r="X22" s="160"/>
    </row>
    <row r="23" spans="1:24" ht="28.5" customHeight="1" x14ac:dyDescent="0.35">
      <c r="A23" s="177"/>
      <c r="B23" s="46"/>
      <c r="C23" s="46"/>
      <c r="D23" s="46"/>
      <c r="E23" s="160"/>
      <c r="F23" s="46"/>
      <c r="G23" s="160"/>
      <c r="H23" s="171"/>
      <c r="I23" s="172"/>
      <c r="J23" s="179"/>
      <c r="K23" s="46"/>
      <c r="L23" s="46"/>
      <c r="M23" s="174"/>
      <c r="N23" s="175"/>
      <c r="O23" s="165"/>
      <c r="P23" s="178"/>
      <c r="Q23" s="68"/>
      <c r="R23" s="160"/>
      <c r="S23" s="160"/>
      <c r="T23" s="160"/>
      <c r="U23" s="160"/>
      <c r="V23" s="167"/>
      <c r="W23" s="168"/>
      <c r="X23" s="160"/>
    </row>
    <row r="24" spans="1:24" ht="28.5" customHeight="1" x14ac:dyDescent="0.35">
      <c r="A24" s="177"/>
      <c r="B24" s="46"/>
      <c r="C24" s="46"/>
      <c r="D24" s="46"/>
      <c r="E24" s="160"/>
      <c r="F24" s="46"/>
      <c r="G24" s="160"/>
      <c r="H24" s="171"/>
      <c r="I24" s="172"/>
      <c r="J24" s="179"/>
      <c r="K24" s="46"/>
      <c r="L24" s="46"/>
      <c r="M24" s="174"/>
      <c r="N24" s="175"/>
      <c r="O24" s="165"/>
      <c r="P24" s="178"/>
      <c r="Q24" s="68"/>
      <c r="R24" s="160"/>
      <c r="S24" s="160"/>
      <c r="T24" s="160"/>
      <c r="U24" s="160"/>
      <c r="V24" s="167"/>
      <c r="W24" s="168"/>
      <c r="X24" s="160"/>
    </row>
    <row r="25" spans="1:24" ht="28.5" customHeight="1" x14ac:dyDescent="0.35">
      <c r="A25" s="177"/>
      <c r="B25" s="46"/>
      <c r="C25" s="46"/>
      <c r="D25" s="46"/>
      <c r="E25" s="160"/>
      <c r="F25" s="46"/>
      <c r="G25" s="160"/>
      <c r="H25" s="171"/>
      <c r="I25" s="172"/>
      <c r="J25" s="179"/>
      <c r="K25" s="46"/>
      <c r="L25" s="46"/>
      <c r="M25" s="174"/>
      <c r="N25" s="175"/>
      <c r="O25" s="165"/>
      <c r="P25" s="178"/>
      <c r="Q25" s="68"/>
      <c r="R25" s="160"/>
      <c r="S25" s="160"/>
      <c r="T25" s="160"/>
      <c r="U25" s="160"/>
      <c r="V25" s="167"/>
      <c r="W25" s="168"/>
      <c r="X25" s="160"/>
    </row>
    <row r="26" spans="1:24" ht="28.5" customHeight="1" x14ac:dyDescent="0.35">
      <c r="A26" s="177"/>
      <c r="B26" s="46"/>
      <c r="C26" s="46"/>
      <c r="D26" s="46"/>
      <c r="E26" s="160"/>
      <c r="F26" s="46"/>
      <c r="G26" s="160"/>
      <c r="H26" s="171"/>
      <c r="I26" s="172"/>
      <c r="J26" s="179"/>
      <c r="K26" s="46"/>
      <c r="L26" s="46"/>
      <c r="M26" s="174"/>
      <c r="N26" s="175"/>
      <c r="O26" s="165"/>
      <c r="P26" s="178"/>
      <c r="Q26" s="68"/>
      <c r="R26" s="160"/>
      <c r="S26" s="160"/>
      <c r="T26" s="160"/>
      <c r="U26" s="160"/>
      <c r="V26" s="167"/>
      <c r="W26" s="168"/>
      <c r="X26" s="160"/>
    </row>
    <row r="27" spans="1:24" ht="28.5" customHeight="1" x14ac:dyDescent="0.35">
      <c r="A27" s="177"/>
      <c r="B27" s="46"/>
      <c r="C27" s="46"/>
      <c r="D27" s="46"/>
      <c r="E27" s="160"/>
      <c r="F27" s="46"/>
      <c r="G27" s="160"/>
      <c r="H27" s="171"/>
      <c r="I27" s="172"/>
      <c r="J27" s="179"/>
      <c r="K27" s="46"/>
      <c r="L27" s="46"/>
      <c r="M27" s="174"/>
      <c r="N27" s="175"/>
      <c r="O27" s="165"/>
      <c r="P27" s="178"/>
      <c r="Q27" s="68"/>
      <c r="R27" s="160"/>
      <c r="S27" s="160"/>
      <c r="T27" s="160"/>
      <c r="U27" s="160"/>
      <c r="V27" s="167"/>
      <c r="W27" s="168"/>
      <c r="X27" s="160"/>
    </row>
    <row r="28" spans="1:24" ht="28.5" customHeight="1" x14ac:dyDescent="0.35">
      <c r="A28" s="177"/>
      <c r="B28" s="46"/>
      <c r="C28" s="46"/>
      <c r="D28" s="46"/>
      <c r="E28" s="160"/>
      <c r="F28" s="46"/>
      <c r="G28" s="160"/>
      <c r="H28" s="171"/>
      <c r="I28" s="172"/>
      <c r="J28" s="179"/>
      <c r="K28" s="46"/>
      <c r="L28" s="46"/>
      <c r="M28" s="174"/>
      <c r="N28" s="175"/>
      <c r="O28" s="165"/>
      <c r="P28" s="178"/>
      <c r="Q28" s="68"/>
      <c r="R28" s="160"/>
      <c r="S28" s="160"/>
      <c r="T28" s="160"/>
      <c r="U28" s="160"/>
      <c r="V28" s="167"/>
      <c r="W28" s="168"/>
      <c r="X28" s="160"/>
    </row>
    <row r="29" spans="1:24" ht="28.5" customHeight="1" x14ac:dyDescent="0.35">
      <c r="A29" s="177"/>
      <c r="B29" s="46"/>
      <c r="C29" s="46"/>
      <c r="D29" s="46"/>
      <c r="E29" s="160"/>
      <c r="F29" s="46"/>
      <c r="G29" s="160"/>
      <c r="H29" s="171"/>
      <c r="I29" s="172"/>
      <c r="J29" s="179"/>
      <c r="K29" s="46"/>
      <c r="L29" s="46"/>
      <c r="M29" s="174"/>
      <c r="N29" s="175"/>
      <c r="O29" s="165"/>
      <c r="P29" s="178"/>
      <c r="Q29" s="68"/>
      <c r="R29" s="160"/>
      <c r="S29" s="160"/>
      <c r="T29" s="160"/>
      <c r="U29" s="160"/>
      <c r="V29" s="167"/>
      <c r="W29" s="168"/>
      <c r="X29" s="160"/>
    </row>
    <row r="30" spans="1:24" ht="28.5" customHeight="1" x14ac:dyDescent="0.35">
      <c r="A30" s="177"/>
      <c r="B30" s="46"/>
      <c r="C30" s="46"/>
      <c r="D30" s="46"/>
      <c r="E30" s="160"/>
      <c r="F30" s="46"/>
      <c r="G30" s="160"/>
      <c r="H30" s="171"/>
      <c r="I30" s="172"/>
      <c r="J30" s="179"/>
      <c r="K30" s="46"/>
      <c r="L30" s="46"/>
      <c r="M30" s="174"/>
      <c r="N30" s="175"/>
      <c r="O30" s="165"/>
      <c r="P30" s="178"/>
      <c r="Q30" s="68"/>
      <c r="R30" s="160"/>
      <c r="S30" s="160"/>
      <c r="T30" s="160"/>
      <c r="U30" s="160"/>
      <c r="V30" s="167"/>
      <c r="W30" s="168"/>
      <c r="X30" s="160"/>
    </row>
    <row r="31" spans="1:24" ht="28.5" customHeight="1" x14ac:dyDescent="0.35">
      <c r="A31" s="177"/>
      <c r="B31" s="46"/>
      <c r="C31" s="46"/>
      <c r="D31" s="46"/>
      <c r="E31" s="160"/>
      <c r="F31" s="46"/>
      <c r="G31" s="160"/>
      <c r="H31" s="171"/>
      <c r="I31" s="172"/>
      <c r="J31" s="179"/>
      <c r="K31" s="46"/>
      <c r="L31" s="46"/>
      <c r="M31" s="174"/>
      <c r="N31" s="175"/>
      <c r="O31" s="165"/>
      <c r="P31" s="178"/>
      <c r="Q31" s="68"/>
      <c r="R31" s="160"/>
      <c r="S31" s="160"/>
      <c r="T31" s="160"/>
      <c r="U31" s="160"/>
      <c r="V31" s="167"/>
      <c r="W31" s="168"/>
      <c r="X31" s="160"/>
    </row>
    <row r="32" spans="1:24" ht="28.5" customHeight="1" x14ac:dyDescent="0.35">
      <c r="A32" s="177"/>
      <c r="B32" s="46"/>
      <c r="C32" s="46"/>
      <c r="D32" s="46"/>
      <c r="E32" s="160"/>
      <c r="F32" s="46"/>
      <c r="G32" s="160"/>
      <c r="H32" s="171"/>
      <c r="I32" s="172"/>
      <c r="J32" s="179"/>
      <c r="K32" s="46"/>
      <c r="L32" s="46"/>
      <c r="M32" s="174"/>
      <c r="N32" s="175"/>
      <c r="O32" s="165"/>
      <c r="P32" s="178"/>
      <c r="Q32" s="68"/>
      <c r="R32" s="160"/>
      <c r="S32" s="160"/>
      <c r="T32" s="160"/>
      <c r="U32" s="160"/>
      <c r="V32" s="167"/>
      <c r="W32" s="168"/>
      <c r="X32" s="160"/>
    </row>
    <row r="33" spans="1:24" ht="28.5" customHeight="1" x14ac:dyDescent="0.35">
      <c r="A33" s="177"/>
      <c r="B33" s="46"/>
      <c r="C33" s="46"/>
      <c r="D33" s="46"/>
      <c r="E33" s="160"/>
      <c r="F33" s="46"/>
      <c r="G33" s="160"/>
      <c r="H33" s="171"/>
      <c r="I33" s="172"/>
      <c r="J33" s="179"/>
      <c r="K33" s="46"/>
      <c r="L33" s="46"/>
      <c r="M33" s="174"/>
      <c r="N33" s="175"/>
      <c r="O33" s="165"/>
      <c r="P33" s="178"/>
      <c r="Q33" s="68"/>
      <c r="R33" s="160"/>
      <c r="S33" s="160"/>
      <c r="T33" s="160"/>
      <c r="U33" s="160"/>
      <c r="V33" s="167"/>
      <c r="W33" s="168"/>
      <c r="X33" s="160"/>
    </row>
    <row r="34" spans="1:24" ht="16" thickBot="1" x14ac:dyDescent="0.4">
      <c r="A34" s="180"/>
      <c r="B34" s="181"/>
      <c r="C34" s="181"/>
      <c r="D34" s="181"/>
      <c r="E34" s="182"/>
      <c r="F34" s="181"/>
      <c r="G34" s="182"/>
      <c r="H34" s="183"/>
      <c r="I34" s="172"/>
      <c r="J34" s="184"/>
      <c r="K34" s="185"/>
      <c r="L34" s="185"/>
      <c r="M34" s="186"/>
      <c r="N34" s="187"/>
      <c r="O34" s="165"/>
      <c r="P34" s="188"/>
      <c r="Q34" s="606"/>
      <c r="R34" s="189"/>
      <c r="S34" s="189"/>
      <c r="T34" s="189"/>
      <c r="U34" s="189"/>
      <c r="V34" s="190"/>
      <c r="W34" s="191"/>
      <c r="X34" s="192"/>
    </row>
    <row r="35" spans="1:24" ht="16" thickTop="1" x14ac:dyDescent="0.35"/>
  </sheetData>
  <mergeCells count="4">
    <mergeCell ref="A2:X2"/>
    <mergeCell ref="A8:H8"/>
    <mergeCell ref="J8:N8"/>
    <mergeCell ref="P8:V8"/>
  </mergeCells>
  <conditionalFormatting sqref="P10:P19">
    <cfRule type="cellIs" dxfId="15" priority="23" operator="equal">
      <formula>"dt"</formula>
    </cfRule>
    <cfRule type="containsText" dxfId="14" priority="24" operator="containsText" text="non">
      <formula>NOT(ISERROR(SEARCH("non",P10)))</formula>
    </cfRule>
    <cfRule type="containsText" dxfId="13" priority="25" operator="containsText" text="oui">
      <formula>NOT(ISERROR(SEARCH("oui",P10)))</formula>
    </cfRule>
  </conditionalFormatting>
  <conditionalFormatting sqref="Q10:Q33">
    <cfRule type="containsText" dxfId="12" priority="19" operator="containsText" text="demande">
      <formula>NOT(ISERROR(SEARCH("demande",Q10)))</formula>
    </cfRule>
    <cfRule type="containsText" dxfId="11" priority="20" operator="containsText" text="non">
      <formula>NOT(ISERROR(SEARCH("non",Q10)))</formula>
    </cfRule>
    <cfRule type="containsText" dxfId="10" priority="21" operator="containsText" text="oui">
      <formula>NOT(ISERROR(SEARCH("oui",Q10)))</formula>
    </cfRule>
  </conditionalFormatting>
  <conditionalFormatting sqref="R10:R15">
    <cfRule type="containsText" dxfId="9" priority="1" operator="containsText" text="demande">
      <formula>NOT(ISERROR(SEARCH("demande",R10)))</formula>
    </cfRule>
    <cfRule type="containsText" dxfId="8" priority="2" operator="containsText" text="non">
      <formula>NOT(ISERROR(SEARCH("non",R10)))</formula>
    </cfRule>
    <cfRule type="containsText" dxfId="7" priority="3" operator="containsText" text="oui">
      <formula>NOT(ISERROR(SEARCH("oui",R10)))</formula>
    </cfRule>
  </conditionalFormatting>
  <conditionalFormatting sqref="S10:S15">
    <cfRule type="containsText" dxfId="6" priority="22" operator="containsText" text="rien">
      <formula>NOT(ISERROR(SEARCH("rien",S10)))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830FA-E7D7-46F6-92A9-DC5F9270D1FF}">
  <dimension ref="A2:GY83"/>
  <sheetViews>
    <sheetView zoomScale="85" zoomScaleNormal="85" workbookViewId="0">
      <pane xSplit="5" ySplit="22" topLeftCell="G32" activePane="bottomRight" state="frozen"/>
      <selection pane="topRight" activeCell="F1" sqref="F1"/>
      <selection pane="bottomLeft" activeCell="A23" sqref="A23"/>
      <selection pane="bottomRight" activeCell="AM16" sqref="AM16"/>
    </sheetView>
  </sheetViews>
  <sheetFormatPr baseColWidth="10" defaultColWidth="11.453125" defaultRowHeight="15.5" x14ac:dyDescent="0.35"/>
  <cols>
    <col min="1" max="1" width="11.453125" style="482"/>
    <col min="2" max="2" width="15.7265625" style="483" customWidth="1"/>
    <col min="3" max="3" width="25.26953125" style="484" customWidth="1"/>
    <col min="4" max="4" width="39.81640625" style="485" bestFit="1" customWidth="1"/>
    <col min="5" max="6" width="28.26953125" style="485" customWidth="1"/>
    <col min="7" max="7" width="13.54296875" style="485" bestFit="1" customWidth="1"/>
    <col min="8" max="10" width="15.7265625" style="486" customWidth="1"/>
    <col min="11" max="11" width="17.26953125" style="486" customWidth="1"/>
    <col min="12" max="12" width="41.54296875" style="486" bestFit="1" customWidth="1"/>
    <col min="13" max="13" width="33.453125" style="486" customWidth="1"/>
    <col min="14" max="14" width="4.81640625" style="484" bestFit="1" customWidth="1"/>
    <col min="15" max="28" width="5.26953125" style="484" customWidth="1"/>
    <col min="29" max="29" width="5.26953125" style="482" customWidth="1"/>
    <col min="30" max="36" width="5.26953125" style="484" customWidth="1"/>
    <col min="37" max="40" width="5.26953125" style="482" customWidth="1"/>
    <col min="41" max="47" width="5.26953125" style="487" customWidth="1"/>
    <col min="48" max="60" width="5.26953125" style="488" customWidth="1"/>
    <col min="61" max="65" width="5.26953125" style="484" customWidth="1"/>
    <col min="66" max="66" width="4.81640625" style="484" bestFit="1" customWidth="1"/>
    <col min="67" max="80" width="5.26953125" style="484" customWidth="1"/>
    <col min="81" max="81" width="5.26953125" style="482" customWidth="1"/>
    <col min="82" max="88" width="5.26953125" style="484" customWidth="1"/>
    <col min="89" max="93" width="5.26953125" style="482" customWidth="1"/>
    <col min="94" max="16384" width="11.453125" style="482"/>
  </cols>
  <sheetData>
    <row r="2" spans="1:93" ht="15.75" customHeight="1" x14ac:dyDescent="0.35">
      <c r="AP2" s="482"/>
      <c r="AQ2" s="482"/>
    </row>
    <row r="3" spans="1:93" ht="15.75" customHeight="1" x14ac:dyDescent="0.35">
      <c r="AP3" s="482"/>
      <c r="AQ3" s="482"/>
    </row>
    <row r="4" spans="1:93" x14ac:dyDescent="0.35">
      <c r="AP4" s="482"/>
      <c r="AQ4" s="482"/>
    </row>
    <row r="5" spans="1:93" x14ac:dyDescent="0.35">
      <c r="AP5" s="482"/>
      <c r="AQ5" s="482"/>
    </row>
    <row r="6" spans="1:93" x14ac:dyDescent="0.35">
      <c r="P6" s="489"/>
      <c r="T6" s="489"/>
      <c r="X6" s="489"/>
      <c r="AC6" s="484"/>
      <c r="AL6" s="484"/>
      <c r="AO6" s="490"/>
      <c r="AP6" s="482"/>
      <c r="AQ6" s="482"/>
      <c r="AR6" s="490"/>
      <c r="AS6" s="490"/>
      <c r="AT6" s="490"/>
      <c r="AU6" s="490"/>
      <c r="AV6" s="489"/>
      <c r="AW6" s="489"/>
      <c r="AX6" s="489"/>
      <c r="AY6" s="489"/>
      <c r="AZ6" s="489"/>
      <c r="BA6" s="489"/>
      <c r="BB6" s="489"/>
      <c r="BC6" s="489"/>
      <c r="BD6" s="489"/>
      <c r="BE6" s="489"/>
      <c r="BF6" s="489"/>
      <c r="BG6" s="491"/>
      <c r="BH6" s="489"/>
      <c r="BL6" s="489"/>
      <c r="BP6" s="489"/>
      <c r="BT6" s="489"/>
      <c r="BX6" s="489"/>
      <c r="CC6" s="484"/>
      <c r="CL6" s="484"/>
    </row>
    <row r="7" spans="1:93" x14ac:dyDescent="0.35">
      <c r="P7" s="489"/>
      <c r="T7" s="489"/>
      <c r="U7" s="484" t="s">
        <v>445</v>
      </c>
      <c r="X7" s="489"/>
      <c r="AC7" s="484"/>
      <c r="AL7" s="484"/>
      <c r="AO7" s="490"/>
      <c r="AP7" s="482"/>
      <c r="AQ7" s="482"/>
      <c r="AR7" s="490"/>
      <c r="AS7" s="490"/>
      <c r="AT7" s="490"/>
      <c r="AU7" s="490"/>
      <c r="AV7" s="489"/>
      <c r="AW7" s="489"/>
      <c r="AX7" s="489"/>
      <c r="AY7" s="489"/>
      <c r="AZ7" s="489"/>
      <c r="BA7" s="489"/>
      <c r="BB7" s="489"/>
      <c r="BC7" s="489"/>
      <c r="BD7" s="489"/>
      <c r="BE7" s="489"/>
      <c r="BF7" s="489"/>
      <c r="BG7" s="491"/>
      <c r="BH7" s="489"/>
      <c r="BL7" s="489"/>
      <c r="BP7" s="489"/>
      <c r="BT7" s="489"/>
      <c r="BX7" s="489"/>
      <c r="CC7" s="484"/>
      <c r="CL7" s="484"/>
    </row>
    <row r="8" spans="1:93" x14ac:dyDescent="0.35">
      <c r="P8" s="489"/>
      <c r="T8" s="489"/>
      <c r="X8" s="489"/>
      <c r="AC8" s="484"/>
      <c r="AL8" s="484"/>
      <c r="AO8" s="490"/>
      <c r="AP8" s="482"/>
      <c r="AQ8" s="482"/>
      <c r="AR8" s="490"/>
      <c r="AS8" s="490"/>
      <c r="AT8" s="490"/>
      <c r="AU8" s="490"/>
      <c r="AV8" s="489"/>
      <c r="AW8" s="489"/>
      <c r="AX8" s="489"/>
      <c r="AY8" s="489"/>
      <c r="AZ8" s="489"/>
      <c r="BA8" s="489"/>
      <c r="BB8" s="489"/>
      <c r="BC8" s="489"/>
      <c r="BD8" s="489"/>
      <c r="BE8" s="489"/>
      <c r="BF8" s="489"/>
      <c r="BG8" s="491"/>
      <c r="BH8" s="489"/>
      <c r="BL8" s="489"/>
      <c r="BP8" s="489"/>
      <c r="BT8" s="489"/>
      <c r="BX8" s="489"/>
      <c r="CC8" s="484"/>
      <c r="CL8" s="484"/>
    </row>
    <row r="9" spans="1:93" x14ac:dyDescent="0.35">
      <c r="P9" s="489"/>
      <c r="T9" s="489"/>
      <c r="X9" s="489"/>
      <c r="AC9" s="484"/>
      <c r="AL9" s="484"/>
      <c r="AO9" s="490"/>
      <c r="AP9" s="482"/>
      <c r="AQ9" s="482"/>
      <c r="AR9" s="490"/>
      <c r="AS9" s="490"/>
      <c r="AT9" s="490"/>
      <c r="AU9" s="490"/>
      <c r="AV9" s="489"/>
      <c r="AW9" s="489"/>
      <c r="AX9" s="489"/>
      <c r="AY9" s="489"/>
      <c r="AZ9" s="489"/>
      <c r="BA9" s="489"/>
      <c r="BB9" s="489"/>
      <c r="BC9" s="489"/>
      <c r="BD9" s="489"/>
      <c r="BE9" s="489"/>
      <c r="BF9" s="489"/>
      <c r="BG9" s="491"/>
      <c r="BH9" s="489"/>
      <c r="BL9" s="489"/>
      <c r="BP9" s="489"/>
      <c r="BT9" s="489"/>
      <c r="BX9" s="489"/>
      <c r="CC9" s="484"/>
      <c r="CL9" s="484"/>
    </row>
    <row r="10" spans="1:93" x14ac:dyDescent="0.35">
      <c r="P10" s="489"/>
      <c r="T10" s="489"/>
      <c r="X10" s="489"/>
      <c r="AC10" s="484"/>
      <c r="AL10" s="484"/>
      <c r="AO10" s="490"/>
      <c r="AP10" s="482"/>
      <c r="AQ10" s="482"/>
      <c r="AR10" s="490"/>
      <c r="AS10" s="490"/>
      <c r="AT10" s="490"/>
      <c r="AU10" s="490"/>
      <c r="AV10" s="489"/>
      <c r="AW10" s="489"/>
      <c r="AX10" s="489"/>
      <c r="AY10" s="489"/>
      <c r="AZ10" s="489"/>
      <c r="BA10" s="489"/>
      <c r="BB10" s="489"/>
      <c r="BC10" s="489"/>
      <c r="BD10" s="489"/>
      <c r="BE10" s="489"/>
      <c r="BF10" s="489"/>
      <c r="BG10" s="491"/>
      <c r="BH10" s="489"/>
      <c r="BL10" s="489"/>
      <c r="BP10" s="489"/>
      <c r="BT10" s="489"/>
      <c r="BX10" s="489"/>
      <c r="CC10" s="484"/>
      <c r="CL10" s="484"/>
    </row>
    <row r="11" spans="1:93" x14ac:dyDescent="0.35">
      <c r="P11" s="489"/>
      <c r="T11" s="489"/>
      <c r="X11" s="489"/>
      <c r="AC11" s="484"/>
      <c r="AL11" s="484"/>
      <c r="AO11" s="490"/>
      <c r="AP11" s="482"/>
      <c r="AQ11" s="482"/>
      <c r="AR11" s="490"/>
      <c r="AS11" s="490"/>
      <c r="AT11" s="490"/>
      <c r="AU11" s="490"/>
      <c r="AV11" s="489"/>
      <c r="AW11" s="489"/>
      <c r="AX11" s="489"/>
      <c r="AY11" s="489"/>
      <c r="AZ11" s="489"/>
      <c r="BA11" s="489"/>
      <c r="BB11" s="489"/>
      <c r="BC11" s="489"/>
      <c r="BD11" s="489"/>
      <c r="BE11" s="489"/>
      <c r="BF11" s="489"/>
      <c r="BG11" s="491"/>
      <c r="BH11" s="489"/>
      <c r="BL11" s="489"/>
      <c r="BP11" s="489"/>
      <c r="BT11" s="489"/>
      <c r="BX11" s="489"/>
      <c r="CC11" s="484"/>
      <c r="CL11" s="484"/>
    </row>
    <row r="12" spans="1:93" x14ac:dyDescent="0.35">
      <c r="P12" s="489"/>
      <c r="T12" s="489"/>
      <c r="X12" s="489"/>
      <c r="AC12" s="484"/>
      <c r="AL12" s="484"/>
      <c r="AO12" s="490"/>
      <c r="AP12" s="482"/>
      <c r="AQ12" s="482"/>
      <c r="AR12" s="490"/>
      <c r="AS12" s="490"/>
      <c r="AT12" s="490"/>
      <c r="AU12" s="490"/>
      <c r="AV12" s="489"/>
      <c r="AW12" s="489"/>
      <c r="AX12" s="489"/>
      <c r="AY12" s="489"/>
      <c r="AZ12" s="489"/>
      <c r="BA12" s="489"/>
      <c r="BB12" s="489"/>
      <c r="BC12" s="489"/>
      <c r="BD12" s="489"/>
      <c r="BE12" s="489"/>
      <c r="BF12" s="489"/>
      <c r="BG12" s="491"/>
      <c r="BH12" s="489"/>
      <c r="BL12" s="489"/>
      <c r="BP12" s="489"/>
      <c r="BT12" s="489"/>
      <c r="BX12" s="489"/>
      <c r="CC12" s="484"/>
      <c r="CL12" s="484"/>
    </row>
    <row r="13" spans="1:93" ht="105" customHeight="1" thickBot="1" x14ac:dyDescent="0.4">
      <c r="B13" s="492" t="s">
        <v>373</v>
      </c>
      <c r="C13" s="492"/>
      <c r="D13" s="492"/>
      <c r="E13" s="492"/>
      <c r="F13" s="492"/>
      <c r="G13" s="492"/>
      <c r="H13" s="493"/>
      <c r="I13" s="493"/>
      <c r="J13" s="493"/>
      <c r="K13" s="493"/>
      <c r="L13" s="493"/>
      <c r="M13" s="493"/>
      <c r="N13" s="489" t="s">
        <v>374</v>
      </c>
      <c r="P13" s="489" t="s">
        <v>375</v>
      </c>
      <c r="T13" s="489" t="s">
        <v>376</v>
      </c>
      <c r="X13" s="489" t="s">
        <v>377</v>
      </c>
      <c r="AC13" s="484" t="s">
        <v>378</v>
      </c>
      <c r="AG13" s="484" t="s">
        <v>379</v>
      </c>
      <c r="AL13" s="484" t="s">
        <v>380</v>
      </c>
      <c r="AO13" s="490"/>
      <c r="AP13" s="482"/>
      <c r="AQ13" s="482" t="s">
        <v>381</v>
      </c>
      <c r="AR13" s="490"/>
      <c r="AS13" s="490"/>
      <c r="AT13" s="490"/>
      <c r="AU13" s="490" t="s">
        <v>382</v>
      </c>
      <c r="AV13" s="489"/>
      <c r="AW13" s="489"/>
      <c r="AX13" s="489"/>
      <c r="AY13" s="489" t="s">
        <v>383</v>
      </c>
      <c r="AZ13" s="489"/>
      <c r="BA13" s="489"/>
      <c r="BB13" s="489"/>
      <c r="BC13" s="489" t="s">
        <v>384</v>
      </c>
      <c r="BD13" s="489"/>
      <c r="BE13" s="489"/>
      <c r="BF13" s="489"/>
      <c r="BG13" s="491"/>
      <c r="BH13" s="489" t="s">
        <v>385</v>
      </c>
      <c r="BL13" s="489" t="s">
        <v>374</v>
      </c>
      <c r="BP13" s="489" t="s">
        <v>375</v>
      </c>
      <c r="BT13" s="489" t="s">
        <v>376</v>
      </c>
      <c r="BX13" s="489" t="s">
        <v>377</v>
      </c>
      <c r="CC13" s="484" t="s">
        <v>378</v>
      </c>
      <c r="CG13" s="484" t="s">
        <v>379</v>
      </c>
      <c r="CL13" s="484" t="s">
        <v>380</v>
      </c>
    </row>
    <row r="14" spans="1:93" s="503" customFormat="1" ht="72.75" customHeight="1" thickBot="1" x14ac:dyDescent="0.4">
      <c r="A14" s="494" t="s">
        <v>386</v>
      </c>
      <c r="B14" s="495" t="s">
        <v>387</v>
      </c>
      <c r="C14" s="496" t="s">
        <v>388</v>
      </c>
      <c r="D14" s="496" t="s">
        <v>389</v>
      </c>
      <c r="E14" s="496" t="s">
        <v>390</v>
      </c>
      <c r="F14" s="497" t="s">
        <v>391</v>
      </c>
      <c r="G14" s="498" t="s">
        <v>392</v>
      </c>
      <c r="H14" s="496" t="s">
        <v>393</v>
      </c>
      <c r="I14" s="496" t="s">
        <v>394</v>
      </c>
      <c r="J14" s="497" t="s">
        <v>395</v>
      </c>
      <c r="K14" s="499" t="s">
        <v>396</v>
      </c>
      <c r="L14" s="499" t="s">
        <v>397</v>
      </c>
      <c r="M14" s="500" t="s">
        <v>398</v>
      </c>
      <c r="N14" s="501" t="s">
        <v>37</v>
      </c>
      <c r="O14" s="501" t="s">
        <v>38</v>
      </c>
      <c r="P14" s="501" t="s">
        <v>39</v>
      </c>
      <c r="Q14" s="501" t="s">
        <v>40</v>
      </c>
      <c r="R14" s="501" t="s">
        <v>41</v>
      </c>
      <c r="S14" s="501" t="s">
        <v>42</v>
      </c>
      <c r="T14" s="501" t="s">
        <v>43</v>
      </c>
      <c r="U14" s="501" t="s">
        <v>44</v>
      </c>
      <c r="V14" s="501" t="s">
        <v>45</v>
      </c>
      <c r="W14" s="501" t="s">
        <v>46</v>
      </c>
      <c r="X14" s="501" t="s">
        <v>47</v>
      </c>
      <c r="Y14" s="501" t="s">
        <v>48</v>
      </c>
      <c r="Z14" s="501" t="s">
        <v>49</v>
      </c>
      <c r="AA14" s="501" t="s">
        <v>50</v>
      </c>
      <c r="AB14" s="501" t="s">
        <v>51</v>
      </c>
      <c r="AC14" s="501" t="s">
        <v>52</v>
      </c>
      <c r="AD14" s="501" t="s">
        <v>53</v>
      </c>
      <c r="AE14" s="501" t="s">
        <v>54</v>
      </c>
      <c r="AF14" s="501" t="s">
        <v>55</v>
      </c>
      <c r="AG14" s="501" t="s">
        <v>56</v>
      </c>
      <c r="AH14" s="501" t="s">
        <v>57</v>
      </c>
      <c r="AI14" s="501" t="s">
        <v>58</v>
      </c>
      <c r="AJ14" s="501" t="s">
        <v>59</v>
      </c>
      <c r="AK14" s="501" t="s">
        <v>60</v>
      </c>
      <c r="AL14" s="501" t="s">
        <v>61</v>
      </c>
      <c r="AM14" s="501" t="s">
        <v>399</v>
      </c>
      <c r="AN14" s="501" t="s">
        <v>400</v>
      </c>
      <c r="AO14" s="501" t="s">
        <v>401</v>
      </c>
      <c r="AP14" s="501" t="s">
        <v>402</v>
      </c>
      <c r="AQ14" s="501" t="s">
        <v>403</v>
      </c>
      <c r="AR14" s="501" t="s">
        <v>404</v>
      </c>
      <c r="AS14" s="501" t="s">
        <v>405</v>
      </c>
      <c r="AT14" s="501" t="s">
        <v>406</v>
      </c>
      <c r="AU14" s="501" t="s">
        <v>407</v>
      </c>
      <c r="AV14" s="501" t="s">
        <v>408</v>
      </c>
      <c r="AW14" s="501" t="s">
        <v>409</v>
      </c>
      <c r="AX14" s="501" t="s">
        <v>410</v>
      </c>
      <c r="AY14" s="501" t="s">
        <v>411</v>
      </c>
      <c r="AZ14" s="501" t="s">
        <v>412</v>
      </c>
      <c r="BA14" s="501" t="s">
        <v>413</v>
      </c>
      <c r="BB14" s="501" t="s">
        <v>414</v>
      </c>
      <c r="BC14" s="501" t="s">
        <v>415</v>
      </c>
      <c r="BD14" s="501" t="s">
        <v>416</v>
      </c>
      <c r="BE14" s="501" t="s">
        <v>417</v>
      </c>
      <c r="BF14" s="501" t="s">
        <v>418</v>
      </c>
      <c r="BG14" s="501" t="s">
        <v>419</v>
      </c>
      <c r="BH14" s="501" t="s">
        <v>420</v>
      </c>
      <c r="BI14" s="501" t="s">
        <v>421</v>
      </c>
      <c r="BJ14" s="501" t="s">
        <v>422</v>
      </c>
      <c r="BK14" s="501" t="s">
        <v>423</v>
      </c>
      <c r="BL14" s="501" t="s">
        <v>35</v>
      </c>
      <c r="BM14" s="502" t="s">
        <v>36</v>
      </c>
      <c r="BN14" s="501" t="s">
        <v>37</v>
      </c>
      <c r="BO14" s="501" t="s">
        <v>38</v>
      </c>
      <c r="BP14" s="501" t="s">
        <v>39</v>
      </c>
      <c r="BQ14" s="501" t="s">
        <v>40</v>
      </c>
      <c r="BR14" s="501" t="s">
        <v>41</v>
      </c>
      <c r="BS14" s="501" t="s">
        <v>42</v>
      </c>
      <c r="BT14" s="501" t="s">
        <v>43</v>
      </c>
      <c r="BU14" s="501" t="s">
        <v>44</v>
      </c>
      <c r="BV14" s="501" t="s">
        <v>45</v>
      </c>
      <c r="BW14" s="501" t="s">
        <v>46</v>
      </c>
      <c r="BX14" s="501" t="s">
        <v>47</v>
      </c>
      <c r="BY14" s="501" t="s">
        <v>48</v>
      </c>
      <c r="BZ14" s="501" t="s">
        <v>49</v>
      </c>
      <c r="CA14" s="501" t="s">
        <v>50</v>
      </c>
      <c r="CB14" s="501" t="s">
        <v>51</v>
      </c>
      <c r="CC14" s="501" t="s">
        <v>52</v>
      </c>
      <c r="CD14" s="501" t="s">
        <v>53</v>
      </c>
      <c r="CE14" s="501" t="s">
        <v>54</v>
      </c>
      <c r="CF14" s="501" t="s">
        <v>55</v>
      </c>
      <c r="CG14" s="501" t="s">
        <v>56</v>
      </c>
      <c r="CH14" s="501" t="s">
        <v>57</v>
      </c>
      <c r="CI14" s="501" t="s">
        <v>58</v>
      </c>
      <c r="CJ14" s="501" t="s">
        <v>59</v>
      </c>
      <c r="CK14" s="501" t="s">
        <v>60</v>
      </c>
      <c r="CL14" s="501" t="s">
        <v>61</v>
      </c>
      <c r="CM14" s="501" t="s">
        <v>399</v>
      </c>
      <c r="CN14" s="501" t="s">
        <v>400</v>
      </c>
      <c r="CO14" s="502" t="s">
        <v>424</v>
      </c>
    </row>
    <row r="15" spans="1:93" ht="31.5" customHeight="1" x14ac:dyDescent="0.35">
      <c r="A15" s="504">
        <v>1</v>
      </c>
      <c r="B15" s="505" t="s">
        <v>360</v>
      </c>
      <c r="C15" s="506" t="s">
        <v>425</v>
      </c>
      <c r="D15" s="507" t="s">
        <v>426</v>
      </c>
      <c r="E15" s="507" t="s">
        <v>427</v>
      </c>
      <c r="F15" s="508" t="s">
        <v>428</v>
      </c>
      <c r="G15" s="508" t="s">
        <v>429</v>
      </c>
      <c r="H15" s="507" t="s">
        <v>165</v>
      </c>
      <c r="I15" s="507" t="s">
        <v>178</v>
      </c>
      <c r="J15" s="507" t="s">
        <v>430</v>
      </c>
      <c r="K15" s="509" t="s">
        <v>431</v>
      </c>
      <c r="L15" s="510" t="s">
        <v>432</v>
      </c>
      <c r="M15" s="511"/>
      <c r="N15" s="512"/>
      <c r="O15" s="513"/>
      <c r="P15" s="512"/>
      <c r="Q15" s="513"/>
      <c r="R15" s="513"/>
      <c r="S15" s="513"/>
      <c r="T15" s="513"/>
      <c r="U15" s="513"/>
      <c r="V15" s="513"/>
      <c r="W15" s="513"/>
      <c r="X15" s="514"/>
      <c r="Y15" s="515"/>
      <c r="Z15" s="515"/>
      <c r="AA15" s="516"/>
      <c r="AB15" s="517"/>
      <c r="AC15" s="517"/>
      <c r="AD15" s="517"/>
      <c r="AE15" s="517"/>
      <c r="AF15" s="517"/>
      <c r="AG15" s="517"/>
      <c r="AH15" s="518"/>
      <c r="AI15" s="518"/>
      <c r="AJ15" s="518"/>
      <c r="AK15" s="518"/>
      <c r="AL15" s="519"/>
      <c r="AM15" s="513"/>
      <c r="AN15" s="513"/>
      <c r="AO15" s="513"/>
      <c r="AP15" s="513"/>
      <c r="AQ15" s="513"/>
      <c r="AR15" s="513"/>
      <c r="AS15" s="513"/>
      <c r="AT15" s="513"/>
      <c r="AU15" s="513"/>
      <c r="AV15" s="513"/>
      <c r="AW15" s="513"/>
      <c r="AX15" s="513"/>
      <c r="AY15" s="513"/>
      <c r="AZ15" s="513"/>
      <c r="BA15" s="513"/>
      <c r="BB15" s="513"/>
      <c r="BC15" s="513"/>
      <c r="BD15" s="513"/>
      <c r="BE15" s="513"/>
      <c r="BF15" s="513"/>
      <c r="BG15" s="513"/>
      <c r="BH15" s="513"/>
      <c r="BI15" s="513"/>
      <c r="BJ15" s="513"/>
      <c r="BK15" s="513"/>
      <c r="BL15" s="513"/>
      <c r="BM15" s="513"/>
      <c r="BN15" s="513"/>
      <c r="BO15" s="513"/>
      <c r="BP15" s="513"/>
      <c r="BQ15" s="513"/>
      <c r="BR15" s="513"/>
      <c r="BS15" s="513"/>
      <c r="BT15" s="513"/>
      <c r="BU15" s="513"/>
      <c r="BV15" s="513"/>
      <c r="BW15" s="513"/>
      <c r="BX15" s="520"/>
      <c r="BY15" s="513"/>
      <c r="BZ15" s="513"/>
      <c r="CA15" s="513"/>
      <c r="CB15" s="513"/>
      <c r="CC15" s="513"/>
      <c r="CD15" s="513"/>
      <c r="CE15" s="513"/>
      <c r="CF15" s="513"/>
      <c r="CG15" s="513"/>
      <c r="CH15" s="513"/>
      <c r="CI15" s="513"/>
      <c r="CJ15" s="513"/>
      <c r="CK15" s="513"/>
      <c r="CL15" s="513"/>
      <c r="CM15" s="513"/>
      <c r="CN15" s="513"/>
      <c r="CO15" s="521"/>
    </row>
    <row r="16" spans="1:93" ht="31.5" customHeight="1" x14ac:dyDescent="0.35">
      <c r="A16" s="504">
        <v>1</v>
      </c>
      <c r="B16" s="522" t="s">
        <v>366</v>
      </c>
      <c r="C16" s="523" t="s">
        <v>66</v>
      </c>
      <c r="D16" s="524" t="s">
        <v>433</v>
      </c>
      <c r="E16" s="524" t="s">
        <v>427</v>
      </c>
      <c r="F16" s="525" t="s">
        <v>428</v>
      </c>
      <c r="G16" s="525" t="s">
        <v>429</v>
      </c>
      <c r="H16" s="524" t="s">
        <v>165</v>
      </c>
      <c r="I16" s="524" t="s">
        <v>178</v>
      </c>
      <c r="J16" s="524" t="s">
        <v>178</v>
      </c>
      <c r="K16" s="524"/>
      <c r="L16" s="525" t="s">
        <v>434</v>
      </c>
      <c r="M16" s="526"/>
      <c r="N16" s="527"/>
      <c r="O16" s="528"/>
      <c r="P16" s="527"/>
      <c r="Q16" s="528"/>
      <c r="R16" s="528"/>
      <c r="S16" s="528"/>
      <c r="T16" s="528"/>
      <c r="U16" s="528"/>
      <c r="V16" s="528"/>
      <c r="W16" s="528"/>
      <c r="X16" s="529"/>
      <c r="Y16" s="529"/>
      <c r="Z16" s="515"/>
      <c r="AA16" s="530"/>
      <c r="AB16" s="530"/>
      <c r="AC16" s="530"/>
      <c r="AD16" s="531"/>
      <c r="AE16" s="532"/>
      <c r="AF16" s="533"/>
      <c r="AG16" s="534"/>
      <c r="AH16" s="533"/>
      <c r="AI16" s="534"/>
      <c r="AJ16" s="533"/>
      <c r="AK16" s="528"/>
      <c r="AL16" s="528"/>
      <c r="AM16" s="528"/>
      <c r="AN16" s="528"/>
      <c r="AO16" s="535"/>
      <c r="AP16" s="535"/>
      <c r="AQ16" s="535"/>
      <c r="AR16" s="535"/>
      <c r="AS16" s="536"/>
      <c r="AT16" s="528"/>
      <c r="AU16" s="528"/>
      <c r="AV16" s="528"/>
      <c r="AW16" s="528"/>
      <c r="AX16" s="528"/>
      <c r="AY16" s="528"/>
      <c r="AZ16" s="528"/>
      <c r="BA16" s="528"/>
      <c r="BB16" s="528"/>
      <c r="BC16" s="528"/>
      <c r="BD16" s="528"/>
      <c r="BE16" s="528"/>
      <c r="BF16" s="528"/>
      <c r="BG16" s="528"/>
      <c r="BH16" s="528"/>
      <c r="BI16" s="528"/>
      <c r="BJ16" s="528"/>
      <c r="BK16" s="528"/>
      <c r="BL16" s="528"/>
      <c r="BM16" s="528"/>
      <c r="BN16" s="528"/>
      <c r="BO16" s="528"/>
      <c r="BP16" s="528"/>
      <c r="BQ16" s="528"/>
      <c r="BR16" s="528"/>
      <c r="BS16" s="528"/>
      <c r="BT16" s="528"/>
      <c r="BU16" s="528"/>
      <c r="BV16" s="528"/>
      <c r="BW16" s="528"/>
      <c r="BX16" s="537"/>
      <c r="BY16" s="528"/>
      <c r="BZ16" s="528"/>
      <c r="CA16" s="528"/>
      <c r="CB16" s="528"/>
      <c r="CC16" s="528"/>
      <c r="CD16" s="528"/>
      <c r="CE16" s="528"/>
      <c r="CF16" s="528"/>
      <c r="CG16" s="528"/>
      <c r="CH16" s="528"/>
      <c r="CI16" s="528"/>
      <c r="CJ16" s="528"/>
      <c r="CK16" s="528"/>
      <c r="CL16" s="528"/>
      <c r="CM16" s="528"/>
      <c r="CN16" s="528"/>
      <c r="CO16" s="538"/>
    </row>
    <row r="17" spans="1:93" ht="31.5" customHeight="1" x14ac:dyDescent="0.35">
      <c r="A17" s="504">
        <v>1</v>
      </c>
      <c r="B17" s="522" t="s">
        <v>368</v>
      </c>
      <c r="C17" s="523" t="s">
        <v>67</v>
      </c>
      <c r="D17" s="524" t="s">
        <v>435</v>
      </c>
      <c r="E17" s="524" t="s">
        <v>436</v>
      </c>
      <c r="F17" s="525" t="s">
        <v>428</v>
      </c>
      <c r="G17" s="525" t="s">
        <v>437</v>
      </c>
      <c r="H17" s="524" t="s">
        <v>165</v>
      </c>
      <c r="I17" s="524" t="s">
        <v>178</v>
      </c>
      <c r="J17" s="524" t="s">
        <v>178</v>
      </c>
      <c r="K17" s="524"/>
      <c r="L17" s="525" t="s">
        <v>432</v>
      </c>
      <c r="M17" s="526"/>
      <c r="N17" s="527"/>
      <c r="O17" s="528"/>
      <c r="P17" s="527"/>
      <c r="Q17" s="528"/>
      <c r="R17" s="539"/>
      <c r="S17" s="539"/>
      <c r="T17" s="539"/>
      <c r="U17" s="539"/>
      <c r="V17" s="539"/>
      <c r="W17" s="539"/>
      <c r="X17" s="539"/>
      <c r="Y17" s="539"/>
      <c r="Z17" s="539"/>
      <c r="AA17" s="539"/>
      <c r="AB17" s="539"/>
      <c r="AC17" s="539"/>
      <c r="AD17" s="539"/>
      <c r="AE17" s="540"/>
      <c r="AF17" s="541"/>
      <c r="AG17" s="541"/>
      <c r="AH17" s="542"/>
      <c r="AI17" s="543"/>
      <c r="AJ17" s="544"/>
      <c r="AK17" s="545"/>
      <c r="AL17" s="546"/>
      <c r="AM17" s="539"/>
      <c r="AN17" s="539"/>
      <c r="AO17" s="539"/>
      <c r="AP17" s="539"/>
      <c r="AQ17" s="539"/>
      <c r="AR17" s="539"/>
      <c r="AS17" s="539"/>
      <c r="AT17" s="539"/>
      <c r="AU17" s="539"/>
      <c r="AV17" s="539"/>
      <c r="AW17" s="539"/>
      <c r="AX17" s="539"/>
      <c r="AY17" s="539"/>
      <c r="AZ17" s="539"/>
      <c r="BA17" s="539"/>
      <c r="BB17" s="539"/>
      <c r="BC17" s="539"/>
      <c r="BD17" s="539"/>
      <c r="BE17" s="539"/>
      <c r="BF17" s="539"/>
      <c r="BG17" s="539"/>
      <c r="BH17" s="539"/>
      <c r="BI17" s="539"/>
      <c r="BJ17" s="539"/>
      <c r="BK17" s="528"/>
      <c r="BL17" s="528"/>
      <c r="BM17" s="528"/>
      <c r="BN17" s="528"/>
      <c r="BO17" s="528"/>
      <c r="BP17" s="528"/>
      <c r="BQ17" s="528"/>
      <c r="BR17" s="528"/>
      <c r="BS17" s="528"/>
      <c r="BT17" s="528"/>
      <c r="BU17" s="528"/>
      <c r="BV17" s="528"/>
      <c r="BW17" s="528"/>
      <c r="BX17" s="537"/>
      <c r="BY17" s="528"/>
      <c r="BZ17" s="528"/>
      <c r="CA17" s="528"/>
      <c r="CB17" s="528"/>
      <c r="CC17" s="528"/>
      <c r="CD17" s="528"/>
      <c r="CE17" s="528"/>
      <c r="CF17" s="528"/>
      <c r="CG17" s="528"/>
      <c r="CH17" s="528"/>
      <c r="CI17" s="528"/>
      <c r="CJ17" s="528"/>
      <c r="CK17" s="528"/>
      <c r="CL17" s="528"/>
      <c r="CM17" s="528"/>
      <c r="CN17" s="528"/>
      <c r="CO17" s="538"/>
    </row>
    <row r="18" spans="1:93" ht="31.5" customHeight="1" x14ac:dyDescent="0.35">
      <c r="A18" s="547">
        <v>2</v>
      </c>
      <c r="B18" s="548" t="s">
        <v>370</v>
      </c>
      <c r="C18" s="549" t="s">
        <v>65</v>
      </c>
      <c r="D18" s="550" t="s">
        <v>438</v>
      </c>
      <c r="E18" s="550" t="s">
        <v>427</v>
      </c>
      <c r="F18" s="551" t="s">
        <v>428</v>
      </c>
      <c r="G18" s="551" t="s">
        <v>429</v>
      </c>
      <c r="H18" s="550" t="s">
        <v>165</v>
      </c>
      <c r="I18" s="550" t="s">
        <v>178</v>
      </c>
      <c r="J18" s="524" t="s">
        <v>439</v>
      </c>
      <c r="K18" s="524"/>
      <c r="L18" s="525" t="s">
        <v>440</v>
      </c>
      <c r="M18" s="526"/>
      <c r="N18" s="527"/>
      <c r="O18" s="528"/>
      <c r="P18" s="527"/>
      <c r="Q18" s="528"/>
      <c r="R18" s="528"/>
      <c r="S18" s="539"/>
      <c r="T18" s="539"/>
      <c r="U18" s="539"/>
      <c r="V18" s="539"/>
      <c r="W18" s="539"/>
      <c r="X18" s="539"/>
      <c r="Y18" s="539"/>
      <c r="Z18" s="539"/>
      <c r="AA18" s="539"/>
      <c r="AB18" s="539"/>
      <c r="AC18" s="539"/>
      <c r="AD18" s="539"/>
      <c r="AE18" s="539"/>
      <c r="AF18" s="539"/>
      <c r="AG18" s="539"/>
      <c r="AH18" s="540"/>
      <c r="AI18" s="541"/>
      <c r="AJ18" s="542"/>
      <c r="AK18" s="552"/>
      <c r="AL18" s="552"/>
      <c r="AM18" s="553"/>
      <c r="AN18" s="553"/>
      <c r="AO18" s="543"/>
      <c r="AP18" s="543"/>
      <c r="AQ18" s="543"/>
      <c r="AR18" s="543"/>
      <c r="AS18" s="543"/>
      <c r="AT18" s="543"/>
      <c r="AU18" s="545"/>
      <c r="AV18" s="545"/>
      <c r="AW18" s="545"/>
      <c r="AX18" s="545"/>
      <c r="AY18" s="546"/>
      <c r="AZ18" s="539"/>
      <c r="BA18" s="539"/>
      <c r="BB18" s="539"/>
      <c r="BC18" s="539"/>
      <c r="BD18" s="539"/>
      <c r="BE18" s="539"/>
      <c r="BF18" s="539"/>
      <c r="BG18" s="539"/>
      <c r="BH18" s="539"/>
      <c r="BI18" s="539"/>
      <c r="BJ18" s="539"/>
      <c r="BK18" s="528"/>
      <c r="BL18" s="528"/>
      <c r="BM18" s="528"/>
      <c r="BN18" s="528"/>
      <c r="BO18" s="528"/>
      <c r="BP18" s="528"/>
      <c r="BQ18" s="528"/>
      <c r="BR18" s="528"/>
      <c r="BS18" s="528"/>
      <c r="BT18" s="528"/>
      <c r="BU18" s="528"/>
      <c r="BV18" s="528"/>
      <c r="BW18" s="528"/>
      <c r="BX18" s="528"/>
      <c r="BY18" s="528"/>
      <c r="BZ18" s="528"/>
      <c r="CA18" s="528"/>
      <c r="CB18" s="528"/>
      <c r="CC18" s="528"/>
      <c r="CD18" s="528"/>
      <c r="CE18" s="528"/>
      <c r="CF18" s="528"/>
      <c r="CG18" s="528"/>
      <c r="CH18" s="528"/>
      <c r="CI18" s="528"/>
      <c r="CJ18" s="528"/>
      <c r="CK18" s="528"/>
      <c r="CL18" s="528"/>
      <c r="CM18" s="528"/>
      <c r="CN18" s="528"/>
      <c r="CO18" s="538"/>
    </row>
    <row r="19" spans="1:93" ht="31.5" customHeight="1" x14ac:dyDescent="0.35">
      <c r="A19" s="504">
        <v>2</v>
      </c>
      <c r="B19" s="522" t="s">
        <v>364</v>
      </c>
      <c r="C19" s="523" t="s">
        <v>365</v>
      </c>
      <c r="D19" s="524" t="s">
        <v>441</v>
      </c>
      <c r="E19" s="524" t="s">
        <v>436</v>
      </c>
      <c r="F19" s="525" t="s">
        <v>428</v>
      </c>
      <c r="G19" s="525" t="s">
        <v>437</v>
      </c>
      <c r="H19" s="524" t="s">
        <v>178</v>
      </c>
      <c r="I19" s="524" t="s">
        <v>178</v>
      </c>
      <c r="J19" s="524" t="s">
        <v>178</v>
      </c>
      <c r="K19" s="3"/>
      <c r="L19" s="5" t="s">
        <v>432</v>
      </c>
      <c r="M19" s="526"/>
      <c r="N19" s="527"/>
      <c r="O19" s="528"/>
      <c r="P19" s="527"/>
      <c r="Q19" s="528"/>
      <c r="R19" s="528"/>
      <c r="S19" s="528"/>
      <c r="T19" s="528"/>
      <c r="U19" s="528"/>
      <c r="V19" s="528"/>
      <c r="W19" s="528"/>
      <c r="X19" s="529"/>
      <c r="Y19" s="530"/>
      <c r="Z19" s="530"/>
      <c r="AA19" s="531"/>
      <c r="AB19" s="531"/>
      <c r="AC19" s="554"/>
      <c r="AD19" s="534"/>
      <c r="AE19" s="534"/>
      <c r="AF19" s="534"/>
      <c r="AG19" s="534"/>
      <c r="AH19" s="535"/>
      <c r="AI19" s="536"/>
      <c r="AJ19" s="528"/>
      <c r="AK19" s="528"/>
      <c r="AL19" s="528"/>
      <c r="AM19" s="528"/>
      <c r="AN19" s="528"/>
      <c r="AO19" s="528"/>
      <c r="AP19" s="528"/>
      <c r="AQ19" s="528"/>
      <c r="AR19" s="528"/>
      <c r="AS19" s="528"/>
      <c r="AT19" s="528"/>
      <c r="AU19" s="528"/>
      <c r="AV19" s="528"/>
      <c r="AW19" s="528"/>
      <c r="AX19" s="528"/>
      <c r="AY19" s="528"/>
      <c r="AZ19" s="528"/>
      <c r="BA19" s="528"/>
      <c r="BB19" s="528"/>
      <c r="BC19" s="528"/>
      <c r="BD19" s="539"/>
      <c r="BE19" s="539"/>
      <c r="BF19" s="539"/>
      <c r="BG19" s="528"/>
      <c r="BH19" s="528"/>
      <c r="BI19" s="528"/>
      <c r="BJ19" s="528"/>
      <c r="BK19" s="528"/>
      <c r="BL19" s="528"/>
      <c r="BM19" s="528"/>
      <c r="BN19" s="528"/>
      <c r="BO19" s="528"/>
      <c r="BP19" s="528"/>
      <c r="BQ19" s="528"/>
      <c r="BR19" s="528"/>
      <c r="BS19" s="528"/>
      <c r="BT19" s="528"/>
      <c r="BU19" s="528"/>
      <c r="BV19" s="528"/>
      <c r="BW19" s="528"/>
      <c r="BX19" s="537"/>
      <c r="BY19" s="528"/>
      <c r="BZ19" s="528"/>
      <c r="CA19" s="528"/>
      <c r="CB19" s="528"/>
      <c r="CC19" s="528"/>
      <c r="CD19" s="528"/>
      <c r="CE19" s="528"/>
      <c r="CF19" s="528"/>
      <c r="CG19" s="528"/>
      <c r="CH19" s="528"/>
      <c r="CI19" s="528"/>
      <c r="CJ19" s="528"/>
      <c r="CK19" s="555"/>
      <c r="CL19" s="555"/>
      <c r="CM19" s="555"/>
      <c r="CN19" s="555"/>
      <c r="CO19" s="556"/>
    </row>
    <row r="20" spans="1:93" ht="31.5" customHeight="1" thickBot="1" x14ac:dyDescent="0.4">
      <c r="A20" s="557">
        <v>3</v>
      </c>
      <c r="B20" s="558" t="s">
        <v>371</v>
      </c>
      <c r="C20" s="559" t="s">
        <v>68</v>
      </c>
      <c r="D20" s="560" t="s">
        <v>442</v>
      </c>
      <c r="E20" s="560" t="s">
        <v>436</v>
      </c>
      <c r="F20" s="561" t="s">
        <v>443</v>
      </c>
      <c r="G20" s="561" t="s">
        <v>437</v>
      </c>
      <c r="H20" s="560" t="s">
        <v>178</v>
      </c>
      <c r="I20" s="560" t="s">
        <v>178</v>
      </c>
      <c r="J20" s="560" t="s">
        <v>178</v>
      </c>
      <c r="K20" s="560"/>
      <c r="L20" s="562" t="s">
        <v>444</v>
      </c>
      <c r="M20" s="563"/>
      <c r="N20" s="564"/>
      <c r="O20" s="565"/>
      <c r="P20" s="564"/>
      <c r="Q20" s="565"/>
      <c r="R20" s="565"/>
      <c r="S20" s="566"/>
      <c r="T20" s="566"/>
      <c r="U20" s="566"/>
      <c r="V20" s="565"/>
      <c r="W20" s="565"/>
      <c r="X20" s="565"/>
      <c r="Y20" s="565"/>
      <c r="Z20" s="565"/>
      <c r="AA20" s="565"/>
      <c r="AB20" s="565"/>
      <c r="AC20" s="565"/>
      <c r="AD20" s="565"/>
      <c r="AE20" s="567"/>
      <c r="AF20" s="567"/>
      <c r="AG20" s="567"/>
      <c r="AH20" s="568"/>
      <c r="AI20" s="568"/>
      <c r="AJ20" s="569"/>
      <c r="AK20" s="570"/>
      <c r="AL20" s="570"/>
      <c r="AM20" s="571"/>
      <c r="AN20" s="571"/>
      <c r="AO20" s="568"/>
      <c r="AP20" s="572"/>
      <c r="AQ20" s="572"/>
      <c r="AR20" s="569"/>
      <c r="AS20" s="570"/>
      <c r="AT20" s="573"/>
      <c r="AU20" s="573"/>
      <c r="AV20" s="573"/>
      <c r="AW20" s="573"/>
      <c r="AX20" s="574"/>
      <c r="AY20" s="575"/>
      <c r="AZ20" s="576"/>
      <c r="BA20" s="576"/>
      <c r="BB20" s="576"/>
      <c r="BC20" s="576"/>
      <c r="BD20" s="576"/>
      <c r="BE20" s="576"/>
      <c r="BF20" s="576"/>
      <c r="BG20" s="576"/>
      <c r="BH20" s="576"/>
      <c r="BI20" s="576"/>
      <c r="BJ20" s="576"/>
      <c r="BK20" s="576"/>
      <c r="BL20" s="576"/>
      <c r="BM20" s="576"/>
      <c r="BN20" s="571"/>
      <c r="BO20" s="571"/>
      <c r="BP20" s="571"/>
      <c r="BQ20" s="571"/>
      <c r="BR20" s="571"/>
      <c r="BS20" s="571"/>
      <c r="BT20" s="571"/>
      <c r="BU20" s="571"/>
      <c r="BV20" s="571"/>
      <c r="BW20" s="571"/>
      <c r="BX20" s="571"/>
      <c r="BY20" s="565"/>
      <c r="BZ20" s="565"/>
      <c r="CA20" s="565"/>
      <c r="CB20" s="565"/>
      <c r="CC20" s="565"/>
      <c r="CD20" s="565"/>
      <c r="CE20" s="565"/>
      <c r="CF20" s="565"/>
      <c r="CG20" s="576"/>
      <c r="CH20" s="576"/>
      <c r="CI20" s="576"/>
      <c r="CJ20" s="576"/>
      <c r="CK20" s="576"/>
      <c r="CL20" s="576"/>
      <c r="CM20" s="576"/>
      <c r="CN20" s="576"/>
      <c r="CO20" s="577"/>
    </row>
    <row r="21" spans="1:93" ht="31.5" customHeight="1" x14ac:dyDescent="0.35">
      <c r="B21" s="578"/>
      <c r="C21" s="579"/>
      <c r="D21" s="580"/>
      <c r="E21" s="580"/>
      <c r="F21" s="580"/>
      <c r="G21" s="580"/>
      <c r="H21" s="580"/>
      <c r="I21" s="580"/>
      <c r="J21" s="580"/>
      <c r="K21" s="580"/>
      <c r="L21" s="580"/>
      <c r="M21" s="580"/>
      <c r="N21" s="581"/>
      <c r="O21" s="581"/>
      <c r="P21" s="581"/>
      <c r="Q21" s="581"/>
      <c r="R21" s="581"/>
      <c r="S21" s="581"/>
      <c r="T21" s="581"/>
      <c r="U21" s="581"/>
      <c r="V21" s="581"/>
      <c r="W21" s="581"/>
      <c r="X21" s="582"/>
      <c r="Y21" s="581"/>
      <c r="Z21" s="581"/>
      <c r="AA21" s="581"/>
      <c r="AB21" s="581"/>
      <c r="AC21" s="581"/>
      <c r="AD21" s="581"/>
      <c r="AE21" s="581"/>
      <c r="AF21" s="581"/>
      <c r="AG21" s="581"/>
      <c r="AH21" s="581"/>
      <c r="AI21" s="581"/>
      <c r="AJ21" s="581"/>
      <c r="AK21" s="581"/>
      <c r="AL21" s="581"/>
      <c r="AM21" s="581"/>
      <c r="AN21" s="581"/>
      <c r="AO21" s="581"/>
      <c r="AP21" s="582"/>
      <c r="AQ21" s="581"/>
      <c r="AR21" s="581"/>
      <c r="AS21" s="581"/>
      <c r="AT21" s="581"/>
      <c r="AU21" s="581"/>
      <c r="AV21" s="581"/>
      <c r="AW21" s="581"/>
      <c r="AX21" s="581"/>
      <c r="AY21" s="581"/>
      <c r="AZ21" s="581"/>
      <c r="BA21" s="581"/>
      <c r="BB21" s="581"/>
      <c r="BC21" s="581"/>
      <c r="BD21" s="581"/>
      <c r="BE21" s="581"/>
      <c r="BF21" s="581"/>
      <c r="BG21" s="581"/>
      <c r="BH21" s="581"/>
      <c r="BI21" s="581"/>
      <c r="BJ21" s="581"/>
      <c r="BK21" s="581"/>
      <c r="BL21" s="581"/>
      <c r="BM21" s="581"/>
      <c r="BN21" s="581"/>
      <c r="BO21" s="581"/>
      <c r="BP21" s="581"/>
      <c r="BQ21" s="581"/>
      <c r="BR21" s="581"/>
      <c r="BS21" s="581"/>
      <c r="BT21" s="581"/>
      <c r="BU21" s="581"/>
      <c r="BV21" s="581"/>
      <c r="BW21" s="581"/>
      <c r="BX21" s="582"/>
      <c r="BY21" s="581"/>
      <c r="BZ21" s="581"/>
      <c r="CA21" s="581"/>
      <c r="CB21" s="581"/>
      <c r="CC21" s="581"/>
      <c r="CD21" s="581"/>
      <c r="CE21" s="581"/>
      <c r="CF21" s="581"/>
      <c r="CG21" s="581"/>
      <c r="CH21" s="581"/>
      <c r="CI21" s="581"/>
      <c r="CJ21" s="581"/>
      <c r="CK21" s="581"/>
      <c r="CL21" s="581"/>
      <c r="CM21" s="581"/>
      <c r="CN21" s="581"/>
      <c r="CO21" s="581"/>
    </row>
    <row r="22" spans="1:93" ht="31.5" customHeight="1" x14ac:dyDescent="0.35">
      <c r="B22" s="578"/>
      <c r="C22" s="579"/>
      <c r="D22" s="580"/>
      <c r="E22" s="580"/>
      <c r="F22" s="580"/>
      <c r="G22" s="580"/>
      <c r="H22" s="580"/>
      <c r="I22" s="580"/>
      <c r="J22" s="580"/>
      <c r="K22" s="580"/>
      <c r="L22" s="580"/>
      <c r="M22" s="580"/>
      <c r="N22" s="581"/>
      <c r="O22" s="581"/>
      <c r="P22" s="581"/>
      <c r="Q22" s="581"/>
      <c r="R22" s="581"/>
      <c r="S22" s="581"/>
      <c r="T22" s="581"/>
      <c r="U22" s="581"/>
      <c r="V22" s="581"/>
      <c r="W22" s="581"/>
      <c r="X22" s="582"/>
      <c r="Y22" s="581"/>
      <c r="Z22" s="581"/>
      <c r="AA22" s="581"/>
      <c r="AB22" s="581"/>
      <c r="AC22" s="581"/>
      <c r="AD22" s="581"/>
      <c r="AE22" s="581"/>
      <c r="AF22" s="581"/>
      <c r="AG22" s="581"/>
      <c r="AH22" s="581"/>
      <c r="AI22" s="581"/>
      <c r="AJ22" s="581"/>
      <c r="AK22" s="581"/>
      <c r="AL22" s="581"/>
      <c r="AM22" s="581"/>
      <c r="AN22" s="581"/>
      <c r="AO22" s="581"/>
      <c r="AP22" s="581"/>
      <c r="AQ22" s="581"/>
      <c r="AR22" s="581"/>
      <c r="AS22" s="581"/>
      <c r="AT22" s="581"/>
      <c r="AU22" s="581"/>
      <c r="AV22" s="581"/>
      <c r="AW22" s="581"/>
      <c r="AX22" s="581"/>
      <c r="AY22" s="581"/>
      <c r="AZ22" s="581"/>
      <c r="BA22" s="581"/>
      <c r="BB22" s="581"/>
      <c r="BC22" s="581"/>
      <c r="BD22" s="581"/>
      <c r="BE22" s="581"/>
      <c r="BF22" s="581"/>
      <c r="BG22" s="581"/>
      <c r="BH22" s="581"/>
      <c r="BI22" s="581"/>
      <c r="BJ22" s="581"/>
      <c r="BK22" s="581"/>
      <c r="BL22" s="581"/>
      <c r="BM22" s="581"/>
      <c r="BN22" s="581"/>
      <c r="BO22" s="581"/>
      <c r="BP22" s="581"/>
      <c r="BQ22" s="581"/>
      <c r="BR22" s="581"/>
      <c r="BS22" s="581"/>
      <c r="BT22" s="581"/>
      <c r="BU22" s="581"/>
      <c r="BV22" s="581"/>
      <c r="BW22" s="581"/>
      <c r="BX22" s="582"/>
      <c r="BY22" s="581"/>
      <c r="BZ22" s="581"/>
      <c r="CA22" s="581"/>
      <c r="CB22" s="581"/>
      <c r="CC22" s="581"/>
      <c r="CD22" s="581"/>
      <c r="CE22" s="581"/>
      <c r="CF22" s="581"/>
      <c r="CG22" s="581"/>
      <c r="CH22" s="581"/>
      <c r="CI22" s="581"/>
      <c r="CJ22" s="581"/>
      <c r="CK22" s="581"/>
      <c r="CL22" s="581"/>
      <c r="CM22" s="581"/>
      <c r="CN22" s="581"/>
      <c r="CO22" s="581"/>
    </row>
    <row r="23" spans="1:93" ht="29.25" customHeight="1" x14ac:dyDescent="0.35">
      <c r="B23" s="578"/>
      <c r="C23" s="579"/>
      <c r="D23" s="580"/>
      <c r="E23" s="580"/>
      <c r="F23" s="580"/>
      <c r="G23" s="580"/>
      <c r="H23" s="580"/>
      <c r="I23" s="580"/>
      <c r="J23" s="580"/>
      <c r="K23" s="580"/>
      <c r="L23" s="580"/>
      <c r="M23" s="580"/>
      <c r="N23" s="581"/>
      <c r="O23" s="581"/>
      <c r="P23" s="581"/>
      <c r="Q23" s="581"/>
      <c r="R23" s="581"/>
      <c r="S23" s="581"/>
      <c r="T23" s="581"/>
      <c r="U23" s="581"/>
      <c r="V23" s="581"/>
      <c r="W23" s="581"/>
      <c r="X23" s="582"/>
      <c r="Y23" s="581"/>
      <c r="Z23" s="581"/>
      <c r="AA23" s="581"/>
      <c r="AB23" s="581"/>
      <c r="AC23" s="581"/>
      <c r="AD23" s="581"/>
      <c r="AE23" s="581"/>
      <c r="AF23" s="581"/>
      <c r="AG23" s="581"/>
      <c r="AH23" s="581"/>
      <c r="AI23" s="581"/>
      <c r="AJ23" s="581"/>
      <c r="AK23" s="581"/>
      <c r="AL23" s="581"/>
      <c r="AM23" s="581"/>
      <c r="AN23" s="581"/>
      <c r="AO23" s="581"/>
      <c r="AP23" s="582"/>
      <c r="AQ23" s="581"/>
      <c r="AR23" s="581"/>
      <c r="AS23" s="581"/>
      <c r="AT23" s="581"/>
      <c r="AU23" s="581"/>
      <c r="AV23" s="581"/>
      <c r="AW23" s="581"/>
      <c r="AX23" s="581"/>
      <c r="AY23" s="581"/>
      <c r="AZ23" s="581"/>
      <c r="BA23" s="581"/>
      <c r="BB23" s="581"/>
      <c r="BC23" s="581"/>
      <c r="BD23" s="581"/>
      <c r="BE23" s="581"/>
      <c r="BF23" s="581"/>
      <c r="BG23" s="581"/>
      <c r="BH23" s="581"/>
      <c r="BI23" s="581"/>
      <c r="BJ23" s="581"/>
      <c r="BK23" s="581"/>
      <c r="BL23" s="581"/>
      <c r="BM23" s="581"/>
      <c r="BN23" s="581"/>
      <c r="BO23" s="581"/>
      <c r="BP23" s="581"/>
      <c r="BQ23" s="581"/>
      <c r="BR23" s="581"/>
      <c r="BS23" s="581"/>
      <c r="BT23" s="581"/>
      <c r="BU23" s="581"/>
      <c r="BV23" s="581"/>
      <c r="BW23" s="581"/>
      <c r="BX23" s="582"/>
      <c r="BY23" s="581"/>
      <c r="BZ23" s="581"/>
      <c r="CA23" s="581"/>
      <c r="CB23" s="581"/>
      <c r="CC23" s="581"/>
      <c r="CD23" s="581"/>
      <c r="CE23" s="581"/>
      <c r="CF23" s="581"/>
      <c r="CG23" s="581"/>
      <c r="CH23" s="581"/>
      <c r="CI23" s="581"/>
      <c r="CJ23" s="581"/>
      <c r="CK23" s="581"/>
      <c r="CL23" s="581"/>
      <c r="CM23" s="581"/>
      <c r="CN23" s="581"/>
      <c r="CO23" s="581"/>
    </row>
    <row r="24" spans="1:93" ht="29.25" customHeight="1" x14ac:dyDescent="0.35">
      <c r="B24" s="578"/>
      <c r="C24" s="579"/>
      <c r="D24" s="580"/>
      <c r="E24" s="580"/>
      <c r="F24" s="580"/>
      <c r="G24" s="580"/>
      <c r="H24" s="580"/>
      <c r="I24" s="580"/>
      <c r="J24" s="580"/>
      <c r="K24" s="580"/>
      <c r="L24" s="580"/>
      <c r="M24" s="580"/>
      <c r="N24" s="581"/>
      <c r="O24" s="581"/>
      <c r="P24" s="581"/>
      <c r="Q24" s="581"/>
      <c r="R24" s="581"/>
      <c r="S24" s="581"/>
      <c r="T24" s="581"/>
      <c r="U24" s="581"/>
      <c r="V24" s="581"/>
      <c r="W24" s="581"/>
      <c r="X24" s="581"/>
      <c r="Y24" s="581"/>
      <c r="Z24" s="581"/>
      <c r="AA24" s="581"/>
      <c r="AB24" s="581"/>
      <c r="AC24" s="581"/>
      <c r="AD24" s="581"/>
      <c r="AE24" s="581"/>
      <c r="AF24" s="581"/>
      <c r="AG24" s="581"/>
      <c r="AH24" s="581"/>
      <c r="AI24" s="581"/>
      <c r="AJ24" s="581"/>
      <c r="AK24" s="581"/>
      <c r="AL24" s="581"/>
      <c r="AM24" s="581"/>
      <c r="AN24" s="581"/>
      <c r="AO24" s="581"/>
      <c r="AP24" s="581"/>
      <c r="AQ24" s="581"/>
      <c r="AR24" s="582"/>
      <c r="AS24" s="581"/>
      <c r="AT24" s="581"/>
      <c r="AU24" s="581"/>
      <c r="AV24" s="581"/>
      <c r="AW24" s="581"/>
      <c r="AX24" s="581"/>
      <c r="AY24" s="581"/>
      <c r="AZ24" s="581"/>
      <c r="BA24" s="581"/>
      <c r="BB24" s="581"/>
      <c r="BC24" s="581"/>
      <c r="BD24" s="581"/>
      <c r="BE24" s="581"/>
      <c r="BF24" s="581"/>
      <c r="BG24" s="581"/>
      <c r="BH24" s="581"/>
      <c r="BI24" s="581"/>
      <c r="BJ24" s="581"/>
      <c r="BK24" s="581"/>
      <c r="BL24" s="581"/>
      <c r="BM24" s="581"/>
      <c r="BN24" s="581"/>
      <c r="BO24" s="581"/>
      <c r="BP24" s="581"/>
      <c r="BQ24" s="581"/>
      <c r="BR24" s="581"/>
      <c r="BS24" s="581"/>
      <c r="BT24" s="581"/>
      <c r="BU24" s="581"/>
      <c r="BV24" s="581"/>
      <c r="BW24" s="581"/>
      <c r="BX24" s="581"/>
      <c r="BY24" s="581"/>
      <c r="BZ24" s="581"/>
      <c r="CA24" s="581"/>
      <c r="CB24" s="581"/>
      <c r="CC24" s="581"/>
      <c r="CD24" s="581"/>
      <c r="CE24" s="581"/>
      <c r="CF24" s="581"/>
      <c r="CG24" s="581"/>
      <c r="CH24" s="581"/>
      <c r="CI24" s="581"/>
      <c r="CJ24" s="581"/>
      <c r="CK24" s="581"/>
      <c r="CL24" s="581"/>
      <c r="CM24" s="581"/>
      <c r="CN24" s="581"/>
      <c r="CO24" s="581"/>
    </row>
    <row r="25" spans="1:93" s="583" customFormat="1" ht="30" customHeight="1" x14ac:dyDescent="0.35">
      <c r="B25" s="578"/>
      <c r="C25" s="579"/>
      <c r="D25" s="584"/>
      <c r="E25" s="584"/>
      <c r="F25" s="584"/>
      <c r="G25" s="584"/>
      <c r="H25" s="584"/>
      <c r="I25" s="584"/>
      <c r="J25" s="584"/>
      <c r="K25" s="584"/>
      <c r="L25" s="584"/>
      <c r="M25" s="584"/>
      <c r="N25" s="585"/>
      <c r="O25" s="585"/>
      <c r="P25" s="585"/>
      <c r="Q25" s="585"/>
      <c r="R25" s="585"/>
      <c r="S25" s="585"/>
      <c r="T25" s="585"/>
      <c r="U25" s="585"/>
      <c r="V25" s="585"/>
      <c r="W25" s="585"/>
      <c r="X25" s="585"/>
      <c r="Y25" s="585"/>
      <c r="Z25" s="582"/>
      <c r="AA25" s="585"/>
      <c r="AB25" s="585"/>
      <c r="AC25" s="585"/>
      <c r="AD25" s="585"/>
      <c r="AE25" s="585"/>
      <c r="AF25" s="585"/>
      <c r="AG25" s="585"/>
      <c r="AH25" s="585"/>
      <c r="AI25" s="585"/>
      <c r="AJ25" s="585"/>
      <c r="AK25" s="585"/>
      <c r="AO25" s="586"/>
      <c r="AP25" s="586"/>
      <c r="AQ25" s="586"/>
      <c r="AR25" s="586"/>
      <c r="AS25" s="586"/>
      <c r="AT25" s="586"/>
      <c r="AU25" s="586"/>
      <c r="AV25" s="585"/>
      <c r="AW25" s="585"/>
      <c r="AX25" s="585"/>
      <c r="AY25" s="585"/>
      <c r="AZ25" s="585"/>
      <c r="BA25" s="585"/>
      <c r="BB25" s="585"/>
      <c r="BC25" s="585"/>
      <c r="BD25" s="585"/>
      <c r="BE25" s="585"/>
      <c r="BF25" s="585"/>
      <c r="BG25" s="585"/>
      <c r="BH25" s="585"/>
      <c r="BI25" s="585"/>
      <c r="BJ25" s="585"/>
      <c r="BK25" s="585"/>
      <c r="BL25" s="585"/>
      <c r="BM25" s="585"/>
      <c r="BN25" s="585"/>
      <c r="BO25" s="585"/>
      <c r="BP25" s="585"/>
      <c r="BQ25" s="585"/>
      <c r="BR25" s="585"/>
      <c r="BS25" s="585"/>
      <c r="BT25" s="585"/>
      <c r="BU25" s="585"/>
      <c r="BV25" s="585"/>
      <c r="BW25" s="585"/>
      <c r="BX25" s="585"/>
      <c r="BY25" s="585"/>
      <c r="BZ25" s="582"/>
      <c r="CA25" s="585"/>
      <c r="CB25" s="585"/>
      <c r="CC25" s="585"/>
      <c r="CD25" s="585"/>
      <c r="CE25" s="585"/>
      <c r="CF25" s="585"/>
      <c r="CG25" s="585"/>
      <c r="CH25" s="585"/>
      <c r="CI25" s="585"/>
      <c r="CJ25" s="585"/>
      <c r="CK25" s="585"/>
    </row>
    <row r="26" spans="1:93" s="583" customFormat="1" ht="30" customHeight="1" x14ac:dyDescent="0.35">
      <c r="B26" s="578"/>
      <c r="C26" s="579"/>
      <c r="D26" s="587"/>
      <c r="E26" s="587"/>
      <c r="F26" s="587"/>
      <c r="G26" s="587"/>
      <c r="H26" s="587"/>
      <c r="I26" s="587"/>
      <c r="J26" s="587"/>
      <c r="K26" s="587"/>
      <c r="L26" s="587"/>
      <c r="M26" s="587"/>
      <c r="N26" s="585"/>
      <c r="O26" s="585"/>
      <c r="P26" s="585"/>
      <c r="Q26" s="585"/>
      <c r="R26" s="585"/>
      <c r="S26" s="585"/>
      <c r="T26" s="585"/>
      <c r="U26" s="585"/>
      <c r="V26" s="585"/>
      <c r="W26" s="585"/>
      <c r="X26" s="585"/>
      <c r="Y26" s="585"/>
      <c r="Z26" s="585"/>
      <c r="AA26" s="585"/>
      <c r="AB26" s="585"/>
      <c r="AC26" s="585"/>
      <c r="AD26" s="585"/>
      <c r="AE26" s="585"/>
      <c r="AF26" s="585"/>
      <c r="AG26" s="585"/>
      <c r="AH26" s="585"/>
      <c r="AI26" s="585"/>
      <c r="AJ26" s="585"/>
      <c r="AK26" s="585"/>
      <c r="AO26" s="586"/>
      <c r="AP26" s="586"/>
      <c r="AQ26" s="586"/>
      <c r="AR26" s="586"/>
      <c r="AS26" s="586"/>
      <c r="AT26" s="586"/>
      <c r="AU26" s="586"/>
      <c r="AV26" s="585"/>
      <c r="AW26" s="585"/>
      <c r="AX26" s="585"/>
      <c r="AY26" s="585"/>
      <c r="AZ26" s="585"/>
      <c r="BA26" s="585"/>
      <c r="BB26" s="585"/>
      <c r="BC26" s="585"/>
      <c r="BD26" s="585"/>
      <c r="BE26" s="585"/>
      <c r="BF26" s="585"/>
      <c r="BG26" s="585"/>
      <c r="BH26" s="585"/>
      <c r="BI26" s="585"/>
      <c r="BJ26" s="585"/>
      <c r="BK26" s="585"/>
      <c r="BL26" s="585"/>
      <c r="BM26" s="585"/>
      <c r="BN26" s="585"/>
      <c r="BO26" s="585"/>
      <c r="BP26" s="585"/>
      <c r="BQ26" s="585"/>
      <c r="BR26" s="585"/>
      <c r="BS26" s="585"/>
      <c r="BT26" s="585"/>
      <c r="BU26" s="585"/>
      <c r="BV26" s="585"/>
      <c r="BW26" s="585"/>
      <c r="BX26" s="585"/>
      <c r="BY26" s="585"/>
      <c r="BZ26" s="585"/>
      <c r="CA26" s="585"/>
      <c r="CB26" s="585"/>
      <c r="CC26" s="585"/>
      <c r="CD26" s="585"/>
      <c r="CE26" s="585"/>
      <c r="CF26" s="585"/>
      <c r="CG26" s="585"/>
      <c r="CH26" s="585"/>
      <c r="CI26" s="585"/>
      <c r="CJ26" s="585"/>
      <c r="CK26" s="585"/>
    </row>
    <row r="27" spans="1:93" s="583" customFormat="1" ht="30.75" customHeight="1" x14ac:dyDescent="0.35">
      <c r="B27" s="578"/>
      <c r="C27" s="579"/>
      <c r="D27" s="588"/>
      <c r="E27" s="588"/>
      <c r="F27" s="588"/>
      <c r="G27" s="588"/>
      <c r="H27" s="588"/>
      <c r="I27" s="588"/>
      <c r="J27" s="588"/>
      <c r="K27" s="588"/>
      <c r="L27" s="588"/>
      <c r="M27" s="588"/>
      <c r="N27" s="585"/>
      <c r="O27" s="585"/>
      <c r="P27" s="585"/>
      <c r="Q27" s="585"/>
      <c r="R27" s="585"/>
      <c r="S27" s="585"/>
      <c r="T27" s="585"/>
      <c r="U27" s="585"/>
      <c r="V27" s="585"/>
      <c r="W27" s="585"/>
      <c r="X27" s="585"/>
      <c r="Y27" s="582"/>
      <c r="Z27" s="585"/>
      <c r="AA27" s="585"/>
      <c r="AB27" s="585"/>
      <c r="AC27" s="585"/>
      <c r="AD27" s="585"/>
      <c r="AE27" s="585"/>
      <c r="AF27" s="585"/>
      <c r="AG27" s="585"/>
      <c r="AH27" s="585"/>
      <c r="AI27" s="585"/>
      <c r="AJ27" s="585"/>
      <c r="AK27" s="585"/>
      <c r="AO27" s="586"/>
      <c r="AP27" s="586"/>
      <c r="AQ27" s="586"/>
      <c r="AR27" s="586"/>
      <c r="AS27" s="586"/>
      <c r="AT27" s="586"/>
      <c r="AU27" s="586"/>
      <c r="AV27" s="585"/>
      <c r="AW27" s="585"/>
      <c r="AX27" s="585"/>
      <c r="AZ27" s="585"/>
      <c r="BA27" s="585"/>
      <c r="BB27" s="585"/>
      <c r="BC27" s="585"/>
      <c r="BE27" s="585"/>
      <c r="BF27" s="585"/>
      <c r="BG27" s="585"/>
      <c r="BH27" s="585"/>
      <c r="BI27" s="585"/>
      <c r="BJ27" s="585"/>
      <c r="BK27" s="585"/>
      <c r="BL27" s="585"/>
      <c r="BM27" s="585"/>
      <c r="BN27" s="585"/>
      <c r="BO27" s="585"/>
      <c r="BP27" s="585"/>
      <c r="BQ27" s="585"/>
      <c r="BR27" s="585"/>
      <c r="BS27" s="585"/>
      <c r="BT27" s="585"/>
      <c r="BU27" s="585"/>
      <c r="BV27" s="585"/>
      <c r="BW27" s="585"/>
      <c r="BX27" s="585"/>
      <c r="BY27" s="582"/>
      <c r="BZ27" s="585"/>
      <c r="CA27" s="585"/>
      <c r="CB27" s="585"/>
      <c r="CC27" s="585"/>
      <c r="CD27" s="585"/>
      <c r="CE27" s="585"/>
      <c r="CF27" s="585"/>
      <c r="CG27" s="585"/>
      <c r="CH27" s="585"/>
      <c r="CI27" s="585"/>
      <c r="CJ27" s="585"/>
      <c r="CK27" s="585"/>
    </row>
    <row r="28" spans="1:93" s="583" customFormat="1" ht="30" customHeight="1" x14ac:dyDescent="0.35">
      <c r="B28" s="578"/>
      <c r="C28" s="579"/>
      <c r="D28" s="588"/>
      <c r="E28" s="588"/>
      <c r="F28" s="588"/>
      <c r="G28" s="588"/>
      <c r="H28" s="588"/>
      <c r="I28" s="588"/>
      <c r="J28" s="588"/>
      <c r="K28" s="588"/>
      <c r="L28" s="588"/>
      <c r="M28" s="588"/>
      <c r="N28" s="585"/>
      <c r="O28" s="585"/>
      <c r="P28" s="585"/>
      <c r="Q28" s="585"/>
      <c r="R28" s="585"/>
      <c r="S28" s="585"/>
      <c r="T28" s="585"/>
      <c r="U28" s="585"/>
      <c r="V28" s="585"/>
      <c r="W28" s="585"/>
      <c r="X28" s="585"/>
      <c r="Y28" s="585"/>
      <c r="Z28" s="585"/>
      <c r="AA28" s="585"/>
      <c r="AB28" s="585"/>
      <c r="AC28" s="585"/>
      <c r="AD28" s="585"/>
      <c r="AE28" s="585"/>
      <c r="AF28" s="585"/>
      <c r="AG28" s="585"/>
      <c r="AH28" s="585"/>
      <c r="AI28" s="585"/>
      <c r="AJ28" s="585"/>
      <c r="AK28" s="585"/>
      <c r="AO28" s="586"/>
      <c r="AP28" s="586"/>
      <c r="AQ28" s="586"/>
      <c r="AR28" s="582"/>
      <c r="AS28" s="586"/>
      <c r="AT28" s="586"/>
      <c r="AU28" s="586"/>
      <c r="AV28" s="585"/>
      <c r="AW28" s="585"/>
      <c r="AX28" s="585"/>
      <c r="AY28" s="585"/>
      <c r="AZ28" s="585"/>
      <c r="BA28" s="585"/>
      <c r="BB28" s="585"/>
      <c r="BC28" s="585"/>
      <c r="BD28" s="585"/>
      <c r="BE28" s="585"/>
      <c r="BF28" s="585"/>
      <c r="BG28" s="585"/>
      <c r="BH28" s="585"/>
      <c r="BI28" s="585"/>
      <c r="BJ28" s="585"/>
      <c r="BK28" s="585"/>
      <c r="BL28" s="585"/>
      <c r="BM28" s="585"/>
      <c r="BN28" s="585"/>
      <c r="BO28" s="585"/>
      <c r="BP28" s="585"/>
      <c r="BQ28" s="585"/>
      <c r="BR28" s="585"/>
      <c r="BS28" s="585"/>
      <c r="BT28" s="585"/>
      <c r="BU28" s="585"/>
      <c r="BV28" s="585"/>
      <c r="BW28" s="585"/>
      <c r="BX28" s="585"/>
      <c r="BY28" s="585"/>
      <c r="BZ28" s="585"/>
      <c r="CA28" s="585"/>
      <c r="CB28" s="585"/>
      <c r="CC28" s="585"/>
      <c r="CD28" s="585"/>
      <c r="CE28" s="585"/>
      <c r="CF28" s="585"/>
      <c r="CG28" s="585"/>
      <c r="CH28" s="585"/>
      <c r="CI28" s="585"/>
      <c r="CJ28" s="585"/>
      <c r="CK28" s="585"/>
    </row>
    <row r="29" spans="1:93" s="583" customFormat="1" ht="30" customHeight="1" x14ac:dyDescent="0.35">
      <c r="B29" s="578"/>
      <c r="C29" s="579"/>
      <c r="D29" s="588"/>
      <c r="E29" s="588"/>
      <c r="F29" s="588"/>
      <c r="G29" s="588"/>
      <c r="H29" s="588"/>
      <c r="I29" s="588"/>
      <c r="J29" s="588"/>
      <c r="K29" s="588"/>
      <c r="L29" s="588"/>
      <c r="M29" s="588"/>
      <c r="N29" s="585"/>
      <c r="O29" s="585"/>
      <c r="P29" s="585"/>
      <c r="Q29" s="585"/>
      <c r="R29" s="585"/>
      <c r="S29" s="585"/>
      <c r="T29" s="585"/>
      <c r="U29" s="585"/>
      <c r="V29" s="585"/>
      <c r="W29" s="585"/>
      <c r="X29" s="585"/>
      <c r="Y29" s="585"/>
      <c r="Z29" s="585"/>
      <c r="AA29" s="585"/>
      <c r="AB29" s="585"/>
      <c r="AC29" s="585"/>
      <c r="AD29" s="585"/>
      <c r="AE29" s="585"/>
      <c r="AF29" s="585"/>
      <c r="AG29" s="585"/>
      <c r="AH29" s="585"/>
      <c r="AI29" s="585"/>
      <c r="AJ29" s="585"/>
      <c r="AK29" s="582"/>
      <c r="AO29" s="586"/>
      <c r="AP29" s="586"/>
      <c r="AQ29" s="586"/>
      <c r="AR29" s="582"/>
      <c r="AS29" s="586"/>
      <c r="AT29" s="586"/>
      <c r="AU29" s="586"/>
      <c r="AV29" s="585"/>
      <c r="AW29" s="585"/>
      <c r="AX29" s="585"/>
      <c r="AY29" s="585"/>
      <c r="AZ29" s="585"/>
      <c r="BA29" s="585"/>
      <c r="BB29" s="585"/>
      <c r="BC29" s="585"/>
      <c r="BD29" s="585"/>
      <c r="BE29" s="585"/>
      <c r="BF29" s="585"/>
      <c r="BG29" s="585"/>
      <c r="BH29" s="585"/>
      <c r="BI29" s="585"/>
      <c r="BJ29" s="585"/>
      <c r="BK29" s="585"/>
      <c r="BL29" s="585"/>
      <c r="BM29" s="585"/>
      <c r="BN29" s="585"/>
      <c r="BO29" s="585"/>
      <c r="BP29" s="585"/>
      <c r="BQ29" s="585"/>
      <c r="BR29" s="585"/>
      <c r="BS29" s="585"/>
      <c r="BT29" s="585"/>
      <c r="BU29" s="585"/>
      <c r="BV29" s="585"/>
      <c r="BW29" s="585"/>
      <c r="BX29" s="585"/>
      <c r="BY29" s="585"/>
      <c r="BZ29" s="585"/>
      <c r="CA29" s="585"/>
      <c r="CB29" s="585"/>
      <c r="CC29" s="585"/>
      <c r="CD29" s="585"/>
      <c r="CE29" s="585"/>
      <c r="CF29" s="585"/>
      <c r="CG29" s="585"/>
      <c r="CH29" s="585"/>
      <c r="CI29" s="585"/>
      <c r="CJ29" s="585"/>
      <c r="CK29" s="582"/>
    </row>
    <row r="30" spans="1:93" s="583" customFormat="1" ht="30" customHeight="1" x14ac:dyDescent="0.35">
      <c r="B30" s="578"/>
      <c r="C30" s="579"/>
      <c r="D30" s="588"/>
      <c r="E30" s="588"/>
      <c r="F30" s="588"/>
      <c r="G30" s="588"/>
      <c r="H30" s="588"/>
      <c r="I30" s="588"/>
      <c r="J30" s="588"/>
      <c r="K30" s="588"/>
      <c r="L30" s="588"/>
      <c r="M30" s="588"/>
      <c r="N30" s="585"/>
      <c r="O30" s="585"/>
      <c r="P30" s="585"/>
      <c r="Q30" s="585"/>
      <c r="R30" s="585"/>
      <c r="S30" s="585"/>
      <c r="T30" s="585"/>
      <c r="U30" s="585"/>
      <c r="V30" s="585"/>
      <c r="W30" s="585"/>
      <c r="X30" s="585"/>
      <c r="Y30" s="585"/>
      <c r="Z30" s="585"/>
      <c r="AA30" s="585"/>
      <c r="AB30" s="585"/>
      <c r="AC30" s="585"/>
      <c r="AD30" s="585"/>
      <c r="AE30" s="585"/>
      <c r="AF30" s="585"/>
      <c r="AG30" s="585"/>
      <c r="AH30" s="585"/>
      <c r="AI30" s="585"/>
      <c r="AJ30" s="585"/>
      <c r="AK30" s="585"/>
      <c r="AO30" s="586"/>
      <c r="AP30" s="586"/>
      <c r="AQ30" s="586"/>
      <c r="AR30" s="586"/>
      <c r="AS30" s="586"/>
      <c r="AT30" s="586"/>
      <c r="AU30" s="586"/>
      <c r="AV30" s="585"/>
      <c r="AW30" s="585"/>
      <c r="AX30" s="585"/>
      <c r="AY30" s="585"/>
      <c r="AZ30" s="585"/>
      <c r="BA30" s="585"/>
      <c r="BB30" s="585"/>
      <c r="BC30" s="585"/>
      <c r="BD30" s="585"/>
      <c r="BE30" s="585"/>
      <c r="BF30" s="585"/>
      <c r="BG30" s="585"/>
      <c r="BH30" s="585"/>
      <c r="BI30" s="585"/>
      <c r="BJ30" s="585"/>
      <c r="BK30" s="585"/>
      <c r="BL30" s="585"/>
      <c r="BM30" s="585"/>
      <c r="BN30" s="585"/>
      <c r="BO30" s="585"/>
      <c r="BP30" s="585"/>
      <c r="BQ30" s="585"/>
      <c r="BR30" s="585"/>
      <c r="BS30" s="585"/>
      <c r="BT30" s="585"/>
      <c r="BU30" s="585"/>
      <c r="BV30" s="585"/>
      <c r="BW30" s="585"/>
      <c r="BX30" s="585"/>
      <c r="BY30" s="585"/>
      <c r="BZ30" s="585"/>
      <c r="CA30" s="585"/>
      <c r="CB30" s="585"/>
      <c r="CC30" s="585"/>
      <c r="CD30" s="585"/>
      <c r="CE30" s="585"/>
      <c r="CF30" s="585"/>
      <c r="CG30" s="585"/>
      <c r="CH30" s="585"/>
      <c r="CI30" s="585"/>
      <c r="CJ30" s="585"/>
      <c r="CK30" s="585"/>
    </row>
    <row r="31" spans="1:93" s="583" customFormat="1" ht="30" customHeight="1" x14ac:dyDescent="0.35">
      <c r="B31" s="578"/>
      <c r="C31" s="579"/>
      <c r="D31" s="588"/>
      <c r="E31" s="588"/>
      <c r="F31" s="588"/>
      <c r="G31" s="588"/>
      <c r="H31" s="588"/>
      <c r="I31" s="588"/>
      <c r="J31" s="588"/>
      <c r="K31" s="588"/>
      <c r="L31" s="588"/>
      <c r="M31" s="588"/>
      <c r="N31" s="585"/>
      <c r="O31" s="585"/>
      <c r="P31" s="585"/>
      <c r="Q31" s="585"/>
      <c r="R31" s="585"/>
      <c r="S31" s="585"/>
      <c r="T31" s="585"/>
      <c r="U31" s="582"/>
      <c r="V31" s="585"/>
      <c r="W31" s="585"/>
      <c r="X31" s="585"/>
      <c r="Y31" s="585"/>
      <c r="Z31" s="585"/>
      <c r="AA31" s="582"/>
      <c r="AB31" s="585"/>
      <c r="AC31" s="585"/>
      <c r="AD31" s="585"/>
      <c r="AE31" s="585"/>
      <c r="AF31" s="585"/>
      <c r="AG31" s="585"/>
      <c r="AH31" s="585"/>
      <c r="AI31" s="585"/>
      <c r="AJ31" s="585"/>
      <c r="AK31" s="585"/>
      <c r="AO31" s="586"/>
      <c r="AP31" s="586"/>
      <c r="AQ31" s="586"/>
      <c r="AR31" s="586"/>
      <c r="AS31" s="586"/>
      <c r="AT31" s="586"/>
      <c r="AU31" s="586"/>
      <c r="AV31" s="585"/>
      <c r="AW31" s="585"/>
      <c r="AX31" s="585"/>
      <c r="AY31" s="585"/>
      <c r="AZ31" s="585"/>
      <c r="BA31" s="585"/>
      <c r="BB31" s="585"/>
      <c r="BC31" s="585"/>
      <c r="BD31" s="585"/>
      <c r="BE31" s="585"/>
      <c r="BF31" s="585"/>
      <c r="BG31" s="585"/>
      <c r="BH31" s="585"/>
      <c r="BI31" s="585"/>
      <c r="BJ31" s="585"/>
      <c r="BK31" s="585"/>
      <c r="BL31" s="585"/>
      <c r="BM31" s="585"/>
      <c r="BN31" s="585"/>
      <c r="BO31" s="585"/>
      <c r="BP31" s="585"/>
      <c r="BQ31" s="585"/>
      <c r="BR31" s="585"/>
      <c r="BS31" s="585"/>
      <c r="BT31" s="585"/>
      <c r="BU31" s="582"/>
      <c r="BV31" s="585"/>
      <c r="BW31" s="585"/>
      <c r="BX31" s="585"/>
      <c r="BY31" s="585"/>
      <c r="BZ31" s="585"/>
      <c r="CA31" s="582"/>
      <c r="CB31" s="585"/>
      <c r="CC31" s="585"/>
      <c r="CD31" s="585"/>
      <c r="CE31" s="585"/>
      <c r="CF31" s="585"/>
      <c r="CG31" s="585"/>
      <c r="CH31" s="585"/>
      <c r="CI31" s="585"/>
      <c r="CJ31" s="585"/>
      <c r="CK31" s="585"/>
    </row>
    <row r="32" spans="1:93" s="583" customFormat="1" ht="30" customHeight="1" x14ac:dyDescent="0.35">
      <c r="B32" s="578"/>
      <c r="C32" s="579"/>
      <c r="D32" s="588"/>
      <c r="E32" s="588"/>
      <c r="F32" s="588"/>
      <c r="G32" s="588"/>
      <c r="H32" s="588"/>
      <c r="I32" s="588"/>
      <c r="J32" s="588"/>
      <c r="K32" s="588"/>
      <c r="L32" s="588"/>
      <c r="M32" s="588"/>
      <c r="N32" s="585"/>
      <c r="O32" s="585"/>
      <c r="P32" s="585"/>
      <c r="Q32" s="585"/>
      <c r="R32" s="585"/>
      <c r="S32" s="585"/>
      <c r="T32" s="585"/>
      <c r="U32" s="585"/>
      <c r="V32" s="585"/>
      <c r="W32" s="585"/>
      <c r="X32" s="585"/>
      <c r="Y32" s="585"/>
      <c r="Z32" s="585"/>
      <c r="AA32" s="585"/>
      <c r="AB32" s="582"/>
      <c r="AC32" s="585"/>
      <c r="AD32" s="585"/>
      <c r="AE32" s="585"/>
      <c r="AF32" s="585"/>
      <c r="AG32" s="585"/>
      <c r="AH32" s="585"/>
      <c r="AI32" s="585"/>
      <c r="AJ32" s="585"/>
      <c r="AK32" s="585"/>
      <c r="AO32" s="586"/>
      <c r="AP32" s="582"/>
      <c r="AQ32" s="586"/>
      <c r="AR32" s="586"/>
      <c r="AS32" s="586"/>
      <c r="AT32" s="586"/>
      <c r="AU32" s="586"/>
      <c r="AV32" s="585"/>
      <c r="AW32" s="585"/>
      <c r="AX32" s="585"/>
      <c r="AY32" s="585"/>
      <c r="AZ32" s="585"/>
      <c r="BA32" s="585"/>
      <c r="BB32" s="585"/>
      <c r="BC32" s="585"/>
      <c r="BD32" s="585"/>
      <c r="BE32" s="585"/>
      <c r="BF32" s="589"/>
      <c r="BG32" s="585"/>
      <c r="BH32" s="585"/>
      <c r="BI32" s="585"/>
      <c r="BJ32" s="585"/>
      <c r="BK32" s="585"/>
      <c r="BL32" s="585"/>
      <c r="BM32" s="585"/>
      <c r="BN32" s="585"/>
      <c r="BO32" s="585"/>
      <c r="BP32" s="585"/>
      <c r="BQ32" s="585"/>
      <c r="BR32" s="585"/>
      <c r="BS32" s="585"/>
      <c r="BT32" s="585"/>
      <c r="BU32" s="585"/>
      <c r="BV32" s="585"/>
      <c r="BW32" s="585"/>
      <c r="BX32" s="585"/>
      <c r="BY32" s="585"/>
      <c r="BZ32" s="585"/>
      <c r="CA32" s="585"/>
      <c r="CB32" s="582"/>
      <c r="CC32" s="585"/>
      <c r="CD32" s="585"/>
      <c r="CE32" s="585"/>
      <c r="CF32" s="585"/>
      <c r="CG32" s="585"/>
      <c r="CH32" s="585"/>
      <c r="CI32" s="585"/>
      <c r="CJ32" s="585"/>
      <c r="CK32" s="585"/>
    </row>
    <row r="33" spans="2:90" s="583" customFormat="1" ht="30" customHeight="1" x14ac:dyDescent="0.35">
      <c r="B33" s="578"/>
      <c r="C33" s="579"/>
      <c r="D33" s="588"/>
      <c r="E33" s="588"/>
      <c r="F33" s="588"/>
      <c r="G33" s="588"/>
      <c r="H33" s="588"/>
      <c r="I33" s="588"/>
      <c r="J33" s="588"/>
      <c r="K33" s="588"/>
      <c r="L33" s="588"/>
      <c r="M33" s="588"/>
      <c r="N33" s="590"/>
      <c r="O33" s="585"/>
      <c r="P33" s="585"/>
      <c r="Q33" s="585"/>
      <c r="R33" s="585"/>
      <c r="S33" s="585"/>
      <c r="T33" s="585"/>
      <c r="U33" s="585"/>
      <c r="V33" s="585"/>
      <c r="W33" s="585"/>
      <c r="X33" s="585"/>
      <c r="Y33" s="585"/>
      <c r="Z33" s="585"/>
      <c r="AA33" s="585"/>
      <c r="AB33" s="585"/>
      <c r="AC33" s="585"/>
      <c r="AD33" s="585"/>
      <c r="AE33" s="582"/>
      <c r="AF33" s="585"/>
      <c r="AG33" s="585"/>
      <c r="AH33" s="585"/>
      <c r="AI33" s="585"/>
      <c r="AJ33" s="585"/>
      <c r="AK33" s="585"/>
      <c r="AO33" s="586"/>
      <c r="AP33" s="582"/>
      <c r="AQ33" s="586"/>
      <c r="AR33" s="586"/>
      <c r="AS33" s="586"/>
      <c r="AT33" s="586"/>
      <c r="AU33" s="586"/>
      <c r="AV33" s="585"/>
      <c r="AW33" s="585"/>
      <c r="AX33" s="585"/>
      <c r="AY33" s="585"/>
      <c r="AZ33" s="585"/>
      <c r="BA33" s="585"/>
      <c r="BB33" s="585"/>
      <c r="BC33" s="585"/>
      <c r="BD33" s="585"/>
      <c r="BE33" s="585"/>
      <c r="BF33" s="585"/>
      <c r="BG33" s="585"/>
      <c r="BH33" s="585"/>
      <c r="BI33" s="585"/>
      <c r="BJ33" s="585"/>
      <c r="BK33" s="585"/>
      <c r="BL33" s="585"/>
      <c r="BM33" s="585"/>
      <c r="BN33" s="590"/>
      <c r="BO33" s="585"/>
      <c r="BP33" s="585"/>
      <c r="BQ33" s="585"/>
      <c r="BR33" s="585"/>
      <c r="BS33" s="585"/>
      <c r="BT33" s="585"/>
      <c r="BU33" s="585"/>
      <c r="BV33" s="585"/>
      <c r="BW33" s="585"/>
      <c r="BX33" s="585"/>
      <c r="BY33" s="585"/>
      <c r="BZ33" s="585"/>
      <c r="CA33" s="585"/>
      <c r="CB33" s="585"/>
      <c r="CC33" s="585"/>
      <c r="CD33" s="585"/>
      <c r="CE33" s="582"/>
      <c r="CF33" s="585"/>
      <c r="CG33" s="585"/>
      <c r="CH33" s="585"/>
      <c r="CI33" s="585"/>
      <c r="CJ33" s="585"/>
      <c r="CK33" s="585"/>
    </row>
    <row r="34" spans="2:90" s="583" customFormat="1" ht="30" customHeight="1" x14ac:dyDescent="0.35">
      <c r="B34" s="578"/>
      <c r="C34" s="579"/>
      <c r="D34" s="588"/>
      <c r="E34" s="588"/>
      <c r="F34" s="588"/>
      <c r="G34" s="588"/>
      <c r="H34" s="588"/>
      <c r="I34" s="588"/>
      <c r="J34" s="588"/>
      <c r="K34" s="588"/>
      <c r="L34" s="588"/>
      <c r="M34" s="588"/>
      <c r="N34" s="585"/>
      <c r="O34" s="585"/>
      <c r="P34" s="585"/>
      <c r="Q34" s="585"/>
      <c r="R34" s="585"/>
      <c r="S34" s="585"/>
      <c r="T34" s="585"/>
      <c r="U34" s="585"/>
      <c r="V34" s="585"/>
      <c r="W34" s="585"/>
      <c r="X34" s="585"/>
      <c r="Y34" s="585"/>
      <c r="Z34" s="585"/>
      <c r="AA34" s="585"/>
      <c r="AB34" s="585"/>
      <c r="AC34" s="585"/>
      <c r="AD34" s="582"/>
      <c r="AE34" s="585"/>
      <c r="AF34" s="585"/>
      <c r="AG34" s="585"/>
      <c r="AH34" s="585"/>
      <c r="AI34" s="585"/>
      <c r="AJ34" s="585"/>
      <c r="AK34" s="585"/>
      <c r="AO34" s="586"/>
      <c r="AP34" s="582"/>
      <c r="AQ34" s="586"/>
      <c r="AR34" s="586"/>
      <c r="AS34" s="586"/>
      <c r="AT34" s="586"/>
      <c r="AU34" s="586"/>
      <c r="AV34" s="585"/>
      <c r="AW34" s="585"/>
      <c r="AX34" s="585"/>
      <c r="AY34" s="585"/>
      <c r="AZ34" s="585"/>
      <c r="BA34" s="585"/>
      <c r="BB34" s="585"/>
      <c r="BC34" s="585"/>
      <c r="BD34" s="585"/>
      <c r="BE34" s="585"/>
      <c r="BF34" s="585"/>
      <c r="BG34" s="585"/>
      <c r="BH34" s="585"/>
      <c r="BI34" s="585"/>
      <c r="BJ34" s="585"/>
      <c r="BK34" s="585"/>
      <c r="BL34" s="585"/>
      <c r="BM34" s="585"/>
      <c r="BN34" s="585"/>
      <c r="BO34" s="585"/>
      <c r="BP34" s="585"/>
      <c r="BQ34" s="585"/>
      <c r="BR34" s="585"/>
      <c r="BS34" s="585"/>
      <c r="BT34" s="585"/>
      <c r="BU34" s="585"/>
      <c r="BV34" s="585"/>
      <c r="BW34" s="585"/>
      <c r="BX34" s="585"/>
      <c r="BY34" s="585"/>
      <c r="BZ34" s="585"/>
      <c r="CA34" s="585"/>
      <c r="CB34" s="585"/>
      <c r="CC34" s="585"/>
      <c r="CD34" s="582"/>
      <c r="CE34" s="585"/>
      <c r="CF34" s="585"/>
      <c r="CG34" s="585"/>
      <c r="CH34" s="585"/>
      <c r="CI34" s="585"/>
      <c r="CJ34" s="585"/>
      <c r="CK34" s="585"/>
    </row>
    <row r="35" spans="2:90" ht="30" customHeight="1" x14ac:dyDescent="0.35">
      <c r="B35" s="578"/>
      <c r="C35" s="579"/>
      <c r="D35" s="588"/>
      <c r="E35" s="588"/>
      <c r="F35" s="588"/>
      <c r="G35" s="588"/>
      <c r="H35" s="588"/>
      <c r="I35" s="588"/>
      <c r="J35" s="588"/>
      <c r="K35" s="588"/>
      <c r="L35" s="588"/>
      <c r="M35" s="588"/>
      <c r="N35" s="589"/>
      <c r="O35" s="589"/>
      <c r="P35" s="589"/>
      <c r="Q35" s="589"/>
      <c r="R35" s="589"/>
      <c r="S35" s="589"/>
      <c r="T35" s="589"/>
      <c r="U35" s="591"/>
      <c r="V35" s="589"/>
      <c r="W35" s="589"/>
      <c r="X35" s="589"/>
      <c r="Y35" s="589"/>
      <c r="Z35" s="589"/>
      <c r="AA35" s="589"/>
      <c r="AB35" s="589"/>
      <c r="AC35" s="589"/>
      <c r="AD35" s="589"/>
      <c r="AE35" s="589"/>
      <c r="AF35" s="589"/>
      <c r="AG35" s="589"/>
      <c r="AH35" s="589"/>
      <c r="AI35" s="589"/>
      <c r="AJ35" s="589"/>
      <c r="AK35" s="589"/>
      <c r="AO35" s="589"/>
      <c r="AP35" s="589"/>
      <c r="AQ35" s="589"/>
      <c r="AR35" s="589"/>
      <c r="AS35" s="589"/>
      <c r="AT35" s="589"/>
      <c r="AU35" s="589"/>
      <c r="AV35" s="589"/>
      <c r="AW35" s="589"/>
      <c r="AX35" s="589"/>
      <c r="AY35" s="589"/>
      <c r="AZ35" s="589"/>
      <c r="BA35" s="589"/>
      <c r="BB35" s="589"/>
      <c r="BC35" s="589"/>
      <c r="BD35" s="589"/>
      <c r="BE35" s="589"/>
      <c r="BF35" s="589"/>
      <c r="BG35" s="589"/>
      <c r="BH35" s="589"/>
      <c r="BI35" s="589"/>
      <c r="BJ35" s="589"/>
      <c r="BK35" s="589"/>
      <c r="BL35" s="589"/>
      <c r="BM35" s="589"/>
      <c r="BN35" s="589"/>
      <c r="BO35" s="589"/>
      <c r="BP35" s="589"/>
      <c r="BQ35" s="589"/>
      <c r="BR35" s="589"/>
      <c r="BS35" s="589"/>
      <c r="BT35" s="589"/>
      <c r="BU35" s="591"/>
      <c r="BV35" s="589"/>
      <c r="BW35" s="589"/>
      <c r="BX35" s="589"/>
      <c r="BY35" s="589"/>
      <c r="BZ35" s="589"/>
      <c r="CA35" s="589"/>
      <c r="CB35" s="589"/>
      <c r="CC35" s="589"/>
      <c r="CD35" s="589"/>
      <c r="CE35" s="589"/>
      <c r="CF35" s="589"/>
      <c r="CG35" s="589"/>
      <c r="CH35" s="589"/>
      <c r="CI35" s="589"/>
      <c r="CJ35" s="589"/>
      <c r="CK35" s="589"/>
    </row>
    <row r="36" spans="2:90" ht="30" customHeight="1" x14ac:dyDescent="0.35">
      <c r="B36" s="578"/>
      <c r="C36" s="579"/>
      <c r="D36" s="588"/>
      <c r="E36" s="588"/>
      <c r="F36" s="588"/>
      <c r="G36" s="588"/>
      <c r="H36" s="588"/>
      <c r="I36" s="588"/>
      <c r="J36" s="588"/>
      <c r="K36" s="588"/>
      <c r="L36" s="588"/>
      <c r="M36" s="588"/>
      <c r="N36" s="589"/>
      <c r="O36" s="589"/>
      <c r="P36" s="589"/>
      <c r="Q36" s="589"/>
      <c r="R36" s="589"/>
      <c r="S36" s="589"/>
      <c r="T36" s="591"/>
      <c r="U36" s="591"/>
      <c r="V36" s="589"/>
      <c r="W36" s="589"/>
      <c r="X36" s="589"/>
      <c r="Y36" s="589"/>
      <c r="Z36" s="589"/>
      <c r="AA36" s="589"/>
      <c r="AB36" s="589"/>
      <c r="AC36" s="589"/>
      <c r="AD36" s="589"/>
      <c r="AE36" s="589"/>
      <c r="AF36" s="589"/>
      <c r="AG36" s="589"/>
      <c r="AH36" s="589"/>
      <c r="AI36" s="589"/>
      <c r="AJ36" s="589"/>
      <c r="AK36" s="589"/>
      <c r="AL36" s="591"/>
      <c r="AO36" s="589"/>
      <c r="AP36" s="589"/>
      <c r="AQ36" s="589"/>
      <c r="AR36" s="589"/>
      <c r="AS36" s="589"/>
      <c r="AT36" s="589"/>
      <c r="AU36" s="589"/>
      <c r="AV36" s="589"/>
      <c r="AW36" s="589"/>
      <c r="AX36" s="589"/>
      <c r="AY36" s="589"/>
      <c r="AZ36" s="589"/>
      <c r="BA36" s="589"/>
      <c r="BB36" s="589"/>
      <c r="BC36" s="589"/>
      <c r="BD36" s="589"/>
      <c r="BE36" s="589"/>
      <c r="BF36" s="589"/>
      <c r="BG36" s="589"/>
      <c r="BH36" s="589"/>
      <c r="BI36" s="589"/>
      <c r="BJ36" s="589"/>
      <c r="BK36" s="589"/>
      <c r="BL36" s="589"/>
      <c r="BM36" s="589"/>
      <c r="BN36" s="589"/>
      <c r="BO36" s="589"/>
      <c r="BP36" s="589"/>
      <c r="BQ36" s="589"/>
      <c r="BR36" s="589"/>
      <c r="BS36" s="589"/>
      <c r="BT36" s="591"/>
      <c r="BU36" s="591"/>
      <c r="BV36" s="589"/>
      <c r="BW36" s="589"/>
      <c r="BX36" s="589"/>
      <c r="BY36" s="589"/>
      <c r="BZ36" s="589"/>
      <c r="CA36" s="589"/>
      <c r="CB36" s="589"/>
      <c r="CC36" s="589"/>
      <c r="CD36" s="589"/>
      <c r="CE36" s="589"/>
      <c r="CF36" s="589"/>
      <c r="CG36" s="589"/>
      <c r="CH36" s="589"/>
      <c r="CI36" s="589"/>
      <c r="CJ36" s="589"/>
      <c r="CK36" s="589"/>
      <c r="CL36" s="591"/>
    </row>
    <row r="37" spans="2:90" ht="30" customHeight="1" x14ac:dyDescent="0.35">
      <c r="B37" s="578"/>
      <c r="C37" s="579"/>
      <c r="D37" s="588"/>
      <c r="E37" s="588"/>
      <c r="F37" s="588"/>
      <c r="G37" s="588"/>
      <c r="H37" s="588"/>
      <c r="I37" s="588"/>
      <c r="J37" s="588"/>
      <c r="K37" s="588"/>
      <c r="L37" s="588"/>
      <c r="M37" s="588"/>
      <c r="N37" s="589"/>
      <c r="O37" s="589"/>
      <c r="P37" s="589"/>
      <c r="Q37" s="589"/>
      <c r="R37" s="589"/>
      <c r="S37" s="589"/>
      <c r="T37" s="589"/>
      <c r="U37" s="582"/>
      <c r="V37" s="589"/>
      <c r="W37" s="589"/>
      <c r="X37" s="589"/>
      <c r="Y37" s="589"/>
      <c r="Z37" s="589"/>
      <c r="AA37" s="589"/>
      <c r="AB37" s="589"/>
      <c r="AC37" s="589"/>
      <c r="AD37" s="589"/>
      <c r="AE37" s="589"/>
      <c r="AF37" s="589"/>
      <c r="AG37" s="589"/>
      <c r="AH37" s="589"/>
      <c r="AI37" s="589"/>
      <c r="AJ37" s="589"/>
      <c r="AK37" s="589"/>
      <c r="AL37" s="582"/>
      <c r="AO37" s="589"/>
      <c r="AP37" s="589"/>
      <c r="AQ37" s="589"/>
      <c r="AR37" s="589"/>
      <c r="AS37" s="589"/>
      <c r="AT37" s="589"/>
      <c r="AU37" s="589"/>
      <c r="AV37" s="589"/>
      <c r="AW37" s="589"/>
      <c r="AX37" s="589"/>
      <c r="AY37" s="589"/>
      <c r="AZ37" s="589"/>
      <c r="BA37" s="589"/>
      <c r="BB37" s="589"/>
      <c r="BC37" s="589"/>
      <c r="BD37" s="589"/>
      <c r="BE37" s="589"/>
      <c r="BF37" s="589"/>
      <c r="BG37" s="589"/>
      <c r="BH37" s="589"/>
      <c r="BI37" s="589"/>
      <c r="BJ37" s="589"/>
      <c r="BK37" s="589"/>
      <c r="BL37" s="589"/>
      <c r="BM37" s="589"/>
      <c r="BN37" s="589"/>
      <c r="BO37" s="589"/>
      <c r="BP37" s="589"/>
      <c r="BQ37" s="589"/>
      <c r="BR37" s="589"/>
      <c r="BS37" s="589"/>
      <c r="BT37" s="589"/>
      <c r="BU37" s="582"/>
      <c r="BV37" s="589"/>
      <c r="BW37" s="589"/>
      <c r="BX37" s="589"/>
      <c r="BY37" s="589"/>
      <c r="BZ37" s="589"/>
      <c r="CA37" s="589"/>
      <c r="CB37" s="589"/>
      <c r="CC37" s="589"/>
      <c r="CD37" s="589"/>
      <c r="CE37" s="589"/>
      <c r="CF37" s="589"/>
      <c r="CG37" s="589"/>
      <c r="CH37" s="589"/>
      <c r="CI37" s="589"/>
      <c r="CJ37" s="589"/>
      <c r="CK37" s="589"/>
      <c r="CL37" s="582"/>
    </row>
    <row r="38" spans="2:90" ht="30" customHeight="1" x14ac:dyDescent="0.35">
      <c r="B38" s="578"/>
      <c r="C38" s="579"/>
      <c r="D38" s="588"/>
      <c r="E38" s="588"/>
      <c r="F38" s="588"/>
      <c r="G38" s="588"/>
      <c r="H38" s="588"/>
      <c r="I38" s="588"/>
      <c r="J38" s="588"/>
      <c r="K38" s="588"/>
      <c r="L38" s="588"/>
      <c r="M38" s="588"/>
      <c r="N38" s="589"/>
      <c r="O38" s="589"/>
      <c r="P38" s="589"/>
      <c r="Q38" s="589"/>
      <c r="R38" s="589"/>
      <c r="S38" s="589"/>
      <c r="T38" s="589"/>
      <c r="U38" s="591"/>
      <c r="V38" s="589"/>
      <c r="W38" s="589"/>
      <c r="X38" s="589"/>
      <c r="Y38" s="589"/>
      <c r="Z38" s="589"/>
      <c r="AA38" s="589"/>
      <c r="AB38" s="589"/>
      <c r="AC38" s="589"/>
      <c r="AD38" s="589"/>
      <c r="AE38" s="589"/>
      <c r="AF38" s="589"/>
      <c r="AG38" s="589"/>
      <c r="AH38" s="589"/>
      <c r="AI38" s="589"/>
      <c r="AJ38" s="589"/>
      <c r="AK38" s="589"/>
      <c r="AL38" s="591"/>
      <c r="AO38" s="589"/>
      <c r="AP38" s="589"/>
      <c r="AQ38" s="589"/>
      <c r="AR38" s="589"/>
      <c r="AS38" s="589"/>
      <c r="AT38" s="589"/>
      <c r="AU38" s="589"/>
      <c r="AV38" s="589"/>
      <c r="AW38" s="589"/>
      <c r="AX38" s="589"/>
      <c r="AY38" s="589"/>
      <c r="AZ38" s="589"/>
      <c r="BA38" s="589"/>
      <c r="BB38" s="589"/>
      <c r="BC38" s="589"/>
      <c r="BD38" s="589"/>
      <c r="BE38" s="589"/>
      <c r="BF38" s="589"/>
      <c r="BG38" s="589"/>
      <c r="BH38" s="589"/>
      <c r="BI38" s="589"/>
      <c r="BJ38" s="589"/>
      <c r="BK38" s="589"/>
      <c r="BL38" s="589"/>
      <c r="BM38" s="589"/>
      <c r="BN38" s="589"/>
      <c r="BO38" s="589"/>
      <c r="BP38" s="589"/>
      <c r="BQ38" s="589"/>
      <c r="BR38" s="589"/>
      <c r="BS38" s="589"/>
      <c r="BT38" s="589"/>
      <c r="BU38" s="591"/>
      <c r="BV38" s="589"/>
      <c r="BW38" s="589"/>
      <c r="BX38" s="589"/>
      <c r="BY38" s="589"/>
      <c r="BZ38" s="589"/>
      <c r="CA38" s="589"/>
      <c r="CB38" s="589"/>
      <c r="CC38" s="589"/>
      <c r="CD38" s="589"/>
      <c r="CE38" s="589"/>
      <c r="CF38" s="589"/>
      <c r="CG38" s="589"/>
      <c r="CH38" s="589"/>
      <c r="CI38" s="589"/>
      <c r="CJ38" s="589"/>
      <c r="CK38" s="589"/>
      <c r="CL38" s="591"/>
    </row>
    <row r="39" spans="2:90" ht="30" customHeight="1" x14ac:dyDescent="0.35">
      <c r="B39" s="578"/>
      <c r="C39" s="579"/>
      <c r="D39" s="588"/>
      <c r="E39" s="588"/>
      <c r="F39" s="588"/>
      <c r="G39" s="588"/>
      <c r="H39" s="588"/>
      <c r="I39" s="588"/>
      <c r="J39" s="588"/>
      <c r="K39" s="588"/>
      <c r="L39" s="588"/>
      <c r="M39" s="588"/>
      <c r="N39" s="589"/>
      <c r="O39" s="589"/>
      <c r="P39" s="589"/>
      <c r="Q39" s="589"/>
      <c r="R39" s="589"/>
      <c r="S39" s="589"/>
      <c r="T39" s="589"/>
      <c r="U39" s="591"/>
      <c r="V39" s="589"/>
      <c r="W39" s="589"/>
      <c r="X39" s="589"/>
      <c r="Y39" s="589"/>
      <c r="Z39" s="589"/>
      <c r="AA39" s="589"/>
      <c r="AB39" s="589"/>
      <c r="AC39" s="589"/>
      <c r="AD39" s="589"/>
      <c r="AE39" s="589"/>
      <c r="AF39" s="589"/>
      <c r="AG39" s="589"/>
      <c r="AH39" s="589"/>
      <c r="AI39" s="589"/>
      <c r="AJ39" s="589"/>
      <c r="AK39" s="589"/>
      <c r="AL39" s="591"/>
      <c r="AO39" s="589"/>
      <c r="AP39" s="589"/>
      <c r="AQ39" s="589"/>
      <c r="AR39" s="589"/>
      <c r="AS39" s="589"/>
      <c r="AT39" s="589"/>
      <c r="AU39" s="589"/>
      <c r="AV39" s="589"/>
      <c r="AW39" s="589"/>
      <c r="AX39" s="589"/>
      <c r="AY39" s="589"/>
      <c r="AZ39" s="589"/>
      <c r="BA39" s="589"/>
      <c r="BB39" s="589"/>
      <c r="BC39" s="589"/>
      <c r="BD39" s="589"/>
      <c r="BE39" s="589"/>
      <c r="BF39" s="589"/>
      <c r="BG39" s="589"/>
      <c r="BH39" s="589"/>
      <c r="BI39" s="589"/>
      <c r="BJ39" s="589"/>
      <c r="BK39" s="589"/>
      <c r="BL39" s="589"/>
      <c r="BM39" s="589"/>
      <c r="BN39" s="589"/>
      <c r="BO39" s="589"/>
      <c r="BP39" s="589"/>
      <c r="BQ39" s="589"/>
      <c r="BR39" s="589"/>
      <c r="BS39" s="589"/>
      <c r="BT39" s="589"/>
      <c r="BU39" s="591"/>
      <c r="BV39" s="589"/>
      <c r="BW39" s="589"/>
      <c r="BX39" s="589"/>
      <c r="BY39" s="589"/>
      <c r="BZ39" s="589"/>
      <c r="CA39" s="589"/>
      <c r="CB39" s="589"/>
      <c r="CC39" s="589"/>
      <c r="CD39" s="589"/>
      <c r="CE39" s="589"/>
      <c r="CF39" s="589"/>
      <c r="CG39" s="589"/>
      <c r="CH39" s="589"/>
      <c r="CI39" s="589"/>
      <c r="CJ39" s="589"/>
      <c r="CK39" s="589"/>
      <c r="CL39" s="591"/>
    </row>
    <row r="40" spans="2:90" ht="30" customHeight="1" x14ac:dyDescent="0.35">
      <c r="B40" s="578"/>
      <c r="C40" s="579"/>
      <c r="D40" s="588"/>
      <c r="E40" s="588"/>
      <c r="F40" s="588"/>
      <c r="G40" s="588"/>
      <c r="H40" s="588"/>
      <c r="I40" s="588"/>
      <c r="J40" s="588"/>
      <c r="K40" s="588"/>
      <c r="L40" s="588"/>
      <c r="M40" s="588"/>
      <c r="N40" s="589"/>
      <c r="O40" s="589"/>
      <c r="P40" s="589"/>
      <c r="Q40" s="589"/>
      <c r="R40" s="589"/>
      <c r="S40" s="589"/>
      <c r="T40" s="589"/>
      <c r="U40" s="591"/>
      <c r="V40" s="589"/>
      <c r="W40" s="589"/>
      <c r="X40" s="589"/>
      <c r="Y40" s="589"/>
      <c r="Z40" s="589"/>
      <c r="AA40" s="589"/>
      <c r="AB40" s="589"/>
      <c r="AC40" s="589"/>
      <c r="AD40" s="589"/>
      <c r="AE40" s="589"/>
      <c r="AF40" s="589"/>
      <c r="AG40" s="589"/>
      <c r="AH40" s="589"/>
      <c r="AI40" s="589"/>
      <c r="AJ40" s="589"/>
      <c r="AK40" s="589"/>
      <c r="AL40" s="591"/>
      <c r="AO40" s="589"/>
      <c r="AP40" s="589"/>
      <c r="AQ40" s="589"/>
      <c r="AR40" s="589"/>
      <c r="AS40" s="589"/>
      <c r="AT40" s="589"/>
      <c r="AU40" s="589"/>
      <c r="AV40" s="589"/>
      <c r="AW40" s="589"/>
      <c r="AX40" s="589"/>
      <c r="AY40" s="589"/>
      <c r="AZ40" s="589"/>
      <c r="BA40" s="589"/>
      <c r="BB40" s="589"/>
      <c r="BC40" s="589"/>
      <c r="BD40" s="589"/>
      <c r="BE40" s="589"/>
      <c r="BF40" s="589"/>
      <c r="BG40" s="589"/>
      <c r="BH40" s="589"/>
      <c r="BI40" s="589"/>
      <c r="BJ40" s="589"/>
      <c r="BK40" s="589"/>
      <c r="BL40" s="589"/>
      <c r="BM40" s="589"/>
      <c r="BN40" s="589"/>
      <c r="BO40" s="589"/>
      <c r="BP40" s="589"/>
      <c r="BQ40" s="589"/>
      <c r="BR40" s="589"/>
      <c r="BS40" s="589"/>
      <c r="BT40" s="589"/>
      <c r="BU40" s="591"/>
      <c r="BV40" s="589"/>
      <c r="BW40" s="589"/>
      <c r="BX40" s="589"/>
      <c r="BY40" s="589"/>
      <c r="BZ40" s="589"/>
      <c r="CA40" s="589"/>
      <c r="CB40" s="589"/>
      <c r="CC40" s="589"/>
      <c r="CD40" s="589"/>
      <c r="CE40" s="589"/>
      <c r="CF40" s="589"/>
      <c r="CG40" s="589"/>
      <c r="CH40" s="589"/>
      <c r="CI40" s="589"/>
      <c r="CJ40" s="589"/>
      <c r="CK40" s="589"/>
      <c r="CL40" s="591"/>
    </row>
    <row r="41" spans="2:90" ht="30" customHeight="1" x14ac:dyDescent="0.35">
      <c r="B41" s="578"/>
      <c r="C41" s="579"/>
      <c r="D41" s="588"/>
      <c r="E41" s="588"/>
      <c r="F41" s="588"/>
      <c r="G41" s="588"/>
      <c r="H41" s="588"/>
      <c r="I41" s="588"/>
      <c r="J41" s="588"/>
      <c r="K41" s="588"/>
      <c r="L41" s="588"/>
      <c r="M41" s="588"/>
      <c r="N41" s="589"/>
      <c r="O41" s="589"/>
      <c r="P41" s="589"/>
      <c r="Q41" s="589"/>
      <c r="R41" s="589"/>
      <c r="S41" s="589"/>
      <c r="T41" s="589"/>
      <c r="U41" s="591"/>
      <c r="V41" s="589"/>
      <c r="W41" s="589"/>
      <c r="X41" s="589"/>
      <c r="Y41" s="589"/>
      <c r="Z41" s="589"/>
      <c r="AA41" s="589"/>
      <c r="AB41" s="589"/>
      <c r="AC41" s="589"/>
      <c r="AD41" s="589"/>
      <c r="AE41" s="589"/>
      <c r="AF41" s="589"/>
      <c r="AG41" s="589"/>
      <c r="AH41" s="589"/>
      <c r="AI41" s="589"/>
      <c r="AJ41" s="589"/>
      <c r="AK41" s="589"/>
      <c r="AL41" s="591"/>
      <c r="AO41" s="589"/>
      <c r="AP41" s="589"/>
      <c r="AQ41" s="589"/>
      <c r="AR41" s="589"/>
      <c r="AS41" s="589"/>
      <c r="AT41" s="589"/>
      <c r="AU41" s="589"/>
      <c r="AV41" s="589"/>
      <c r="AW41" s="589"/>
      <c r="AX41" s="589"/>
      <c r="AY41" s="589"/>
      <c r="AZ41" s="589"/>
      <c r="BA41" s="589"/>
      <c r="BB41" s="589"/>
      <c r="BC41" s="589"/>
      <c r="BD41" s="589"/>
      <c r="BE41" s="589"/>
      <c r="BF41" s="589"/>
      <c r="BG41" s="589"/>
      <c r="BH41" s="589"/>
      <c r="BI41" s="589"/>
      <c r="BJ41" s="589"/>
      <c r="BK41" s="589"/>
      <c r="BL41" s="589"/>
      <c r="BM41" s="589"/>
      <c r="BN41" s="589"/>
      <c r="BO41" s="589"/>
      <c r="BP41" s="589"/>
      <c r="BQ41" s="589"/>
      <c r="BR41" s="589"/>
      <c r="BS41" s="589"/>
      <c r="BT41" s="589"/>
      <c r="BU41" s="591"/>
      <c r="BV41" s="589"/>
      <c r="BW41" s="589"/>
      <c r="BX41" s="589"/>
      <c r="BY41" s="589"/>
      <c r="BZ41" s="589"/>
      <c r="CA41" s="589"/>
      <c r="CB41" s="589"/>
      <c r="CC41" s="589"/>
      <c r="CD41" s="589"/>
      <c r="CE41" s="589"/>
      <c r="CF41" s="589"/>
      <c r="CG41" s="589"/>
      <c r="CH41" s="589"/>
      <c r="CI41" s="589"/>
      <c r="CJ41" s="589"/>
      <c r="CK41" s="589"/>
      <c r="CL41" s="591"/>
    </row>
    <row r="42" spans="2:90" ht="30" customHeight="1" x14ac:dyDescent="0.35">
      <c r="B42" s="578"/>
      <c r="C42" s="579"/>
      <c r="D42" s="588"/>
      <c r="E42" s="588"/>
      <c r="F42" s="588"/>
      <c r="G42" s="588"/>
      <c r="H42" s="588"/>
      <c r="I42" s="588"/>
      <c r="J42" s="588"/>
      <c r="K42" s="588"/>
      <c r="L42" s="588"/>
      <c r="M42" s="588"/>
      <c r="N42" s="589"/>
      <c r="O42" s="589"/>
      <c r="P42" s="589"/>
      <c r="Q42" s="589"/>
      <c r="R42" s="589"/>
      <c r="S42" s="589"/>
      <c r="T42" s="589"/>
      <c r="U42" s="591"/>
      <c r="V42" s="589"/>
      <c r="W42" s="589"/>
      <c r="X42" s="589"/>
      <c r="Y42" s="589"/>
      <c r="Z42" s="589"/>
      <c r="AA42" s="589"/>
      <c r="AB42" s="589"/>
      <c r="AC42" s="589"/>
      <c r="AD42" s="589"/>
      <c r="AE42" s="589"/>
      <c r="AF42" s="589"/>
      <c r="AG42" s="589"/>
      <c r="AH42" s="589"/>
      <c r="AI42" s="589"/>
      <c r="AJ42" s="589"/>
      <c r="AK42" s="589"/>
      <c r="AL42" s="591"/>
      <c r="AO42" s="589"/>
      <c r="AP42" s="589"/>
      <c r="AQ42" s="589"/>
      <c r="AR42" s="589"/>
      <c r="AS42" s="589"/>
      <c r="AT42" s="589"/>
      <c r="AU42" s="589"/>
      <c r="AV42" s="589"/>
      <c r="AW42" s="589"/>
      <c r="AX42" s="589"/>
      <c r="AY42" s="589"/>
      <c r="AZ42" s="589"/>
      <c r="BA42" s="589"/>
      <c r="BB42" s="589"/>
      <c r="BC42" s="589"/>
      <c r="BD42" s="589"/>
      <c r="BE42" s="589"/>
      <c r="BF42" s="589"/>
      <c r="BG42" s="589"/>
      <c r="BH42" s="589"/>
      <c r="BI42" s="589"/>
      <c r="BJ42" s="589"/>
      <c r="BK42" s="589"/>
      <c r="BL42" s="589"/>
      <c r="BM42" s="589"/>
      <c r="BN42" s="589"/>
      <c r="BO42" s="589"/>
      <c r="BP42" s="589"/>
      <c r="BQ42" s="589"/>
      <c r="BR42" s="589"/>
      <c r="BS42" s="589"/>
      <c r="BT42" s="589"/>
      <c r="BU42" s="591"/>
      <c r="BV42" s="589"/>
      <c r="BW42" s="589"/>
      <c r="BX42" s="589"/>
      <c r="BY42" s="589"/>
      <c r="BZ42" s="589"/>
      <c r="CA42" s="589"/>
      <c r="CB42" s="589"/>
      <c r="CC42" s="589"/>
      <c r="CD42" s="589"/>
      <c r="CE42" s="589"/>
      <c r="CF42" s="589"/>
      <c r="CG42" s="589"/>
      <c r="CH42" s="589"/>
      <c r="CI42" s="589"/>
      <c r="CJ42" s="589"/>
      <c r="CK42" s="589"/>
      <c r="CL42" s="591"/>
    </row>
    <row r="43" spans="2:90" ht="30" customHeight="1" x14ac:dyDescent="0.35">
      <c r="B43" s="578"/>
      <c r="C43" s="579"/>
      <c r="D43" s="588"/>
      <c r="E43" s="588"/>
      <c r="F43" s="588"/>
      <c r="G43" s="588"/>
      <c r="H43" s="588"/>
      <c r="I43" s="588"/>
      <c r="J43" s="588"/>
      <c r="K43" s="588"/>
      <c r="L43" s="588"/>
      <c r="M43" s="588"/>
      <c r="N43" s="589"/>
      <c r="O43" s="589"/>
      <c r="P43" s="589"/>
      <c r="Q43" s="589"/>
      <c r="R43" s="589"/>
      <c r="S43" s="589"/>
      <c r="T43" s="589"/>
      <c r="U43" s="591"/>
      <c r="V43" s="589"/>
      <c r="W43" s="589"/>
      <c r="X43" s="589"/>
      <c r="Y43" s="589"/>
      <c r="Z43" s="589"/>
      <c r="AA43" s="589"/>
      <c r="AB43" s="589"/>
      <c r="AC43" s="589"/>
      <c r="AD43" s="589"/>
      <c r="AE43" s="589"/>
      <c r="AF43" s="589"/>
      <c r="AG43" s="589"/>
      <c r="AH43" s="589"/>
      <c r="AI43" s="589"/>
      <c r="AJ43" s="589"/>
      <c r="AK43" s="589"/>
      <c r="AL43" s="591"/>
      <c r="AO43" s="589"/>
      <c r="AP43" s="589"/>
      <c r="AQ43" s="589"/>
      <c r="AR43" s="589"/>
      <c r="AS43" s="589"/>
      <c r="AT43" s="589"/>
      <c r="AU43" s="589"/>
      <c r="AV43" s="589"/>
      <c r="AW43" s="589"/>
      <c r="AX43" s="589"/>
      <c r="AY43" s="589"/>
      <c r="AZ43" s="589"/>
      <c r="BA43" s="589"/>
      <c r="BB43" s="589"/>
      <c r="BC43" s="589"/>
      <c r="BD43" s="589"/>
      <c r="BE43" s="589"/>
      <c r="BF43" s="589"/>
      <c r="BG43" s="589"/>
      <c r="BH43" s="589"/>
      <c r="BI43" s="589"/>
      <c r="BJ43" s="589"/>
      <c r="BK43" s="589"/>
      <c r="BL43" s="589"/>
      <c r="BM43" s="589"/>
      <c r="BN43" s="589"/>
      <c r="BO43" s="589"/>
      <c r="BP43" s="589"/>
      <c r="BQ43" s="589"/>
      <c r="BR43" s="589"/>
      <c r="BS43" s="589"/>
      <c r="BT43" s="589"/>
      <c r="BU43" s="591"/>
      <c r="BV43" s="589"/>
      <c r="BW43" s="589"/>
      <c r="BX43" s="589"/>
      <c r="BY43" s="589"/>
      <c r="BZ43" s="589"/>
      <c r="CA43" s="589"/>
      <c r="CB43" s="589"/>
      <c r="CC43" s="589"/>
      <c r="CD43" s="589"/>
      <c r="CE43" s="589"/>
      <c r="CF43" s="589"/>
      <c r="CG43" s="589"/>
      <c r="CH43" s="589"/>
      <c r="CI43" s="589"/>
      <c r="CJ43" s="589"/>
      <c r="CK43" s="589"/>
      <c r="CL43" s="591"/>
    </row>
    <row r="44" spans="2:90" x14ac:dyDescent="0.35">
      <c r="C44" s="482"/>
      <c r="D44" s="592"/>
      <c r="E44" s="592"/>
      <c r="F44" s="592"/>
      <c r="G44" s="592"/>
      <c r="H44" s="593"/>
      <c r="I44" s="593"/>
      <c r="J44" s="593"/>
      <c r="K44" s="593"/>
      <c r="L44" s="593"/>
      <c r="M44" s="593"/>
      <c r="N44" s="482"/>
      <c r="O44" s="482"/>
      <c r="P44" s="482"/>
      <c r="Q44" s="482"/>
      <c r="R44" s="482"/>
      <c r="S44" s="482"/>
      <c r="T44" s="482"/>
      <c r="U44" s="482"/>
      <c r="V44" s="482"/>
      <c r="W44" s="482"/>
      <c r="X44" s="482"/>
      <c r="Y44" s="482"/>
      <c r="Z44" s="482"/>
      <c r="AA44" s="482"/>
      <c r="AB44" s="482"/>
      <c r="AD44" s="482"/>
      <c r="AE44" s="482"/>
      <c r="AF44" s="482"/>
      <c r="AG44" s="482"/>
      <c r="AH44" s="482"/>
      <c r="AI44" s="482"/>
      <c r="AJ44" s="482"/>
      <c r="AO44" s="586"/>
      <c r="AP44" s="586"/>
      <c r="AQ44" s="586"/>
      <c r="AR44" s="586"/>
      <c r="AS44" s="586"/>
      <c r="AT44" s="586"/>
      <c r="AU44" s="586"/>
      <c r="AV44" s="585"/>
      <c r="AW44" s="585"/>
      <c r="AX44" s="585"/>
      <c r="AY44" s="585"/>
      <c r="AZ44" s="585"/>
      <c r="BA44" s="585"/>
      <c r="BB44" s="585"/>
      <c r="BC44" s="585"/>
      <c r="BD44" s="585"/>
      <c r="BE44" s="585"/>
      <c r="BF44" s="585"/>
      <c r="BG44" s="585"/>
      <c r="BH44" s="585"/>
      <c r="BI44" s="482"/>
      <c r="BJ44" s="482"/>
      <c r="BK44" s="482"/>
      <c r="BL44" s="482"/>
      <c r="BM44" s="482"/>
      <c r="BN44" s="482"/>
      <c r="BO44" s="482"/>
      <c r="BP44" s="482"/>
      <c r="BQ44" s="482"/>
      <c r="BR44" s="482"/>
      <c r="BS44" s="482"/>
      <c r="BT44" s="482"/>
      <c r="BU44" s="482"/>
      <c r="BV44" s="482"/>
      <c r="BW44" s="482"/>
      <c r="BX44" s="482"/>
      <c r="BY44" s="482"/>
      <c r="BZ44" s="482"/>
      <c r="CA44" s="482"/>
      <c r="CB44" s="482"/>
      <c r="CD44" s="482"/>
      <c r="CE44" s="482"/>
      <c r="CF44" s="482"/>
      <c r="CG44" s="482"/>
      <c r="CH44" s="482"/>
      <c r="CI44" s="482"/>
      <c r="CJ44" s="482"/>
    </row>
    <row r="45" spans="2:90" x14ac:dyDescent="0.35">
      <c r="C45" s="482"/>
      <c r="D45" s="592"/>
      <c r="E45" s="592"/>
      <c r="F45" s="592"/>
      <c r="G45" s="592"/>
      <c r="H45" s="593"/>
      <c r="I45" s="593"/>
      <c r="J45" s="593"/>
      <c r="K45" s="593"/>
      <c r="L45" s="593"/>
      <c r="M45" s="593"/>
      <c r="N45" s="482"/>
      <c r="O45" s="482"/>
      <c r="P45" s="482"/>
      <c r="Q45" s="482"/>
      <c r="R45" s="482"/>
      <c r="S45" s="482"/>
      <c r="T45" s="482"/>
      <c r="U45" s="482"/>
      <c r="V45" s="482"/>
      <c r="W45" s="482"/>
      <c r="X45" s="482"/>
      <c r="Y45" s="482"/>
      <c r="Z45" s="482"/>
      <c r="AA45" s="482"/>
      <c r="AB45" s="482"/>
      <c r="AD45" s="482"/>
      <c r="AE45" s="482"/>
      <c r="AF45" s="482"/>
      <c r="AG45" s="482"/>
      <c r="AH45" s="482"/>
      <c r="AI45" s="482"/>
      <c r="AJ45" s="482"/>
      <c r="AO45" s="586"/>
      <c r="AP45" s="586"/>
      <c r="AQ45" s="586"/>
      <c r="AR45" s="586"/>
      <c r="AS45" s="586"/>
      <c r="AT45" s="586"/>
      <c r="AU45" s="586"/>
      <c r="AV45" s="585"/>
      <c r="AW45" s="585"/>
      <c r="AX45" s="585"/>
      <c r="AY45" s="585"/>
      <c r="AZ45" s="585"/>
      <c r="BA45" s="585"/>
      <c r="BB45" s="585"/>
      <c r="BC45" s="585"/>
      <c r="BD45" s="585"/>
      <c r="BE45" s="585"/>
      <c r="BF45" s="585"/>
      <c r="BG45" s="585"/>
      <c r="BH45" s="585"/>
      <c r="BI45" s="482"/>
      <c r="BJ45" s="482"/>
      <c r="BK45" s="482"/>
      <c r="BL45" s="482"/>
      <c r="BM45" s="482"/>
      <c r="BN45" s="482"/>
      <c r="BO45" s="482"/>
      <c r="BP45" s="482"/>
      <c r="BQ45" s="482"/>
      <c r="BR45" s="482"/>
      <c r="BS45" s="482"/>
      <c r="BT45" s="482"/>
      <c r="BU45" s="482"/>
      <c r="BV45" s="482"/>
      <c r="BW45" s="482"/>
      <c r="BX45" s="482"/>
      <c r="BY45" s="482"/>
      <c r="BZ45" s="482"/>
      <c r="CA45" s="482"/>
      <c r="CB45" s="482"/>
      <c r="CD45" s="482"/>
      <c r="CE45" s="482"/>
      <c r="CF45" s="482"/>
      <c r="CG45" s="482"/>
      <c r="CH45" s="482"/>
      <c r="CI45" s="482"/>
      <c r="CJ45" s="482"/>
    </row>
    <row r="46" spans="2:90" x14ac:dyDescent="0.35">
      <c r="C46" s="482"/>
      <c r="D46" s="592"/>
      <c r="E46" s="592"/>
      <c r="F46" s="592"/>
      <c r="G46" s="592"/>
      <c r="H46" s="593"/>
      <c r="I46" s="593"/>
      <c r="J46" s="593"/>
      <c r="K46" s="593"/>
      <c r="L46" s="593"/>
      <c r="M46" s="593"/>
      <c r="N46" s="482"/>
      <c r="O46" s="482"/>
      <c r="P46" s="482"/>
      <c r="Q46" s="482"/>
      <c r="R46" s="482"/>
      <c r="S46" s="482"/>
      <c r="T46" s="482"/>
      <c r="U46" s="482"/>
      <c r="V46" s="482"/>
      <c r="W46" s="482"/>
      <c r="X46" s="482"/>
      <c r="Y46" s="482"/>
      <c r="Z46" s="482"/>
      <c r="AA46" s="482"/>
      <c r="AB46" s="482"/>
      <c r="AD46" s="482"/>
      <c r="AE46" s="482"/>
      <c r="AF46" s="482"/>
      <c r="AG46" s="482"/>
      <c r="AH46" s="482"/>
      <c r="AI46" s="482"/>
      <c r="AJ46" s="482"/>
      <c r="AO46" s="586"/>
      <c r="AP46" s="586"/>
      <c r="AQ46" s="586"/>
      <c r="AR46" s="586"/>
      <c r="AS46" s="586"/>
      <c r="AT46" s="586"/>
      <c r="AU46" s="586"/>
      <c r="AV46" s="585"/>
      <c r="AW46" s="585"/>
      <c r="AX46" s="585"/>
      <c r="AY46" s="585"/>
      <c r="AZ46" s="585"/>
      <c r="BA46" s="585"/>
      <c r="BB46" s="585"/>
      <c r="BC46" s="585"/>
      <c r="BD46" s="585"/>
      <c r="BE46" s="585"/>
      <c r="BF46" s="585"/>
      <c r="BG46" s="585"/>
      <c r="BH46" s="585"/>
      <c r="BI46" s="482"/>
      <c r="BJ46" s="482"/>
      <c r="BK46" s="482"/>
      <c r="BL46" s="482"/>
      <c r="BM46" s="482"/>
      <c r="BN46" s="482"/>
      <c r="BO46" s="482"/>
      <c r="BP46" s="482"/>
      <c r="BQ46" s="482"/>
      <c r="BR46" s="482"/>
      <c r="BS46" s="482"/>
      <c r="BT46" s="482"/>
      <c r="BU46" s="482"/>
      <c r="BV46" s="482"/>
      <c r="BW46" s="482"/>
      <c r="BX46" s="482"/>
      <c r="BY46" s="482"/>
      <c r="BZ46" s="482"/>
      <c r="CA46" s="482"/>
      <c r="CB46" s="482"/>
      <c r="CD46" s="482"/>
      <c r="CE46" s="482"/>
      <c r="CF46" s="482"/>
      <c r="CG46" s="482"/>
      <c r="CH46" s="482"/>
      <c r="CI46" s="482"/>
      <c r="CJ46" s="482"/>
    </row>
    <row r="47" spans="2:90" hidden="1" x14ac:dyDescent="0.35">
      <c r="B47" s="482"/>
      <c r="C47" s="482"/>
      <c r="D47" s="482"/>
      <c r="E47" s="482"/>
      <c r="F47" s="482"/>
      <c r="G47" s="482"/>
      <c r="H47" s="594"/>
      <c r="I47" s="594"/>
      <c r="J47" s="594"/>
      <c r="K47" s="594"/>
      <c r="L47" s="594"/>
      <c r="M47" s="594"/>
      <c r="N47" s="482"/>
      <c r="O47" s="482"/>
      <c r="P47" s="482"/>
      <c r="Q47" s="482"/>
      <c r="R47" s="482"/>
      <c r="S47" s="482"/>
      <c r="T47" s="482"/>
      <c r="U47" s="482"/>
      <c r="V47" s="482"/>
      <c r="W47" s="482"/>
      <c r="X47" s="482"/>
      <c r="Y47" s="482"/>
      <c r="Z47" s="482"/>
      <c r="AA47" s="482"/>
      <c r="AB47" s="482"/>
      <c r="AD47" s="482"/>
      <c r="AE47" s="482"/>
      <c r="AF47" s="482"/>
      <c r="AG47" s="482"/>
      <c r="AH47" s="482"/>
      <c r="AI47" s="482"/>
      <c r="AJ47" s="482"/>
      <c r="AO47" s="482"/>
      <c r="AP47" s="482"/>
      <c r="AQ47" s="482"/>
      <c r="AR47" s="482"/>
      <c r="AS47" s="482"/>
      <c r="AT47" s="482"/>
      <c r="AU47" s="482"/>
      <c r="AV47" s="482"/>
      <c r="AW47" s="482"/>
      <c r="AX47" s="482"/>
      <c r="AY47" s="482"/>
      <c r="AZ47" s="482"/>
      <c r="BA47" s="482"/>
      <c r="BB47" s="482"/>
      <c r="BC47" s="482"/>
      <c r="BD47" s="482"/>
      <c r="BE47" s="482"/>
      <c r="BF47" s="482"/>
      <c r="BG47" s="482"/>
      <c r="BH47" s="482"/>
      <c r="BI47" s="482"/>
      <c r="BJ47" s="482"/>
      <c r="BK47" s="482"/>
      <c r="BL47" s="482"/>
      <c r="BM47" s="482"/>
      <c r="BN47" s="482"/>
      <c r="BO47" s="482"/>
      <c r="BP47" s="482"/>
      <c r="BQ47" s="482"/>
      <c r="BR47" s="482"/>
      <c r="BS47" s="482"/>
      <c r="BT47" s="482"/>
      <c r="BU47" s="482"/>
      <c r="BV47" s="482"/>
      <c r="BW47" s="482"/>
      <c r="BX47" s="482"/>
      <c r="BY47" s="482"/>
      <c r="BZ47" s="482"/>
      <c r="CA47" s="482"/>
      <c r="CB47" s="482"/>
      <c r="CD47" s="482"/>
      <c r="CE47" s="482"/>
      <c r="CF47" s="482"/>
      <c r="CG47" s="482"/>
      <c r="CH47" s="482"/>
      <c r="CI47" s="482"/>
      <c r="CJ47" s="482"/>
    </row>
    <row r="48" spans="2:90" x14ac:dyDescent="0.35">
      <c r="C48" s="482"/>
      <c r="D48" s="592"/>
      <c r="E48" s="592"/>
      <c r="F48" s="592"/>
      <c r="G48" s="592"/>
      <c r="H48" s="593"/>
      <c r="I48" s="593"/>
      <c r="J48" s="593"/>
      <c r="K48" s="593"/>
      <c r="L48" s="593"/>
      <c r="M48" s="593"/>
      <c r="N48" s="482"/>
      <c r="O48" s="482"/>
      <c r="P48" s="482"/>
      <c r="Q48" s="482"/>
      <c r="R48" s="482"/>
      <c r="S48" s="482"/>
      <c r="T48" s="482"/>
      <c r="U48" s="482"/>
      <c r="V48" s="482"/>
      <c r="W48" s="482"/>
      <c r="X48" s="482"/>
      <c r="Y48" s="482"/>
      <c r="Z48" s="482"/>
      <c r="AA48" s="482"/>
      <c r="AB48" s="482"/>
      <c r="AD48" s="482"/>
      <c r="AE48" s="482"/>
      <c r="AF48" s="482"/>
      <c r="AG48" s="482"/>
      <c r="AH48" s="482"/>
      <c r="AI48" s="482"/>
      <c r="AJ48" s="482"/>
      <c r="AO48" s="586"/>
      <c r="AP48" s="586"/>
      <c r="AQ48" s="586"/>
      <c r="AR48" s="586"/>
      <c r="AS48" s="586"/>
      <c r="AT48" s="586"/>
      <c r="AU48" s="586"/>
      <c r="AV48" s="585"/>
      <c r="AW48" s="585"/>
      <c r="AX48" s="585"/>
      <c r="AY48" s="585"/>
      <c r="AZ48" s="585"/>
      <c r="BA48" s="585"/>
      <c r="BB48" s="585"/>
      <c r="BC48" s="585"/>
      <c r="BD48" s="585"/>
      <c r="BE48" s="585"/>
      <c r="BF48" s="585"/>
      <c r="BG48" s="585"/>
      <c r="BH48" s="585"/>
      <c r="BI48" s="482"/>
      <c r="BJ48" s="482"/>
      <c r="BK48" s="482"/>
      <c r="BL48" s="482"/>
      <c r="BM48" s="482"/>
      <c r="BN48" s="482"/>
      <c r="BO48" s="482"/>
      <c r="BP48" s="482"/>
      <c r="BQ48" s="482"/>
      <c r="BR48" s="482"/>
      <c r="BS48" s="482"/>
      <c r="BT48" s="482"/>
      <c r="BU48" s="482"/>
      <c r="BV48" s="482"/>
      <c r="BW48" s="482"/>
      <c r="BX48" s="482"/>
      <c r="BY48" s="482"/>
      <c r="BZ48" s="482"/>
      <c r="CA48" s="482"/>
      <c r="CB48" s="482"/>
      <c r="CD48" s="482"/>
      <c r="CE48" s="482"/>
      <c r="CF48" s="482"/>
      <c r="CG48" s="482"/>
      <c r="CH48" s="482"/>
      <c r="CI48" s="482"/>
      <c r="CJ48" s="482"/>
    </row>
    <row r="49" spans="1:207" s="595" customFormat="1" x14ac:dyDescent="0.35">
      <c r="A49" s="482"/>
      <c r="B49" s="483"/>
      <c r="C49" s="482"/>
      <c r="D49" s="592"/>
      <c r="E49" s="592"/>
      <c r="F49" s="592"/>
      <c r="G49" s="592"/>
      <c r="H49" s="593"/>
      <c r="I49" s="593"/>
      <c r="J49" s="593"/>
      <c r="K49" s="593"/>
      <c r="L49" s="593"/>
      <c r="M49" s="593"/>
      <c r="N49" s="482"/>
      <c r="O49" s="482"/>
      <c r="P49" s="482"/>
      <c r="Q49" s="482"/>
      <c r="R49" s="482"/>
      <c r="S49" s="482"/>
      <c r="T49" s="482"/>
      <c r="U49" s="482"/>
      <c r="V49" s="482"/>
      <c r="W49" s="482"/>
      <c r="X49" s="482"/>
      <c r="Y49" s="482"/>
      <c r="Z49" s="482"/>
      <c r="AA49" s="482"/>
      <c r="AB49" s="482"/>
      <c r="AC49" s="482"/>
      <c r="AD49" s="482"/>
      <c r="AE49" s="482"/>
      <c r="AF49" s="482"/>
      <c r="AG49" s="482"/>
      <c r="AH49" s="482"/>
      <c r="AI49" s="482"/>
      <c r="AJ49" s="482"/>
      <c r="AK49" s="482"/>
      <c r="AL49" s="482"/>
      <c r="AM49" s="482"/>
      <c r="AN49" s="482"/>
      <c r="AO49" s="586"/>
      <c r="AP49" s="586"/>
      <c r="AQ49" s="586"/>
      <c r="AR49" s="586"/>
      <c r="AS49" s="586"/>
      <c r="AT49" s="586"/>
      <c r="AU49" s="586"/>
      <c r="AV49" s="585"/>
      <c r="AW49" s="585"/>
      <c r="AX49" s="585"/>
      <c r="AY49" s="585"/>
      <c r="AZ49" s="585"/>
      <c r="BA49" s="585"/>
      <c r="BB49" s="585"/>
      <c r="BC49" s="585"/>
      <c r="BD49" s="585"/>
      <c r="BE49" s="585"/>
      <c r="BF49" s="585"/>
      <c r="BG49" s="585"/>
      <c r="BH49" s="585"/>
      <c r="BI49" s="482"/>
      <c r="BJ49" s="482"/>
      <c r="BK49" s="482"/>
      <c r="BL49" s="482"/>
      <c r="BM49" s="482"/>
      <c r="BN49" s="482"/>
      <c r="BO49" s="482"/>
      <c r="BP49" s="482"/>
      <c r="BQ49" s="482"/>
      <c r="BR49" s="482"/>
      <c r="BS49" s="482"/>
      <c r="BT49" s="482"/>
      <c r="BU49" s="482"/>
      <c r="BV49" s="482"/>
      <c r="BW49" s="482"/>
      <c r="BX49" s="482"/>
      <c r="BY49" s="482"/>
      <c r="BZ49" s="482"/>
      <c r="CA49" s="482"/>
      <c r="CB49" s="482"/>
      <c r="CC49" s="482"/>
      <c r="CD49" s="482"/>
      <c r="CE49" s="482"/>
      <c r="CF49" s="482"/>
      <c r="CG49" s="482"/>
      <c r="CH49" s="482"/>
      <c r="CI49" s="482"/>
      <c r="CJ49" s="482"/>
      <c r="CK49" s="482"/>
      <c r="CL49" s="482"/>
      <c r="CM49" s="482"/>
      <c r="CN49" s="482"/>
      <c r="CO49" s="482"/>
      <c r="CP49" s="482"/>
      <c r="CQ49" s="482"/>
      <c r="CR49" s="482"/>
      <c r="CS49" s="482"/>
      <c r="CT49" s="482"/>
      <c r="CU49" s="482"/>
      <c r="CV49" s="482"/>
      <c r="CW49" s="482"/>
      <c r="CX49" s="482"/>
      <c r="CY49" s="482"/>
      <c r="CZ49" s="482"/>
      <c r="DA49" s="482"/>
      <c r="DB49" s="482"/>
      <c r="DC49" s="482"/>
      <c r="DD49" s="482"/>
      <c r="DE49" s="482"/>
      <c r="DF49" s="482"/>
      <c r="DG49" s="482"/>
      <c r="DH49" s="482"/>
      <c r="DI49" s="482"/>
      <c r="DJ49" s="482"/>
      <c r="DK49" s="482"/>
      <c r="DL49" s="482"/>
      <c r="DM49" s="482"/>
      <c r="DN49" s="482"/>
      <c r="DO49" s="482"/>
      <c r="DP49" s="482"/>
      <c r="DQ49" s="482"/>
      <c r="DR49" s="482"/>
      <c r="DS49" s="482"/>
      <c r="DT49" s="482"/>
      <c r="DU49" s="482"/>
      <c r="DV49" s="482"/>
      <c r="DW49" s="482"/>
      <c r="DX49" s="482"/>
      <c r="DY49" s="482"/>
      <c r="DZ49" s="482"/>
      <c r="EA49" s="482"/>
      <c r="EB49" s="482"/>
      <c r="EC49" s="482"/>
      <c r="ED49" s="482"/>
      <c r="EE49" s="482"/>
      <c r="EF49" s="482"/>
      <c r="EG49" s="482"/>
      <c r="EH49" s="482"/>
      <c r="EI49" s="482"/>
      <c r="EJ49" s="482"/>
      <c r="EK49" s="482"/>
      <c r="EL49" s="482"/>
      <c r="EM49" s="482"/>
      <c r="EN49" s="482"/>
      <c r="EO49" s="482"/>
      <c r="EP49" s="482"/>
      <c r="EQ49" s="482"/>
      <c r="ER49" s="482"/>
      <c r="ES49" s="482"/>
      <c r="ET49" s="482"/>
      <c r="EU49" s="482"/>
      <c r="EV49" s="482"/>
      <c r="EW49" s="482"/>
      <c r="EX49" s="482"/>
      <c r="EY49" s="482"/>
      <c r="EZ49" s="482"/>
      <c r="FA49" s="482"/>
      <c r="FB49" s="482"/>
      <c r="FC49" s="482"/>
      <c r="FD49" s="482"/>
      <c r="FE49" s="482"/>
      <c r="FF49" s="482"/>
      <c r="FG49" s="482"/>
      <c r="FH49" s="482"/>
      <c r="FI49" s="482"/>
      <c r="FJ49" s="482"/>
      <c r="FK49" s="482"/>
      <c r="FL49" s="482"/>
      <c r="FM49" s="482"/>
      <c r="FN49" s="482"/>
      <c r="FO49" s="482"/>
      <c r="FP49" s="482"/>
      <c r="FQ49" s="482"/>
      <c r="FR49" s="482"/>
      <c r="FS49" s="482"/>
      <c r="FT49" s="482"/>
      <c r="FU49" s="482"/>
      <c r="FV49" s="482"/>
      <c r="FW49" s="482"/>
      <c r="FX49" s="482"/>
      <c r="FY49" s="482"/>
      <c r="FZ49" s="482"/>
      <c r="GA49" s="482"/>
      <c r="GB49" s="482"/>
      <c r="GC49" s="482"/>
      <c r="GD49" s="482"/>
      <c r="GE49" s="482"/>
      <c r="GF49" s="482"/>
      <c r="GG49" s="482"/>
      <c r="GH49" s="482"/>
      <c r="GI49" s="482"/>
      <c r="GJ49" s="482"/>
      <c r="GK49" s="482"/>
      <c r="GL49" s="482"/>
      <c r="GM49" s="482"/>
      <c r="GN49" s="482"/>
      <c r="GO49" s="482"/>
      <c r="GP49" s="482"/>
      <c r="GQ49" s="482"/>
      <c r="GR49" s="482"/>
      <c r="GS49" s="482"/>
      <c r="GT49" s="482"/>
      <c r="GU49" s="482"/>
      <c r="GV49" s="482"/>
      <c r="GW49" s="482"/>
      <c r="GX49" s="482"/>
      <c r="GY49" s="482"/>
    </row>
    <row r="50" spans="1:207" s="583" customFormat="1" ht="30" customHeight="1" x14ac:dyDescent="0.35">
      <c r="B50" s="578"/>
      <c r="C50" s="579"/>
      <c r="D50" s="588"/>
      <c r="E50" s="588"/>
      <c r="F50" s="588"/>
      <c r="G50" s="588"/>
      <c r="H50" s="588"/>
      <c r="I50" s="588"/>
      <c r="J50" s="588"/>
      <c r="K50" s="588"/>
      <c r="L50" s="588"/>
      <c r="M50" s="588"/>
      <c r="N50" s="585"/>
      <c r="O50" s="589"/>
      <c r="P50" s="589"/>
      <c r="Q50" s="589"/>
      <c r="R50" s="589"/>
      <c r="S50" s="589"/>
      <c r="T50" s="589"/>
      <c r="U50" s="589"/>
      <c r="V50" s="589"/>
      <c r="W50" s="589"/>
      <c r="X50" s="589"/>
      <c r="Y50" s="589"/>
      <c r="Z50" s="589"/>
      <c r="AA50" s="589"/>
      <c r="AB50" s="589"/>
      <c r="AC50" s="589"/>
      <c r="AD50" s="589"/>
      <c r="AE50" s="589"/>
      <c r="AF50" s="589"/>
      <c r="AG50" s="589"/>
      <c r="AH50" s="589"/>
      <c r="AI50" s="589"/>
      <c r="AJ50" s="589"/>
      <c r="AK50" s="589"/>
      <c r="AO50" s="589"/>
      <c r="AP50" s="589"/>
      <c r="AQ50" s="589"/>
      <c r="AR50" s="589"/>
      <c r="AS50" s="589"/>
      <c r="AT50" s="589"/>
      <c r="AU50" s="589"/>
      <c r="AV50" s="589"/>
      <c r="AW50" s="589"/>
      <c r="AX50" s="589"/>
      <c r="AY50" s="589"/>
      <c r="AZ50" s="589"/>
      <c r="BA50" s="589"/>
      <c r="BB50" s="589"/>
      <c r="BC50" s="589"/>
      <c r="BD50" s="589"/>
      <c r="BE50" s="589"/>
      <c r="BF50" s="589"/>
      <c r="BG50" s="589"/>
      <c r="BH50" s="589"/>
      <c r="BI50" s="589"/>
      <c r="BJ50" s="589"/>
      <c r="BK50" s="589"/>
      <c r="BL50" s="589"/>
      <c r="BM50" s="589"/>
      <c r="BN50" s="585"/>
      <c r="BO50" s="589"/>
      <c r="BP50" s="589"/>
      <c r="BQ50" s="589"/>
      <c r="BR50" s="589"/>
      <c r="BS50" s="589"/>
      <c r="BT50" s="589"/>
      <c r="BU50" s="589"/>
      <c r="BV50" s="589"/>
      <c r="BW50" s="589"/>
      <c r="BX50" s="589"/>
      <c r="BY50" s="589"/>
      <c r="BZ50" s="589"/>
      <c r="CA50" s="589"/>
      <c r="CB50" s="589"/>
      <c r="CC50" s="589"/>
      <c r="CD50" s="589"/>
      <c r="CE50" s="589"/>
      <c r="CF50" s="589"/>
      <c r="CG50" s="589"/>
      <c r="CH50" s="589"/>
      <c r="CI50" s="589"/>
      <c r="CJ50" s="589"/>
      <c r="CK50" s="589"/>
    </row>
    <row r="51" spans="1:207" ht="30" customHeight="1" x14ac:dyDescent="0.35">
      <c r="B51" s="578"/>
      <c r="C51" s="579"/>
      <c r="D51" s="588"/>
      <c r="E51" s="588"/>
      <c r="F51" s="588"/>
      <c r="G51" s="588"/>
      <c r="H51" s="588"/>
      <c r="I51" s="588"/>
      <c r="J51" s="588"/>
      <c r="K51" s="588"/>
      <c r="L51" s="588"/>
      <c r="M51" s="588"/>
      <c r="N51" s="589"/>
      <c r="O51" s="589"/>
      <c r="P51" s="589"/>
      <c r="Q51" s="589"/>
      <c r="R51" s="589"/>
      <c r="S51" s="589"/>
      <c r="T51" s="589"/>
      <c r="U51" s="589"/>
      <c r="V51" s="589"/>
      <c r="W51" s="589"/>
      <c r="X51" s="589"/>
      <c r="Y51" s="589"/>
      <c r="Z51" s="589"/>
      <c r="AA51" s="589"/>
      <c r="AB51" s="589"/>
      <c r="AC51" s="589"/>
      <c r="AD51" s="589"/>
      <c r="AE51" s="589"/>
      <c r="AF51" s="589"/>
      <c r="AG51" s="589"/>
      <c r="AH51" s="589"/>
      <c r="AI51" s="589"/>
      <c r="AJ51" s="589"/>
      <c r="AK51" s="589"/>
      <c r="AO51" s="589"/>
      <c r="AP51" s="589"/>
      <c r="AQ51" s="589"/>
      <c r="AR51" s="589"/>
      <c r="AS51" s="589"/>
      <c r="AT51" s="589"/>
      <c r="AU51" s="589"/>
      <c r="AV51" s="589"/>
      <c r="AW51" s="589"/>
      <c r="AX51" s="589"/>
      <c r="AY51" s="589"/>
      <c r="AZ51" s="589"/>
      <c r="BA51" s="589"/>
      <c r="BB51" s="589"/>
      <c r="BC51" s="589"/>
      <c r="BD51" s="589"/>
      <c r="BE51" s="589"/>
      <c r="BF51" s="589"/>
      <c r="BG51" s="589"/>
      <c r="BH51" s="589"/>
      <c r="BI51" s="589"/>
      <c r="BJ51" s="589"/>
      <c r="BK51" s="589"/>
      <c r="BL51" s="589"/>
      <c r="BM51" s="589"/>
      <c r="BN51" s="589"/>
      <c r="BO51" s="589"/>
      <c r="BP51" s="589"/>
      <c r="BQ51" s="589"/>
      <c r="BR51" s="589"/>
      <c r="BS51" s="589"/>
      <c r="BT51" s="589"/>
      <c r="BU51" s="589"/>
      <c r="BV51" s="589"/>
      <c r="BW51" s="589"/>
      <c r="BX51" s="589"/>
      <c r="BY51" s="589"/>
      <c r="BZ51" s="589"/>
      <c r="CA51" s="589"/>
      <c r="CB51" s="589"/>
      <c r="CC51" s="589"/>
      <c r="CD51" s="589"/>
      <c r="CE51" s="589"/>
      <c r="CF51" s="589"/>
      <c r="CG51" s="589"/>
      <c r="CH51" s="589"/>
      <c r="CI51" s="589"/>
      <c r="CJ51" s="589"/>
      <c r="CK51" s="589"/>
    </row>
    <row r="52" spans="1:207" ht="30" customHeight="1" x14ac:dyDescent="0.35">
      <c r="B52" s="578"/>
      <c r="C52" s="579"/>
      <c r="D52" s="588"/>
      <c r="E52" s="588"/>
      <c r="F52" s="588"/>
      <c r="G52" s="588"/>
      <c r="H52" s="588"/>
      <c r="I52" s="588"/>
      <c r="J52" s="588"/>
      <c r="K52" s="588"/>
      <c r="L52" s="588"/>
      <c r="M52" s="588"/>
      <c r="N52" s="589"/>
      <c r="O52" s="589"/>
      <c r="P52" s="589"/>
      <c r="Q52" s="589"/>
      <c r="R52" s="589"/>
      <c r="S52" s="589"/>
      <c r="T52" s="589"/>
      <c r="U52" s="589"/>
      <c r="V52" s="589"/>
      <c r="W52" s="589"/>
      <c r="X52" s="589"/>
      <c r="Y52" s="589"/>
      <c r="Z52" s="589"/>
      <c r="AA52" s="589"/>
      <c r="AB52" s="589"/>
      <c r="AC52" s="589"/>
      <c r="AD52" s="589"/>
      <c r="AE52" s="589"/>
      <c r="AF52" s="589"/>
      <c r="AG52" s="589"/>
      <c r="AH52" s="589"/>
      <c r="AI52" s="589"/>
      <c r="AJ52" s="589"/>
      <c r="AK52" s="589"/>
      <c r="AO52" s="589"/>
      <c r="AP52" s="589"/>
      <c r="AQ52" s="589"/>
      <c r="AR52" s="589"/>
      <c r="AS52" s="589"/>
      <c r="AT52" s="589"/>
      <c r="AU52" s="589"/>
      <c r="AV52" s="589"/>
      <c r="AW52" s="589"/>
      <c r="AX52" s="589"/>
      <c r="AY52" s="589"/>
      <c r="AZ52" s="589"/>
      <c r="BA52" s="589"/>
      <c r="BB52" s="589"/>
      <c r="BC52" s="589"/>
      <c r="BD52" s="589"/>
      <c r="BE52" s="589"/>
      <c r="BF52" s="589"/>
      <c r="BG52" s="589"/>
      <c r="BH52" s="589"/>
      <c r="BI52" s="589"/>
      <c r="BJ52" s="589"/>
      <c r="BK52" s="589"/>
      <c r="BL52" s="589"/>
      <c r="BM52" s="589"/>
      <c r="BN52" s="589"/>
      <c r="BO52" s="589"/>
      <c r="BP52" s="589"/>
      <c r="BQ52" s="589"/>
      <c r="BR52" s="589"/>
      <c r="BS52" s="589"/>
      <c r="BT52" s="589"/>
      <c r="BU52" s="589"/>
      <c r="BV52" s="589"/>
      <c r="BW52" s="589"/>
      <c r="BX52" s="589"/>
      <c r="BY52" s="589"/>
      <c r="BZ52" s="589"/>
      <c r="CA52" s="589"/>
      <c r="CB52" s="589"/>
      <c r="CC52" s="589"/>
      <c r="CD52" s="589"/>
      <c r="CE52" s="589"/>
      <c r="CF52" s="589"/>
      <c r="CG52" s="589"/>
      <c r="CH52" s="589"/>
      <c r="CI52" s="589"/>
      <c r="CJ52" s="589"/>
      <c r="CK52" s="589"/>
    </row>
    <row r="53" spans="1:207" s="583" customFormat="1" ht="30" customHeight="1" x14ac:dyDescent="0.35">
      <c r="B53" s="578"/>
      <c r="C53" s="579"/>
      <c r="D53" s="588"/>
      <c r="E53" s="588"/>
      <c r="F53" s="588"/>
      <c r="G53" s="588"/>
      <c r="H53" s="588"/>
      <c r="I53" s="588"/>
      <c r="J53" s="588"/>
      <c r="K53" s="588"/>
      <c r="L53" s="588"/>
      <c r="M53" s="588"/>
      <c r="N53" s="585"/>
      <c r="O53" s="585"/>
      <c r="P53" s="585"/>
      <c r="Q53" s="585"/>
      <c r="R53" s="585"/>
      <c r="S53" s="585"/>
      <c r="T53" s="585"/>
      <c r="U53" s="585"/>
      <c r="V53" s="585"/>
      <c r="W53" s="585"/>
      <c r="X53" s="585"/>
      <c r="Y53" s="582"/>
      <c r="Z53" s="585"/>
      <c r="AA53" s="585"/>
      <c r="AB53" s="585"/>
      <c r="AC53" s="585"/>
      <c r="AD53" s="585"/>
      <c r="AE53" s="585"/>
      <c r="AF53" s="585"/>
      <c r="AG53" s="585"/>
      <c r="AH53" s="585"/>
      <c r="AI53" s="585"/>
      <c r="AJ53" s="585"/>
      <c r="AK53" s="585"/>
      <c r="AO53" s="586"/>
      <c r="AP53" s="586"/>
      <c r="AQ53" s="586"/>
      <c r="AR53" s="586"/>
      <c r="AS53" s="586"/>
      <c r="AT53" s="586"/>
      <c r="AU53" s="586"/>
      <c r="AV53" s="585"/>
      <c r="AW53" s="585"/>
      <c r="AX53" s="585"/>
      <c r="AY53" s="585"/>
      <c r="AZ53" s="585"/>
      <c r="BA53" s="585"/>
      <c r="BB53" s="585"/>
      <c r="BC53" s="585"/>
      <c r="BD53" s="585"/>
      <c r="BE53" s="585"/>
      <c r="BF53" s="585"/>
      <c r="BG53" s="585"/>
      <c r="BH53" s="585"/>
      <c r="BI53" s="585"/>
      <c r="BJ53" s="585"/>
      <c r="BK53" s="585"/>
      <c r="BL53" s="585"/>
      <c r="BM53" s="585"/>
      <c r="BN53" s="585"/>
      <c r="BO53" s="585"/>
      <c r="BP53" s="585"/>
      <c r="BQ53" s="585"/>
      <c r="BR53" s="585"/>
      <c r="BS53" s="585"/>
      <c r="BT53" s="585"/>
      <c r="BU53" s="585"/>
      <c r="BV53" s="585"/>
      <c r="BW53" s="585"/>
      <c r="BX53" s="585"/>
      <c r="BY53" s="582"/>
      <c r="BZ53" s="585"/>
      <c r="CA53" s="585"/>
      <c r="CB53" s="585"/>
      <c r="CC53" s="585"/>
      <c r="CD53" s="585"/>
      <c r="CE53" s="585"/>
      <c r="CF53" s="585"/>
      <c r="CG53" s="585"/>
      <c r="CH53" s="585"/>
      <c r="CI53" s="585"/>
      <c r="CJ53" s="585"/>
      <c r="CK53" s="585"/>
    </row>
    <row r="54" spans="1:207" s="583" customFormat="1" ht="30" customHeight="1" x14ac:dyDescent="0.35">
      <c r="B54" s="578"/>
      <c r="C54" s="579"/>
      <c r="D54" s="588"/>
      <c r="E54" s="588"/>
      <c r="F54" s="588"/>
      <c r="G54" s="588"/>
      <c r="H54" s="588"/>
      <c r="I54" s="588"/>
      <c r="J54" s="588"/>
      <c r="K54" s="588"/>
      <c r="L54" s="588"/>
      <c r="M54" s="588"/>
      <c r="N54" s="585"/>
      <c r="O54" s="585"/>
      <c r="P54" s="585"/>
      <c r="Q54" s="585"/>
      <c r="R54" s="585"/>
      <c r="S54" s="585"/>
      <c r="T54" s="585"/>
      <c r="U54" s="585"/>
      <c r="V54" s="585"/>
      <c r="W54" s="585"/>
      <c r="X54" s="585"/>
      <c r="Y54" s="585"/>
      <c r="Z54" s="585"/>
      <c r="AA54" s="585"/>
      <c r="AB54" s="585"/>
      <c r="AC54" s="585"/>
      <c r="AD54" s="585"/>
      <c r="AE54" s="585"/>
      <c r="AF54" s="585"/>
      <c r="AG54" s="585"/>
      <c r="AH54" s="585"/>
      <c r="AI54" s="585"/>
      <c r="AJ54" s="585"/>
      <c r="AK54" s="585"/>
      <c r="AO54" s="586"/>
      <c r="AP54" s="586"/>
      <c r="AQ54" s="586"/>
      <c r="AR54" s="586"/>
      <c r="AS54" s="586"/>
      <c r="AT54" s="586"/>
      <c r="AU54" s="586"/>
      <c r="AV54" s="585"/>
      <c r="AW54" s="585"/>
      <c r="AX54" s="585"/>
      <c r="AY54" s="585"/>
      <c r="AZ54" s="585"/>
      <c r="BA54" s="585"/>
      <c r="BB54" s="585"/>
      <c r="BC54" s="585"/>
      <c r="BD54" s="585"/>
      <c r="BE54" s="585"/>
      <c r="BF54" s="585"/>
      <c r="BG54" s="585"/>
      <c r="BH54" s="585"/>
      <c r="BI54" s="585"/>
      <c r="BJ54" s="585"/>
      <c r="BK54" s="585"/>
      <c r="BL54" s="585"/>
      <c r="BM54" s="585"/>
      <c r="BN54" s="585"/>
      <c r="BO54" s="585"/>
      <c r="BP54" s="585"/>
      <c r="BQ54" s="585"/>
      <c r="BR54" s="585"/>
      <c r="BS54" s="585"/>
      <c r="BT54" s="585"/>
      <c r="BU54" s="585"/>
      <c r="BV54" s="585"/>
      <c r="BW54" s="585"/>
      <c r="BX54" s="585"/>
      <c r="BY54" s="585"/>
      <c r="BZ54" s="585"/>
      <c r="CA54" s="585"/>
      <c r="CB54" s="585"/>
      <c r="CC54" s="585"/>
      <c r="CD54" s="585"/>
      <c r="CE54" s="585"/>
      <c r="CF54" s="585"/>
      <c r="CG54" s="585"/>
      <c r="CH54" s="585"/>
      <c r="CI54" s="585"/>
      <c r="CJ54" s="585"/>
      <c r="CK54" s="585"/>
    </row>
    <row r="55" spans="1:207" s="583" customFormat="1" ht="30" customHeight="1" x14ac:dyDescent="0.35">
      <c r="B55" s="578"/>
      <c r="C55" s="579"/>
      <c r="D55" s="588"/>
      <c r="E55" s="588"/>
      <c r="F55" s="588"/>
      <c r="G55" s="588"/>
      <c r="H55" s="588"/>
      <c r="I55" s="588"/>
      <c r="J55" s="588"/>
      <c r="K55" s="588"/>
      <c r="L55" s="588"/>
      <c r="M55" s="588"/>
      <c r="N55" s="589"/>
      <c r="O55" s="589"/>
      <c r="P55" s="589"/>
      <c r="Q55" s="589"/>
      <c r="R55" s="589"/>
      <c r="S55" s="589"/>
      <c r="T55" s="589"/>
      <c r="U55" s="589"/>
      <c r="V55" s="589"/>
      <c r="W55" s="589"/>
      <c r="X55" s="589"/>
      <c r="Y55" s="589"/>
      <c r="Z55" s="589"/>
      <c r="AA55" s="589"/>
      <c r="AB55" s="589"/>
      <c r="AC55" s="589"/>
      <c r="AD55" s="589"/>
      <c r="AE55" s="589"/>
      <c r="AF55" s="589"/>
      <c r="AG55" s="589"/>
      <c r="AH55" s="589"/>
      <c r="AI55" s="589"/>
      <c r="AJ55" s="589"/>
      <c r="AK55" s="589"/>
      <c r="AO55" s="589"/>
      <c r="AP55" s="589"/>
      <c r="AQ55" s="589"/>
      <c r="AR55" s="589"/>
      <c r="AS55" s="589"/>
      <c r="AT55" s="589"/>
      <c r="AU55" s="589"/>
      <c r="AV55" s="589"/>
      <c r="AW55" s="589"/>
      <c r="AX55" s="589"/>
      <c r="AY55" s="589"/>
      <c r="AZ55" s="589"/>
      <c r="BA55" s="589"/>
      <c r="BB55" s="589"/>
      <c r="BC55" s="589"/>
      <c r="BD55" s="589"/>
      <c r="BE55" s="589"/>
      <c r="BF55" s="589"/>
      <c r="BG55" s="589"/>
      <c r="BH55" s="589"/>
      <c r="BI55" s="589"/>
      <c r="BJ55" s="589"/>
      <c r="BK55" s="589"/>
      <c r="BL55" s="589"/>
      <c r="BM55" s="589"/>
      <c r="BN55" s="589"/>
      <c r="BO55" s="589"/>
      <c r="BP55" s="589"/>
      <c r="BQ55" s="589"/>
      <c r="BR55" s="589"/>
      <c r="BS55" s="589"/>
      <c r="BT55" s="589"/>
      <c r="BU55" s="589"/>
      <c r="BV55" s="589"/>
      <c r="BW55" s="589"/>
      <c r="BX55" s="589"/>
      <c r="BY55" s="589"/>
      <c r="BZ55" s="589"/>
      <c r="CA55" s="589"/>
      <c r="CB55" s="589"/>
      <c r="CC55" s="589"/>
      <c r="CD55" s="589"/>
      <c r="CE55" s="589"/>
      <c r="CF55" s="589"/>
      <c r="CG55" s="589"/>
      <c r="CH55" s="589"/>
      <c r="CI55" s="589"/>
      <c r="CJ55" s="589"/>
      <c r="CK55" s="589"/>
    </row>
    <row r="56" spans="1:207" ht="30" customHeight="1" x14ac:dyDescent="0.35">
      <c r="B56" s="578"/>
      <c r="C56" s="579"/>
      <c r="D56" s="588"/>
      <c r="E56" s="588"/>
      <c r="F56" s="588"/>
      <c r="G56" s="588"/>
      <c r="H56" s="588"/>
      <c r="I56" s="588"/>
      <c r="J56" s="588"/>
      <c r="K56" s="588"/>
      <c r="L56" s="588"/>
      <c r="M56" s="588"/>
      <c r="N56" s="589"/>
      <c r="O56" s="589"/>
      <c r="P56" s="589"/>
      <c r="Q56" s="589"/>
      <c r="R56" s="589"/>
      <c r="S56" s="589"/>
      <c r="T56" s="589"/>
      <c r="U56" s="582"/>
      <c r="V56" s="589"/>
      <c r="W56" s="589"/>
      <c r="X56" s="589"/>
      <c r="Y56" s="589"/>
      <c r="Z56" s="589"/>
      <c r="AA56" s="589"/>
      <c r="AB56" s="589"/>
      <c r="AC56" s="589"/>
      <c r="AD56" s="589"/>
      <c r="AE56" s="589"/>
      <c r="AF56" s="589"/>
      <c r="AG56" s="589"/>
      <c r="AH56" s="589"/>
      <c r="AI56" s="589"/>
      <c r="AJ56" s="589"/>
      <c r="AK56" s="589"/>
      <c r="AO56" s="589"/>
      <c r="AP56" s="589"/>
      <c r="AQ56" s="589"/>
      <c r="AR56" s="589"/>
      <c r="AS56" s="589"/>
      <c r="AT56" s="589"/>
      <c r="AU56" s="589"/>
      <c r="AV56" s="589"/>
      <c r="AW56" s="589"/>
      <c r="AX56" s="589"/>
      <c r="AY56" s="589"/>
      <c r="AZ56" s="589"/>
      <c r="BA56" s="589"/>
      <c r="BB56" s="589"/>
      <c r="BC56" s="589"/>
      <c r="BD56" s="589"/>
      <c r="BE56" s="589"/>
      <c r="BF56" s="589"/>
      <c r="BG56" s="589"/>
      <c r="BH56" s="589"/>
      <c r="BI56" s="589"/>
      <c r="BJ56" s="589"/>
      <c r="BK56" s="589"/>
      <c r="BL56" s="589"/>
      <c r="BM56" s="589"/>
      <c r="BN56" s="589"/>
      <c r="BO56" s="589"/>
      <c r="BP56" s="589"/>
      <c r="BQ56" s="589"/>
      <c r="BR56" s="589"/>
      <c r="BS56" s="589"/>
      <c r="BT56" s="589"/>
      <c r="BU56" s="582"/>
      <c r="BV56" s="589"/>
      <c r="BW56" s="589"/>
      <c r="BX56" s="589"/>
      <c r="BY56" s="589"/>
      <c r="BZ56" s="589"/>
      <c r="CA56" s="589"/>
      <c r="CB56" s="589"/>
      <c r="CC56" s="589"/>
      <c r="CD56" s="589"/>
      <c r="CE56" s="589"/>
      <c r="CF56" s="589"/>
      <c r="CG56" s="589"/>
      <c r="CH56" s="589"/>
      <c r="CI56" s="589"/>
      <c r="CJ56" s="589"/>
      <c r="CK56" s="589"/>
    </row>
    <row r="57" spans="1:207" x14ac:dyDescent="0.35">
      <c r="C57" s="482"/>
      <c r="D57" s="592"/>
      <c r="E57" s="592"/>
      <c r="F57" s="592"/>
      <c r="G57" s="592"/>
      <c r="H57" s="593"/>
      <c r="I57" s="593"/>
      <c r="J57" s="593"/>
      <c r="K57" s="593"/>
      <c r="L57" s="593"/>
      <c r="M57" s="593"/>
      <c r="N57" s="482"/>
      <c r="O57" s="482"/>
      <c r="P57" s="482"/>
      <c r="Q57" s="482"/>
      <c r="R57" s="482"/>
      <c r="S57" s="482"/>
      <c r="T57" s="482"/>
      <c r="U57" s="482"/>
      <c r="V57" s="482"/>
      <c r="W57" s="482"/>
      <c r="X57" s="482"/>
      <c r="Y57" s="482"/>
      <c r="Z57" s="482"/>
      <c r="AA57" s="482"/>
      <c r="AB57" s="482"/>
      <c r="AD57" s="482"/>
      <c r="AE57" s="482"/>
      <c r="AF57" s="482"/>
      <c r="AG57" s="482"/>
      <c r="AH57" s="482"/>
      <c r="AI57" s="482"/>
      <c r="AJ57" s="482"/>
      <c r="AO57" s="586"/>
      <c r="AP57" s="586"/>
      <c r="AQ57" s="586"/>
      <c r="AR57" s="586"/>
      <c r="AS57" s="586"/>
      <c r="AT57" s="586"/>
      <c r="AU57" s="586"/>
      <c r="AV57" s="585"/>
      <c r="AW57" s="585"/>
      <c r="AX57" s="585"/>
      <c r="AY57" s="585"/>
      <c r="AZ57" s="585"/>
      <c r="BA57" s="585"/>
      <c r="BB57" s="585"/>
      <c r="BC57" s="585"/>
      <c r="BD57" s="585"/>
      <c r="BE57" s="585"/>
      <c r="BF57" s="585"/>
      <c r="BG57" s="585"/>
      <c r="BH57" s="585"/>
      <c r="BI57" s="482"/>
      <c r="BJ57" s="482"/>
      <c r="BK57" s="482"/>
      <c r="BL57" s="482"/>
      <c r="BM57" s="482"/>
      <c r="BN57" s="482"/>
      <c r="BO57" s="482"/>
      <c r="BP57" s="482"/>
      <c r="BQ57" s="482"/>
      <c r="BR57" s="482"/>
      <c r="BS57" s="482"/>
      <c r="BT57" s="482"/>
      <c r="BU57" s="482"/>
      <c r="BV57" s="482"/>
      <c r="BW57" s="482"/>
      <c r="BX57" s="482"/>
      <c r="BY57" s="482"/>
      <c r="BZ57" s="482"/>
      <c r="CA57" s="482"/>
      <c r="CB57" s="482"/>
      <c r="CD57" s="482"/>
      <c r="CE57" s="482"/>
      <c r="CF57" s="482"/>
      <c r="CG57" s="482"/>
      <c r="CH57" s="482"/>
      <c r="CI57" s="482"/>
      <c r="CJ57" s="482"/>
    </row>
    <row r="58" spans="1:207" x14ac:dyDescent="0.35">
      <c r="C58" s="482"/>
      <c r="D58" s="592"/>
      <c r="E58" s="592"/>
      <c r="F58" s="592"/>
      <c r="G58" s="592"/>
      <c r="H58" s="593"/>
      <c r="I58" s="593"/>
      <c r="J58" s="593"/>
      <c r="K58" s="593"/>
      <c r="L58" s="593"/>
      <c r="M58" s="593"/>
      <c r="N58" s="482"/>
      <c r="O58" s="482"/>
      <c r="P58" s="482"/>
      <c r="Q58" s="482"/>
      <c r="R58" s="482"/>
      <c r="S58" s="482"/>
      <c r="T58" s="482"/>
      <c r="U58" s="482"/>
      <c r="V58" s="482"/>
      <c r="W58" s="482"/>
      <c r="X58" s="482"/>
      <c r="Y58" s="482"/>
      <c r="Z58" s="482"/>
      <c r="AA58" s="482"/>
      <c r="AB58" s="482"/>
      <c r="AD58" s="482"/>
      <c r="AE58" s="482"/>
      <c r="AF58" s="482"/>
      <c r="AG58" s="482"/>
      <c r="AH58" s="482"/>
      <c r="AI58" s="482"/>
      <c r="AJ58" s="482"/>
      <c r="AO58" s="586"/>
      <c r="AP58" s="586"/>
      <c r="AQ58" s="586"/>
      <c r="AR58" s="586"/>
      <c r="AS58" s="586"/>
      <c r="AT58" s="586"/>
      <c r="AU58" s="586"/>
      <c r="AV58" s="585"/>
      <c r="AW58" s="585"/>
      <c r="AX58" s="585"/>
      <c r="AY58" s="585"/>
      <c r="AZ58" s="585"/>
      <c r="BA58" s="585"/>
      <c r="BB58" s="585"/>
      <c r="BC58" s="585"/>
      <c r="BD58" s="585"/>
      <c r="BE58" s="585"/>
      <c r="BF58" s="585"/>
      <c r="BG58" s="585"/>
      <c r="BH58" s="585"/>
      <c r="BI58" s="482"/>
      <c r="BJ58" s="482"/>
      <c r="BK58" s="482"/>
      <c r="BL58" s="482"/>
      <c r="BM58" s="482"/>
      <c r="BN58" s="482"/>
      <c r="BO58" s="482"/>
      <c r="BP58" s="482"/>
      <c r="BQ58" s="482"/>
      <c r="BR58" s="482"/>
      <c r="BS58" s="482"/>
      <c r="BT58" s="482"/>
      <c r="BU58" s="482"/>
      <c r="BV58" s="482"/>
      <c r="BW58" s="482"/>
      <c r="BX58" s="482"/>
      <c r="BY58" s="482"/>
      <c r="BZ58" s="482"/>
      <c r="CA58" s="482"/>
      <c r="CB58" s="482"/>
      <c r="CD58" s="482"/>
      <c r="CE58" s="482"/>
      <c r="CF58" s="482"/>
      <c r="CG58" s="482"/>
      <c r="CH58" s="482"/>
      <c r="CI58" s="482"/>
      <c r="CJ58" s="482"/>
    </row>
    <row r="59" spans="1:207" x14ac:dyDescent="0.35">
      <c r="C59" s="482"/>
      <c r="D59" s="592"/>
      <c r="E59" s="592"/>
      <c r="F59" s="592"/>
      <c r="G59" s="592"/>
      <c r="H59" s="593"/>
      <c r="I59" s="593"/>
      <c r="J59" s="593"/>
      <c r="K59" s="593"/>
      <c r="L59" s="593"/>
      <c r="M59" s="593"/>
      <c r="N59" s="482"/>
      <c r="O59" s="482"/>
      <c r="P59" s="482"/>
      <c r="Q59" s="482"/>
      <c r="R59" s="482"/>
      <c r="S59" s="482"/>
      <c r="T59" s="482"/>
      <c r="U59" s="482"/>
      <c r="V59" s="482"/>
      <c r="W59" s="482"/>
      <c r="X59" s="482"/>
      <c r="Y59" s="482"/>
      <c r="Z59" s="482"/>
      <c r="AA59" s="482"/>
      <c r="AB59" s="482"/>
      <c r="AD59" s="482"/>
      <c r="AE59" s="482"/>
      <c r="AF59" s="482"/>
      <c r="AG59" s="482"/>
      <c r="AH59" s="482"/>
      <c r="AI59" s="482"/>
      <c r="AJ59" s="482"/>
      <c r="AO59" s="586"/>
      <c r="AP59" s="586"/>
      <c r="AQ59" s="586"/>
      <c r="AR59" s="586"/>
      <c r="AS59" s="586"/>
      <c r="AT59" s="586"/>
      <c r="AU59" s="586"/>
      <c r="AV59" s="585"/>
      <c r="AW59" s="585"/>
      <c r="AX59" s="585"/>
      <c r="AY59" s="585"/>
      <c r="AZ59" s="585"/>
      <c r="BA59" s="585"/>
      <c r="BB59" s="585"/>
      <c r="BC59" s="585"/>
      <c r="BD59" s="585"/>
      <c r="BE59" s="585"/>
      <c r="BF59" s="585"/>
      <c r="BG59" s="585"/>
      <c r="BH59" s="585"/>
      <c r="BI59" s="482"/>
      <c r="BJ59" s="482"/>
      <c r="BK59" s="482"/>
      <c r="BL59" s="482"/>
      <c r="BM59" s="482"/>
      <c r="BN59" s="482"/>
      <c r="BO59" s="482"/>
      <c r="BP59" s="482"/>
      <c r="BQ59" s="482"/>
      <c r="BR59" s="482"/>
      <c r="BS59" s="482"/>
      <c r="BT59" s="482"/>
      <c r="BU59" s="482"/>
      <c r="BV59" s="482"/>
      <c r="BW59" s="482"/>
      <c r="BX59" s="482"/>
      <c r="BY59" s="482"/>
      <c r="BZ59" s="482"/>
      <c r="CA59" s="482"/>
      <c r="CB59" s="482"/>
      <c r="CD59" s="482"/>
      <c r="CE59" s="482"/>
      <c r="CF59" s="482"/>
      <c r="CG59" s="482"/>
      <c r="CH59" s="482"/>
      <c r="CI59" s="482"/>
      <c r="CJ59" s="482"/>
    </row>
    <row r="60" spans="1:207" x14ac:dyDescent="0.35">
      <c r="C60" s="482"/>
      <c r="D60" s="592"/>
      <c r="E60" s="592"/>
      <c r="F60" s="592"/>
      <c r="G60" s="592"/>
      <c r="H60" s="593"/>
      <c r="I60" s="593"/>
      <c r="J60" s="593"/>
      <c r="K60" s="593"/>
      <c r="L60" s="593"/>
      <c r="M60" s="593"/>
      <c r="N60" s="482"/>
      <c r="O60" s="482"/>
      <c r="P60" s="482"/>
      <c r="Q60" s="482"/>
      <c r="R60" s="482"/>
      <c r="S60" s="482"/>
      <c r="T60" s="482"/>
      <c r="U60" s="482"/>
      <c r="V60" s="482"/>
      <c r="W60" s="482"/>
      <c r="X60" s="482"/>
      <c r="Y60" s="482"/>
      <c r="Z60" s="482"/>
      <c r="AA60" s="482"/>
      <c r="AB60" s="482"/>
      <c r="AD60" s="482"/>
      <c r="AE60" s="482"/>
      <c r="AF60" s="482"/>
      <c r="AG60" s="482"/>
      <c r="AH60" s="482"/>
      <c r="AI60" s="482"/>
      <c r="AJ60" s="482"/>
      <c r="AO60" s="586"/>
      <c r="AP60" s="586"/>
      <c r="AQ60" s="586"/>
      <c r="AR60" s="586"/>
      <c r="AS60" s="586"/>
      <c r="AT60" s="586"/>
      <c r="AU60" s="586"/>
      <c r="AV60" s="585"/>
      <c r="AW60" s="585"/>
      <c r="AX60" s="585"/>
      <c r="AY60" s="585"/>
      <c r="AZ60" s="585"/>
      <c r="BA60" s="585"/>
      <c r="BB60" s="585"/>
      <c r="BC60" s="585"/>
      <c r="BD60" s="585"/>
      <c r="BE60" s="585"/>
      <c r="BF60" s="585"/>
      <c r="BG60" s="585"/>
      <c r="BH60" s="585"/>
      <c r="BI60" s="482"/>
      <c r="BJ60" s="482"/>
      <c r="BK60" s="482"/>
      <c r="BL60" s="482"/>
      <c r="BM60" s="482"/>
      <c r="BN60" s="482"/>
      <c r="BO60" s="482"/>
      <c r="BP60" s="482"/>
      <c r="BQ60" s="482"/>
      <c r="BR60" s="482"/>
      <c r="BS60" s="482"/>
      <c r="BT60" s="482"/>
      <c r="BU60" s="482"/>
      <c r="BV60" s="482"/>
      <c r="BW60" s="482"/>
      <c r="BX60" s="482"/>
      <c r="BY60" s="482"/>
      <c r="BZ60" s="482"/>
      <c r="CA60" s="482"/>
      <c r="CB60" s="482"/>
      <c r="CD60" s="482"/>
      <c r="CE60" s="482"/>
      <c r="CF60" s="482"/>
      <c r="CG60" s="482"/>
      <c r="CH60" s="482"/>
      <c r="CI60" s="482"/>
      <c r="CJ60" s="482"/>
    </row>
    <row r="61" spans="1:207" x14ac:dyDescent="0.35">
      <c r="C61" s="482"/>
      <c r="D61" s="592"/>
      <c r="E61" s="592"/>
      <c r="F61" s="592"/>
      <c r="G61" s="592"/>
      <c r="H61" s="593"/>
      <c r="I61" s="593"/>
      <c r="J61" s="593"/>
      <c r="K61" s="593"/>
      <c r="L61" s="593"/>
      <c r="M61" s="593"/>
      <c r="N61" s="482"/>
      <c r="O61" s="482"/>
      <c r="P61" s="482"/>
      <c r="Q61" s="482"/>
      <c r="R61" s="482"/>
      <c r="S61" s="482"/>
      <c r="T61" s="482"/>
      <c r="U61" s="482"/>
      <c r="V61" s="482"/>
      <c r="W61" s="482"/>
      <c r="X61" s="482"/>
      <c r="Y61" s="482"/>
      <c r="Z61" s="482"/>
      <c r="AA61" s="482"/>
      <c r="AB61" s="482"/>
      <c r="AD61" s="482"/>
      <c r="AE61" s="482"/>
      <c r="AF61" s="482"/>
      <c r="AG61" s="482"/>
      <c r="AH61" s="482"/>
      <c r="AI61" s="482"/>
      <c r="AJ61" s="482"/>
      <c r="AO61" s="586"/>
      <c r="AP61" s="586"/>
      <c r="AQ61" s="586"/>
      <c r="AR61" s="586"/>
      <c r="AS61" s="586"/>
      <c r="AT61" s="586"/>
      <c r="AU61" s="586"/>
      <c r="AV61" s="585"/>
      <c r="AW61" s="585"/>
      <c r="AX61" s="585"/>
      <c r="AY61" s="585"/>
      <c r="AZ61" s="585"/>
      <c r="BA61" s="585"/>
      <c r="BB61" s="585"/>
      <c r="BC61" s="585"/>
      <c r="BD61" s="585"/>
      <c r="BE61" s="585"/>
      <c r="BF61" s="585"/>
      <c r="BG61" s="585"/>
      <c r="BH61" s="585"/>
      <c r="BI61" s="482"/>
      <c r="BJ61" s="482"/>
      <c r="BK61" s="482"/>
      <c r="BL61" s="482"/>
      <c r="BM61" s="482"/>
      <c r="BN61" s="482"/>
      <c r="BO61" s="482"/>
      <c r="BP61" s="482"/>
      <c r="BQ61" s="482"/>
      <c r="BR61" s="482"/>
      <c r="BS61" s="482"/>
      <c r="BT61" s="482"/>
      <c r="BU61" s="482"/>
      <c r="BV61" s="482"/>
      <c r="BW61" s="482"/>
      <c r="BX61" s="482"/>
      <c r="BY61" s="482"/>
      <c r="BZ61" s="482"/>
      <c r="CA61" s="482"/>
      <c r="CB61" s="482"/>
      <c r="CD61" s="482"/>
      <c r="CE61" s="482"/>
      <c r="CF61" s="482"/>
      <c r="CG61" s="482"/>
      <c r="CH61" s="482"/>
      <c r="CI61" s="482"/>
      <c r="CJ61" s="482"/>
    </row>
    <row r="62" spans="1:207" x14ac:dyDescent="0.35">
      <c r="C62" s="482"/>
      <c r="D62" s="592"/>
      <c r="E62" s="592"/>
      <c r="F62" s="592"/>
      <c r="G62" s="592"/>
      <c r="H62" s="593"/>
      <c r="I62" s="593"/>
      <c r="J62" s="593"/>
      <c r="K62" s="593"/>
      <c r="L62" s="593"/>
      <c r="M62" s="593"/>
      <c r="N62" s="482"/>
      <c r="O62" s="482"/>
      <c r="P62" s="482"/>
      <c r="Q62" s="482"/>
      <c r="R62" s="482"/>
      <c r="S62" s="482"/>
      <c r="T62" s="482"/>
      <c r="U62" s="482"/>
      <c r="V62" s="482"/>
      <c r="W62" s="482"/>
      <c r="X62" s="482"/>
      <c r="Y62" s="482"/>
      <c r="Z62" s="482"/>
      <c r="AA62" s="482"/>
      <c r="AB62" s="482"/>
      <c r="AD62" s="482"/>
      <c r="AE62" s="482"/>
      <c r="AF62" s="482"/>
      <c r="AG62" s="482"/>
      <c r="AH62" s="482"/>
      <c r="AI62" s="482"/>
      <c r="AJ62" s="482"/>
      <c r="AO62" s="586"/>
      <c r="AP62" s="586"/>
      <c r="AQ62" s="586"/>
      <c r="AR62" s="586"/>
      <c r="AS62" s="586"/>
      <c r="AT62" s="586"/>
      <c r="AU62" s="586"/>
      <c r="AV62" s="585"/>
      <c r="AW62" s="585"/>
      <c r="AX62" s="585"/>
      <c r="AY62" s="585"/>
      <c r="AZ62" s="585"/>
      <c r="BA62" s="585"/>
      <c r="BB62" s="585"/>
      <c r="BC62" s="585"/>
      <c r="BD62" s="585"/>
      <c r="BE62" s="585"/>
      <c r="BF62" s="585"/>
      <c r="BG62" s="585"/>
      <c r="BH62" s="585"/>
      <c r="BI62" s="482"/>
      <c r="BJ62" s="482"/>
      <c r="BK62" s="482"/>
      <c r="BL62" s="482"/>
      <c r="BM62" s="482"/>
      <c r="BN62" s="482"/>
      <c r="BO62" s="482"/>
      <c r="BP62" s="482"/>
      <c r="BQ62" s="482"/>
      <c r="BR62" s="482"/>
      <c r="BS62" s="482"/>
      <c r="BT62" s="482"/>
      <c r="BU62" s="482"/>
      <c r="BV62" s="482"/>
      <c r="BW62" s="482"/>
      <c r="BX62" s="482"/>
      <c r="BY62" s="482"/>
      <c r="BZ62" s="482"/>
      <c r="CA62" s="482"/>
      <c r="CB62" s="482"/>
      <c r="CD62" s="482"/>
      <c r="CE62" s="482"/>
      <c r="CF62" s="482"/>
      <c r="CG62" s="482"/>
      <c r="CH62" s="482"/>
      <c r="CI62" s="482"/>
      <c r="CJ62" s="482"/>
    </row>
    <row r="63" spans="1:207" x14ac:dyDescent="0.35">
      <c r="C63" s="482"/>
      <c r="D63" s="592"/>
      <c r="E63" s="592"/>
      <c r="F63" s="592"/>
      <c r="G63" s="592"/>
      <c r="H63" s="593"/>
      <c r="I63" s="593"/>
      <c r="J63" s="593"/>
      <c r="K63" s="593"/>
      <c r="L63" s="593"/>
      <c r="M63" s="593"/>
      <c r="N63" s="482"/>
      <c r="O63" s="482"/>
      <c r="P63" s="482"/>
      <c r="Q63" s="482"/>
      <c r="R63" s="482"/>
      <c r="S63" s="482"/>
      <c r="T63" s="482"/>
      <c r="U63" s="482"/>
      <c r="V63" s="482"/>
      <c r="W63" s="482"/>
      <c r="X63" s="482"/>
      <c r="Y63" s="482"/>
      <c r="Z63" s="482"/>
      <c r="AA63" s="482"/>
      <c r="AB63" s="482"/>
      <c r="AD63" s="482"/>
      <c r="AE63" s="482"/>
      <c r="AF63" s="482"/>
      <c r="AG63" s="482"/>
      <c r="AH63" s="482"/>
      <c r="AI63" s="482"/>
      <c r="AJ63" s="482"/>
      <c r="AO63" s="586"/>
      <c r="AP63" s="586"/>
      <c r="AQ63" s="586"/>
      <c r="AR63" s="586"/>
      <c r="AS63" s="586"/>
      <c r="AT63" s="586"/>
      <c r="AU63" s="586"/>
      <c r="AV63" s="585"/>
      <c r="AW63" s="585"/>
      <c r="AX63" s="585"/>
      <c r="AY63" s="585"/>
      <c r="AZ63" s="585"/>
      <c r="BA63" s="585"/>
      <c r="BB63" s="585"/>
      <c r="BC63" s="585"/>
      <c r="BD63" s="585"/>
      <c r="BE63" s="585"/>
      <c r="BF63" s="585"/>
      <c r="BG63" s="585"/>
      <c r="BH63" s="585"/>
      <c r="BI63" s="482"/>
      <c r="BJ63" s="482"/>
      <c r="BK63" s="482"/>
      <c r="BL63" s="482"/>
      <c r="BM63" s="482"/>
      <c r="BN63" s="482"/>
      <c r="BO63" s="482"/>
      <c r="BP63" s="482"/>
      <c r="BQ63" s="482"/>
      <c r="BR63" s="482"/>
      <c r="BS63" s="482"/>
      <c r="BT63" s="482"/>
      <c r="BU63" s="482"/>
      <c r="BV63" s="482"/>
      <c r="BW63" s="482"/>
      <c r="BX63" s="482"/>
      <c r="BY63" s="482"/>
      <c r="BZ63" s="482"/>
      <c r="CA63" s="482"/>
      <c r="CB63" s="482"/>
      <c r="CD63" s="482"/>
      <c r="CE63" s="482"/>
      <c r="CF63" s="482"/>
      <c r="CG63" s="482"/>
      <c r="CH63" s="482"/>
      <c r="CI63" s="482"/>
      <c r="CJ63" s="482"/>
    </row>
    <row r="64" spans="1:207" x14ac:dyDescent="0.35">
      <c r="C64" s="482"/>
      <c r="D64" s="592"/>
      <c r="E64" s="592"/>
      <c r="F64" s="592"/>
      <c r="G64" s="592"/>
      <c r="H64" s="593"/>
      <c r="I64" s="593"/>
      <c r="J64" s="593"/>
      <c r="K64" s="593"/>
      <c r="L64" s="593"/>
      <c r="M64" s="593"/>
      <c r="N64" s="482"/>
      <c r="O64" s="482"/>
      <c r="P64" s="482"/>
      <c r="Q64" s="482"/>
      <c r="R64" s="482"/>
      <c r="S64" s="482"/>
      <c r="T64" s="482"/>
      <c r="U64" s="482"/>
      <c r="V64" s="482"/>
      <c r="W64" s="482"/>
      <c r="X64" s="482"/>
      <c r="Y64" s="482"/>
      <c r="Z64" s="482"/>
      <c r="AA64" s="482"/>
      <c r="AB64" s="482"/>
      <c r="AD64" s="482"/>
      <c r="AE64" s="482"/>
      <c r="AF64" s="482"/>
      <c r="AG64" s="482"/>
      <c r="AH64" s="482"/>
      <c r="AI64" s="482"/>
      <c r="AJ64" s="482"/>
      <c r="AO64" s="586"/>
      <c r="AP64" s="586"/>
      <c r="AQ64" s="586"/>
      <c r="AR64" s="586"/>
      <c r="AS64" s="586"/>
      <c r="AT64" s="586"/>
      <c r="AU64" s="586"/>
      <c r="AV64" s="585"/>
      <c r="AW64" s="585"/>
      <c r="AX64" s="585"/>
      <c r="AY64" s="585"/>
      <c r="AZ64" s="585"/>
      <c r="BA64" s="585"/>
      <c r="BB64" s="585"/>
      <c r="BC64" s="585"/>
      <c r="BD64" s="585"/>
      <c r="BE64" s="585"/>
      <c r="BF64" s="585"/>
      <c r="BG64" s="585"/>
      <c r="BH64" s="585"/>
      <c r="BI64" s="482"/>
      <c r="BJ64" s="482"/>
      <c r="BK64" s="482"/>
      <c r="BL64" s="482"/>
      <c r="BM64" s="482"/>
      <c r="BN64" s="482"/>
      <c r="BO64" s="482"/>
      <c r="BP64" s="482"/>
      <c r="BQ64" s="482"/>
      <c r="BR64" s="482"/>
      <c r="BS64" s="482"/>
      <c r="BT64" s="482"/>
      <c r="BU64" s="482"/>
      <c r="BV64" s="482"/>
      <c r="BW64" s="482"/>
      <c r="BX64" s="482"/>
      <c r="BY64" s="482"/>
      <c r="BZ64" s="482"/>
      <c r="CA64" s="482"/>
      <c r="CB64" s="482"/>
      <c r="CD64" s="482"/>
      <c r="CE64" s="482"/>
      <c r="CF64" s="482"/>
      <c r="CG64" s="482"/>
      <c r="CH64" s="482"/>
      <c r="CI64" s="482"/>
      <c r="CJ64" s="482"/>
    </row>
    <row r="65" spans="3:88" x14ac:dyDescent="0.35">
      <c r="C65" s="482"/>
      <c r="D65" s="592"/>
      <c r="E65" s="592"/>
      <c r="F65" s="592"/>
      <c r="G65" s="592"/>
      <c r="H65" s="593"/>
      <c r="I65" s="593"/>
      <c r="J65" s="593"/>
      <c r="K65" s="593"/>
      <c r="L65" s="593"/>
      <c r="M65" s="593"/>
      <c r="N65" s="482"/>
      <c r="O65" s="482"/>
      <c r="P65" s="482"/>
      <c r="Q65" s="482"/>
      <c r="R65" s="482"/>
      <c r="S65" s="482"/>
      <c r="T65" s="482"/>
      <c r="U65" s="482"/>
      <c r="V65" s="482"/>
      <c r="W65" s="482"/>
      <c r="X65" s="482"/>
      <c r="Y65" s="482"/>
      <c r="Z65" s="482"/>
      <c r="AA65" s="482"/>
      <c r="AB65" s="482"/>
      <c r="AD65" s="482"/>
      <c r="AE65" s="482"/>
      <c r="AF65" s="482"/>
      <c r="AG65" s="482"/>
      <c r="AH65" s="482"/>
      <c r="AI65" s="482"/>
      <c r="AJ65" s="482"/>
      <c r="AO65" s="586"/>
      <c r="AP65" s="586"/>
      <c r="AQ65" s="586"/>
      <c r="AR65" s="586"/>
      <c r="AS65" s="586"/>
      <c r="AT65" s="586"/>
      <c r="AU65" s="586"/>
      <c r="AV65" s="585"/>
      <c r="AW65" s="585"/>
      <c r="AX65" s="585"/>
      <c r="AY65" s="585"/>
      <c r="AZ65" s="585"/>
      <c r="BA65" s="585"/>
      <c r="BB65" s="585"/>
      <c r="BC65" s="585"/>
      <c r="BD65" s="585"/>
      <c r="BE65" s="585"/>
      <c r="BF65" s="585"/>
      <c r="BG65" s="585"/>
      <c r="BH65" s="585"/>
      <c r="BI65" s="482"/>
      <c r="BJ65" s="482"/>
      <c r="BK65" s="482"/>
      <c r="BL65" s="482"/>
      <c r="BM65" s="482"/>
      <c r="BN65" s="482"/>
      <c r="BO65" s="482"/>
      <c r="BP65" s="482"/>
      <c r="BQ65" s="482"/>
      <c r="BR65" s="482"/>
      <c r="BS65" s="482"/>
      <c r="BT65" s="482"/>
      <c r="BU65" s="482"/>
      <c r="BV65" s="482"/>
      <c r="BW65" s="482"/>
      <c r="BX65" s="482"/>
      <c r="BY65" s="482"/>
      <c r="BZ65" s="482"/>
      <c r="CA65" s="482"/>
      <c r="CB65" s="482"/>
      <c r="CD65" s="482"/>
      <c r="CE65" s="482"/>
      <c r="CF65" s="482"/>
      <c r="CG65" s="482"/>
      <c r="CH65" s="482"/>
      <c r="CI65" s="482"/>
      <c r="CJ65" s="482"/>
    </row>
    <row r="66" spans="3:88" x14ac:dyDescent="0.35">
      <c r="C66" s="482"/>
      <c r="D66" s="592"/>
      <c r="E66" s="592"/>
      <c r="F66" s="592"/>
      <c r="G66" s="592"/>
      <c r="H66" s="593"/>
      <c r="I66" s="593"/>
      <c r="J66" s="593"/>
      <c r="K66" s="593"/>
      <c r="L66" s="593"/>
      <c r="M66" s="593"/>
      <c r="N66" s="482"/>
      <c r="O66" s="482"/>
      <c r="P66" s="482"/>
      <c r="Q66" s="482"/>
      <c r="R66" s="482"/>
      <c r="S66" s="482"/>
      <c r="T66" s="482"/>
      <c r="U66" s="482"/>
      <c r="V66" s="482"/>
      <c r="W66" s="482"/>
      <c r="X66" s="482"/>
      <c r="Y66" s="482"/>
      <c r="Z66" s="482"/>
      <c r="AA66" s="482"/>
      <c r="AB66" s="482"/>
      <c r="AD66" s="482"/>
      <c r="AE66" s="482"/>
      <c r="AF66" s="482"/>
      <c r="AG66" s="482"/>
      <c r="AH66" s="482"/>
      <c r="AI66" s="482"/>
      <c r="AJ66" s="482"/>
      <c r="AO66" s="586"/>
      <c r="AP66" s="586"/>
      <c r="AQ66" s="586"/>
      <c r="AR66" s="586"/>
      <c r="AS66" s="586"/>
      <c r="AT66" s="586"/>
      <c r="AU66" s="586"/>
      <c r="AV66" s="585"/>
      <c r="AW66" s="585"/>
      <c r="AX66" s="585"/>
      <c r="AY66" s="585"/>
      <c r="AZ66" s="585"/>
      <c r="BA66" s="585"/>
      <c r="BB66" s="585"/>
      <c r="BC66" s="585"/>
      <c r="BD66" s="585"/>
      <c r="BE66" s="585"/>
      <c r="BF66" s="585"/>
      <c r="BG66" s="585"/>
      <c r="BH66" s="585"/>
      <c r="BI66" s="482"/>
      <c r="BJ66" s="482"/>
      <c r="BK66" s="482"/>
      <c r="BL66" s="482"/>
      <c r="BM66" s="482"/>
      <c r="BN66" s="482"/>
      <c r="BO66" s="482"/>
      <c r="BP66" s="482"/>
      <c r="BQ66" s="482"/>
      <c r="BR66" s="482"/>
      <c r="BS66" s="482"/>
      <c r="BT66" s="482"/>
      <c r="BU66" s="482"/>
      <c r="BV66" s="482"/>
      <c r="BW66" s="482"/>
      <c r="BX66" s="482"/>
      <c r="BY66" s="482"/>
      <c r="BZ66" s="482"/>
      <c r="CA66" s="482"/>
      <c r="CB66" s="482"/>
      <c r="CD66" s="482"/>
      <c r="CE66" s="482"/>
      <c r="CF66" s="482"/>
      <c r="CG66" s="482"/>
      <c r="CH66" s="482"/>
      <c r="CI66" s="482"/>
      <c r="CJ66" s="482"/>
    </row>
    <row r="67" spans="3:88" x14ac:dyDescent="0.35">
      <c r="C67" s="482"/>
      <c r="D67" s="592"/>
      <c r="E67" s="592"/>
      <c r="F67" s="592"/>
      <c r="G67" s="592"/>
      <c r="H67" s="593"/>
      <c r="I67" s="593"/>
      <c r="J67" s="593"/>
      <c r="K67" s="593"/>
      <c r="L67" s="593"/>
      <c r="M67" s="593"/>
      <c r="N67" s="482"/>
      <c r="O67" s="482"/>
      <c r="P67" s="482"/>
      <c r="Q67" s="482"/>
      <c r="R67" s="482"/>
      <c r="S67" s="482"/>
      <c r="T67" s="482"/>
      <c r="U67" s="482"/>
      <c r="V67" s="482"/>
      <c r="W67" s="482"/>
      <c r="X67" s="482"/>
      <c r="Y67" s="482"/>
      <c r="Z67" s="482"/>
      <c r="AA67" s="482"/>
      <c r="AB67" s="482"/>
      <c r="AD67" s="482"/>
      <c r="AE67" s="482"/>
      <c r="AF67" s="482"/>
      <c r="AG67" s="482"/>
      <c r="AH67" s="482"/>
      <c r="AI67" s="482"/>
      <c r="AJ67" s="482"/>
      <c r="AO67" s="586"/>
      <c r="AP67" s="586"/>
      <c r="AQ67" s="586"/>
      <c r="AR67" s="586"/>
      <c r="AS67" s="586"/>
      <c r="AT67" s="586"/>
      <c r="AU67" s="586"/>
      <c r="AV67" s="585"/>
      <c r="AW67" s="585"/>
      <c r="AX67" s="585"/>
      <c r="AY67" s="585"/>
      <c r="AZ67" s="585"/>
      <c r="BA67" s="585"/>
      <c r="BB67" s="585"/>
      <c r="BC67" s="585"/>
      <c r="BD67" s="585"/>
      <c r="BE67" s="585"/>
      <c r="BF67" s="585"/>
      <c r="BG67" s="585"/>
      <c r="BH67" s="585"/>
      <c r="BI67" s="482"/>
      <c r="BJ67" s="482"/>
      <c r="BK67" s="482"/>
      <c r="BL67" s="482"/>
      <c r="BM67" s="482"/>
      <c r="BN67" s="482"/>
      <c r="BO67" s="482"/>
      <c r="BP67" s="482"/>
      <c r="BQ67" s="482"/>
      <c r="BR67" s="482"/>
      <c r="BS67" s="482"/>
      <c r="BT67" s="482"/>
      <c r="BU67" s="482"/>
      <c r="BV67" s="482"/>
      <c r="BW67" s="482"/>
      <c r="BX67" s="482"/>
      <c r="BY67" s="482"/>
      <c r="BZ67" s="482"/>
      <c r="CA67" s="482"/>
      <c r="CB67" s="482"/>
      <c r="CD67" s="482"/>
      <c r="CE67" s="482"/>
      <c r="CF67" s="482"/>
      <c r="CG67" s="482"/>
      <c r="CH67" s="482"/>
      <c r="CI67" s="482"/>
      <c r="CJ67" s="482"/>
    </row>
    <row r="68" spans="3:88" x14ac:dyDescent="0.35">
      <c r="C68" s="482"/>
      <c r="D68" s="592"/>
      <c r="E68" s="592"/>
      <c r="F68" s="592"/>
      <c r="G68" s="592"/>
      <c r="H68" s="593"/>
      <c r="I68" s="593"/>
      <c r="J68" s="593"/>
      <c r="K68" s="593"/>
      <c r="L68" s="593"/>
      <c r="M68" s="593"/>
      <c r="N68" s="482"/>
      <c r="O68" s="482"/>
      <c r="P68" s="482"/>
      <c r="Q68" s="482"/>
      <c r="R68" s="482"/>
      <c r="S68" s="482"/>
      <c r="T68" s="482"/>
      <c r="U68" s="482"/>
      <c r="V68" s="482"/>
      <c r="W68" s="482"/>
      <c r="X68" s="482"/>
      <c r="Y68" s="482"/>
      <c r="Z68" s="482"/>
      <c r="AA68" s="482"/>
      <c r="AB68" s="482"/>
      <c r="AD68" s="482"/>
      <c r="AE68" s="482"/>
      <c r="AF68" s="482"/>
      <c r="AG68" s="482"/>
      <c r="AH68" s="482"/>
      <c r="AI68" s="482"/>
      <c r="AJ68" s="482"/>
      <c r="AO68" s="586"/>
      <c r="AP68" s="586"/>
      <c r="AQ68" s="586"/>
      <c r="AR68" s="586"/>
      <c r="AS68" s="586"/>
      <c r="AT68" s="586"/>
      <c r="AU68" s="586"/>
      <c r="AV68" s="585"/>
      <c r="AW68" s="585"/>
      <c r="AX68" s="585"/>
      <c r="AY68" s="585"/>
      <c r="AZ68" s="585"/>
      <c r="BA68" s="585"/>
      <c r="BB68" s="585"/>
      <c r="BC68" s="585"/>
      <c r="BD68" s="585"/>
      <c r="BE68" s="585"/>
      <c r="BF68" s="585"/>
      <c r="BG68" s="585"/>
      <c r="BH68" s="585"/>
      <c r="BI68" s="482"/>
      <c r="BJ68" s="482"/>
      <c r="BK68" s="482"/>
      <c r="BL68" s="482"/>
      <c r="BM68" s="482"/>
      <c r="BN68" s="482"/>
      <c r="BO68" s="482"/>
      <c r="BP68" s="482"/>
      <c r="BQ68" s="482"/>
      <c r="BR68" s="482"/>
      <c r="BS68" s="482"/>
      <c r="BT68" s="482"/>
      <c r="BU68" s="482"/>
      <c r="BV68" s="482"/>
      <c r="BW68" s="482"/>
      <c r="BX68" s="482"/>
      <c r="BY68" s="482"/>
      <c r="BZ68" s="482"/>
      <c r="CA68" s="482"/>
      <c r="CB68" s="482"/>
      <c r="CD68" s="482"/>
      <c r="CE68" s="482"/>
      <c r="CF68" s="482"/>
      <c r="CG68" s="482"/>
      <c r="CH68" s="482"/>
      <c r="CI68" s="482"/>
      <c r="CJ68" s="482"/>
    </row>
    <row r="69" spans="3:88" x14ac:dyDescent="0.35">
      <c r="C69" s="482"/>
      <c r="D69" s="592"/>
      <c r="E69" s="592"/>
      <c r="F69" s="592"/>
      <c r="G69" s="592"/>
      <c r="H69" s="593"/>
      <c r="I69" s="593"/>
      <c r="J69" s="593"/>
      <c r="K69" s="593"/>
      <c r="L69" s="593"/>
      <c r="M69" s="593"/>
      <c r="N69" s="482"/>
      <c r="O69" s="482"/>
      <c r="P69" s="482"/>
      <c r="Q69" s="482"/>
      <c r="R69" s="482"/>
      <c r="S69" s="482"/>
      <c r="T69" s="482"/>
      <c r="U69" s="482"/>
      <c r="V69" s="482"/>
      <c r="W69" s="482"/>
      <c r="X69" s="482"/>
      <c r="Y69" s="482"/>
      <c r="Z69" s="482"/>
      <c r="AA69" s="482"/>
      <c r="AB69" s="482"/>
      <c r="AD69" s="482"/>
      <c r="AE69" s="482"/>
      <c r="AF69" s="482"/>
      <c r="AG69" s="482"/>
      <c r="AH69" s="482"/>
      <c r="AI69" s="482"/>
      <c r="AJ69" s="482"/>
      <c r="AO69" s="586"/>
      <c r="AP69" s="586"/>
      <c r="AQ69" s="586"/>
      <c r="AR69" s="586"/>
      <c r="AS69" s="586"/>
      <c r="AT69" s="586"/>
      <c r="AU69" s="586"/>
      <c r="AV69" s="585"/>
      <c r="AW69" s="585"/>
      <c r="AX69" s="585"/>
      <c r="AY69" s="585"/>
      <c r="AZ69" s="585"/>
      <c r="BA69" s="585"/>
      <c r="BB69" s="585"/>
      <c r="BC69" s="585"/>
      <c r="BD69" s="585"/>
      <c r="BE69" s="585"/>
      <c r="BF69" s="585"/>
      <c r="BG69" s="585"/>
      <c r="BH69" s="585"/>
      <c r="BI69" s="482"/>
      <c r="BJ69" s="482"/>
      <c r="BK69" s="482"/>
      <c r="BL69" s="482"/>
      <c r="BM69" s="482"/>
      <c r="BN69" s="482"/>
      <c r="BO69" s="482"/>
      <c r="BP69" s="482"/>
      <c r="BQ69" s="482"/>
      <c r="BR69" s="482"/>
      <c r="BS69" s="482"/>
      <c r="BT69" s="482"/>
      <c r="BU69" s="482"/>
      <c r="BV69" s="482"/>
      <c r="BW69" s="482"/>
      <c r="BX69" s="482"/>
      <c r="BY69" s="482"/>
      <c r="BZ69" s="482"/>
      <c r="CA69" s="482"/>
      <c r="CB69" s="482"/>
      <c r="CD69" s="482"/>
      <c r="CE69" s="482"/>
      <c r="CF69" s="482"/>
      <c r="CG69" s="482"/>
      <c r="CH69" s="482"/>
      <c r="CI69" s="482"/>
      <c r="CJ69" s="482"/>
    </row>
    <row r="70" spans="3:88" x14ac:dyDescent="0.35">
      <c r="C70" s="482"/>
      <c r="D70" s="592"/>
      <c r="E70" s="592"/>
      <c r="F70" s="592"/>
      <c r="G70" s="592"/>
      <c r="H70" s="593"/>
      <c r="I70" s="593"/>
      <c r="J70" s="593"/>
      <c r="K70" s="593"/>
      <c r="L70" s="593"/>
      <c r="M70" s="593"/>
      <c r="N70" s="482"/>
      <c r="O70" s="482"/>
      <c r="P70" s="482"/>
      <c r="Q70" s="482"/>
      <c r="R70" s="482"/>
      <c r="S70" s="482"/>
      <c r="T70" s="482"/>
      <c r="U70" s="482"/>
      <c r="V70" s="482"/>
      <c r="W70" s="482"/>
      <c r="X70" s="482"/>
      <c r="Y70" s="482"/>
      <c r="Z70" s="482"/>
      <c r="AA70" s="482"/>
      <c r="AB70" s="482"/>
      <c r="AD70" s="482"/>
      <c r="AE70" s="482"/>
      <c r="AF70" s="482"/>
      <c r="AG70" s="482"/>
      <c r="AH70" s="482"/>
      <c r="AI70" s="482"/>
      <c r="AJ70" s="482"/>
      <c r="AO70" s="586"/>
      <c r="AP70" s="586"/>
      <c r="AQ70" s="586"/>
      <c r="AR70" s="586"/>
      <c r="AS70" s="586"/>
      <c r="AT70" s="586"/>
      <c r="AU70" s="586"/>
      <c r="AV70" s="585"/>
      <c r="AW70" s="585"/>
      <c r="AX70" s="585"/>
      <c r="AY70" s="585"/>
      <c r="AZ70" s="585"/>
      <c r="BA70" s="585"/>
      <c r="BB70" s="585"/>
      <c r="BC70" s="585"/>
      <c r="BD70" s="585"/>
      <c r="BE70" s="585"/>
      <c r="BF70" s="585"/>
      <c r="BG70" s="585"/>
      <c r="BH70" s="585"/>
      <c r="BI70" s="482"/>
      <c r="BJ70" s="482"/>
      <c r="BK70" s="482"/>
      <c r="BL70" s="482"/>
      <c r="BM70" s="482"/>
      <c r="BN70" s="482"/>
      <c r="BO70" s="482"/>
      <c r="BP70" s="482"/>
      <c r="BQ70" s="482"/>
      <c r="BR70" s="482"/>
      <c r="BS70" s="482"/>
      <c r="BT70" s="482"/>
      <c r="BU70" s="482"/>
      <c r="BV70" s="482"/>
      <c r="BW70" s="482"/>
      <c r="BX70" s="482"/>
      <c r="BY70" s="482"/>
      <c r="BZ70" s="482"/>
      <c r="CA70" s="482"/>
      <c r="CB70" s="482"/>
      <c r="CD70" s="482"/>
      <c r="CE70" s="482"/>
      <c r="CF70" s="482"/>
      <c r="CG70" s="482"/>
      <c r="CH70" s="482"/>
      <c r="CI70" s="482"/>
      <c r="CJ70" s="482"/>
    </row>
    <row r="71" spans="3:88" x14ac:dyDescent="0.35">
      <c r="C71" s="482"/>
      <c r="D71" s="592"/>
      <c r="E71" s="592"/>
      <c r="F71" s="592"/>
      <c r="G71" s="592"/>
      <c r="H71" s="593"/>
      <c r="I71" s="593"/>
      <c r="J71" s="593"/>
      <c r="K71" s="593"/>
      <c r="L71" s="593"/>
      <c r="M71" s="593"/>
      <c r="N71" s="482"/>
      <c r="O71" s="482"/>
      <c r="P71" s="482"/>
      <c r="Q71" s="482"/>
      <c r="R71" s="482"/>
      <c r="S71" s="482"/>
      <c r="T71" s="482"/>
      <c r="U71" s="482"/>
      <c r="V71" s="482"/>
      <c r="W71" s="482"/>
      <c r="X71" s="482"/>
      <c r="Y71" s="482"/>
      <c r="Z71" s="482"/>
      <c r="AA71" s="482"/>
      <c r="AB71" s="482"/>
      <c r="AD71" s="482"/>
      <c r="AE71" s="482"/>
      <c r="AF71" s="482"/>
      <c r="AG71" s="482"/>
      <c r="AH71" s="482"/>
      <c r="AI71" s="482"/>
      <c r="AJ71" s="482"/>
      <c r="AO71" s="586"/>
      <c r="AP71" s="586"/>
      <c r="AQ71" s="586"/>
      <c r="AR71" s="586"/>
      <c r="AS71" s="586"/>
      <c r="AT71" s="586"/>
      <c r="AU71" s="586"/>
      <c r="AV71" s="585"/>
      <c r="AW71" s="585"/>
      <c r="AX71" s="585"/>
      <c r="AY71" s="585"/>
      <c r="AZ71" s="585"/>
      <c r="BA71" s="585"/>
      <c r="BB71" s="585"/>
      <c r="BC71" s="585"/>
      <c r="BD71" s="585"/>
      <c r="BE71" s="585"/>
      <c r="BF71" s="585"/>
      <c r="BG71" s="585"/>
      <c r="BH71" s="585"/>
      <c r="BI71" s="482"/>
      <c r="BJ71" s="482"/>
      <c r="BK71" s="482"/>
      <c r="BL71" s="482"/>
      <c r="BM71" s="482"/>
      <c r="BN71" s="482"/>
      <c r="BO71" s="482"/>
      <c r="BP71" s="482"/>
      <c r="BQ71" s="482"/>
      <c r="BR71" s="482"/>
      <c r="BS71" s="482"/>
      <c r="BT71" s="482"/>
      <c r="BU71" s="482"/>
      <c r="BV71" s="482"/>
      <c r="BW71" s="482"/>
      <c r="BX71" s="482"/>
      <c r="BY71" s="482"/>
      <c r="BZ71" s="482"/>
      <c r="CA71" s="482"/>
      <c r="CB71" s="482"/>
      <c r="CD71" s="482"/>
      <c r="CE71" s="482"/>
      <c r="CF71" s="482"/>
      <c r="CG71" s="482"/>
      <c r="CH71" s="482"/>
      <c r="CI71" s="482"/>
      <c r="CJ71" s="482"/>
    </row>
    <row r="72" spans="3:88" x14ac:dyDescent="0.35">
      <c r="C72" s="482"/>
      <c r="D72" s="592"/>
      <c r="E72" s="592"/>
      <c r="F72" s="592"/>
      <c r="G72" s="592"/>
      <c r="H72" s="593"/>
      <c r="I72" s="593"/>
      <c r="J72" s="593"/>
      <c r="K72" s="593"/>
      <c r="L72" s="593"/>
      <c r="M72" s="593"/>
      <c r="N72" s="482"/>
      <c r="O72" s="482"/>
      <c r="P72" s="482"/>
      <c r="Q72" s="482"/>
      <c r="R72" s="482"/>
      <c r="S72" s="482"/>
      <c r="T72" s="482"/>
      <c r="U72" s="482"/>
      <c r="V72" s="482"/>
      <c r="W72" s="482"/>
      <c r="X72" s="482"/>
      <c r="Y72" s="482"/>
      <c r="Z72" s="482"/>
      <c r="AA72" s="482"/>
      <c r="AB72" s="482"/>
      <c r="AD72" s="482"/>
      <c r="AE72" s="482"/>
      <c r="AF72" s="482"/>
      <c r="AG72" s="482"/>
      <c r="AH72" s="482"/>
      <c r="AI72" s="482"/>
      <c r="AJ72" s="482"/>
      <c r="AO72" s="586"/>
      <c r="AP72" s="586"/>
      <c r="AQ72" s="586"/>
      <c r="AR72" s="586"/>
      <c r="AS72" s="586"/>
      <c r="AT72" s="586"/>
      <c r="AU72" s="586"/>
      <c r="AV72" s="585"/>
      <c r="AW72" s="585"/>
      <c r="AX72" s="585"/>
      <c r="AY72" s="585"/>
      <c r="AZ72" s="585"/>
      <c r="BA72" s="585"/>
      <c r="BB72" s="585"/>
      <c r="BC72" s="585"/>
      <c r="BD72" s="585"/>
      <c r="BE72" s="585"/>
      <c r="BF72" s="585"/>
      <c r="BG72" s="585"/>
      <c r="BH72" s="585"/>
      <c r="BI72" s="482"/>
      <c r="BJ72" s="482"/>
      <c r="BK72" s="482"/>
      <c r="BL72" s="482"/>
      <c r="BM72" s="482"/>
      <c r="BN72" s="482"/>
      <c r="BO72" s="482"/>
      <c r="BP72" s="482"/>
      <c r="BQ72" s="482"/>
      <c r="BR72" s="482"/>
      <c r="BS72" s="482"/>
      <c r="BT72" s="482"/>
      <c r="BU72" s="482"/>
      <c r="BV72" s="482"/>
      <c r="BW72" s="482"/>
      <c r="BX72" s="482"/>
      <c r="BY72" s="482"/>
      <c r="BZ72" s="482"/>
      <c r="CA72" s="482"/>
      <c r="CB72" s="482"/>
      <c r="CD72" s="482"/>
      <c r="CE72" s="482"/>
      <c r="CF72" s="482"/>
      <c r="CG72" s="482"/>
      <c r="CH72" s="482"/>
      <c r="CI72" s="482"/>
      <c r="CJ72" s="482"/>
    </row>
    <row r="73" spans="3:88" x14ac:dyDescent="0.35">
      <c r="C73" s="482"/>
      <c r="D73" s="592"/>
      <c r="E73" s="592"/>
      <c r="F73" s="592"/>
      <c r="G73" s="592"/>
      <c r="H73" s="593"/>
      <c r="I73" s="593"/>
      <c r="J73" s="593"/>
      <c r="K73" s="593"/>
      <c r="L73" s="593"/>
      <c r="M73" s="593"/>
      <c r="N73" s="482"/>
      <c r="O73" s="482"/>
      <c r="P73" s="482"/>
      <c r="Q73" s="482"/>
      <c r="R73" s="482"/>
      <c r="S73" s="482"/>
      <c r="T73" s="482"/>
      <c r="U73" s="482"/>
      <c r="V73" s="482"/>
      <c r="W73" s="482"/>
      <c r="X73" s="482"/>
      <c r="Y73" s="482"/>
      <c r="Z73" s="482"/>
      <c r="AA73" s="482"/>
      <c r="AB73" s="482"/>
      <c r="AD73" s="482"/>
      <c r="AE73" s="482"/>
      <c r="AF73" s="482"/>
      <c r="AG73" s="482"/>
      <c r="AH73" s="482"/>
      <c r="AI73" s="482"/>
      <c r="AJ73" s="482"/>
      <c r="AO73" s="586"/>
      <c r="AP73" s="586"/>
      <c r="AQ73" s="586"/>
      <c r="AR73" s="586"/>
      <c r="AS73" s="586"/>
      <c r="AT73" s="586"/>
      <c r="AU73" s="586"/>
      <c r="AV73" s="585"/>
      <c r="AW73" s="585"/>
      <c r="AX73" s="585"/>
      <c r="AY73" s="585"/>
      <c r="AZ73" s="585"/>
      <c r="BA73" s="585"/>
      <c r="BB73" s="585"/>
      <c r="BC73" s="585"/>
      <c r="BD73" s="585"/>
      <c r="BE73" s="585"/>
      <c r="BF73" s="585"/>
      <c r="BG73" s="585"/>
      <c r="BH73" s="585"/>
      <c r="BI73" s="482"/>
      <c r="BJ73" s="482"/>
      <c r="BK73" s="482"/>
      <c r="BL73" s="482"/>
      <c r="BM73" s="482"/>
      <c r="BN73" s="482"/>
      <c r="BO73" s="482"/>
      <c r="BP73" s="482"/>
      <c r="BQ73" s="482"/>
      <c r="BR73" s="482"/>
      <c r="BS73" s="482"/>
      <c r="BT73" s="482"/>
      <c r="BU73" s="482"/>
      <c r="BV73" s="482"/>
      <c r="BW73" s="482"/>
      <c r="BX73" s="482"/>
      <c r="BY73" s="482"/>
      <c r="BZ73" s="482"/>
      <c r="CA73" s="482"/>
      <c r="CB73" s="482"/>
      <c r="CD73" s="482"/>
      <c r="CE73" s="482"/>
      <c r="CF73" s="482"/>
      <c r="CG73" s="482"/>
      <c r="CH73" s="482"/>
      <c r="CI73" s="482"/>
      <c r="CJ73" s="482"/>
    </row>
    <row r="74" spans="3:88" x14ac:dyDescent="0.35">
      <c r="C74" s="482"/>
      <c r="D74" s="592"/>
      <c r="E74" s="592"/>
      <c r="F74" s="592"/>
      <c r="G74" s="592"/>
      <c r="H74" s="593"/>
      <c r="I74" s="593"/>
      <c r="J74" s="593"/>
      <c r="K74" s="593"/>
      <c r="L74" s="593"/>
      <c r="M74" s="593"/>
      <c r="N74" s="482"/>
      <c r="O74" s="482"/>
      <c r="P74" s="482"/>
      <c r="Q74" s="482"/>
      <c r="R74" s="482"/>
      <c r="S74" s="482"/>
      <c r="T74" s="482"/>
      <c r="U74" s="482"/>
      <c r="V74" s="482"/>
      <c r="W74" s="482"/>
      <c r="X74" s="482"/>
      <c r="Y74" s="482"/>
      <c r="Z74" s="482"/>
      <c r="AA74" s="482"/>
      <c r="AB74" s="482"/>
      <c r="AD74" s="482"/>
      <c r="AE74" s="482"/>
      <c r="AF74" s="482"/>
      <c r="AG74" s="482"/>
      <c r="AH74" s="482"/>
      <c r="AI74" s="482"/>
      <c r="AJ74" s="482"/>
      <c r="AO74" s="586"/>
      <c r="AP74" s="586"/>
      <c r="AQ74" s="586"/>
      <c r="AR74" s="586"/>
      <c r="AS74" s="586"/>
      <c r="AT74" s="586"/>
      <c r="AU74" s="586"/>
      <c r="AV74" s="585"/>
      <c r="AW74" s="585"/>
      <c r="AX74" s="585"/>
      <c r="AY74" s="585"/>
      <c r="AZ74" s="585"/>
      <c r="BA74" s="585"/>
      <c r="BB74" s="585"/>
      <c r="BC74" s="585"/>
      <c r="BD74" s="585"/>
      <c r="BE74" s="585"/>
      <c r="BF74" s="585"/>
      <c r="BG74" s="585"/>
      <c r="BH74" s="585"/>
      <c r="BI74" s="482"/>
      <c r="BJ74" s="482"/>
      <c r="BK74" s="482"/>
      <c r="BL74" s="482"/>
      <c r="BM74" s="482"/>
      <c r="BN74" s="482"/>
      <c r="BO74" s="482"/>
      <c r="BP74" s="482"/>
      <c r="BQ74" s="482"/>
      <c r="BR74" s="482"/>
      <c r="BS74" s="482"/>
      <c r="BT74" s="482"/>
      <c r="BU74" s="482"/>
      <c r="BV74" s="482"/>
      <c r="BW74" s="482"/>
      <c r="BX74" s="482"/>
      <c r="BY74" s="482"/>
      <c r="BZ74" s="482"/>
      <c r="CA74" s="482"/>
      <c r="CB74" s="482"/>
      <c r="CD74" s="482"/>
      <c r="CE74" s="482"/>
      <c r="CF74" s="482"/>
      <c r="CG74" s="482"/>
      <c r="CH74" s="482"/>
      <c r="CI74" s="482"/>
      <c r="CJ74" s="482"/>
    </row>
    <row r="75" spans="3:88" x14ac:dyDescent="0.35">
      <c r="C75" s="482"/>
      <c r="D75" s="592"/>
      <c r="E75" s="592"/>
      <c r="F75" s="592"/>
      <c r="G75" s="592"/>
      <c r="H75" s="593"/>
      <c r="I75" s="593"/>
      <c r="J75" s="593"/>
      <c r="K75" s="593"/>
      <c r="L75" s="593"/>
      <c r="M75" s="593"/>
      <c r="N75" s="482"/>
      <c r="O75" s="482"/>
      <c r="P75" s="482"/>
      <c r="Q75" s="482"/>
      <c r="R75" s="482"/>
      <c r="S75" s="482"/>
      <c r="T75" s="482"/>
      <c r="U75" s="482"/>
      <c r="V75" s="482"/>
      <c r="W75" s="482"/>
      <c r="X75" s="482"/>
      <c r="Y75" s="482"/>
      <c r="Z75" s="482"/>
      <c r="AA75" s="482"/>
      <c r="AB75" s="482"/>
      <c r="AD75" s="482"/>
      <c r="AE75" s="482"/>
      <c r="AF75" s="482"/>
      <c r="AG75" s="482"/>
      <c r="AH75" s="482"/>
      <c r="AI75" s="482"/>
      <c r="AJ75" s="482"/>
      <c r="AO75" s="586"/>
      <c r="AP75" s="586"/>
      <c r="AQ75" s="586"/>
      <c r="AR75" s="586"/>
      <c r="AS75" s="586"/>
      <c r="AT75" s="586"/>
      <c r="AU75" s="586"/>
      <c r="AV75" s="585"/>
      <c r="AW75" s="585"/>
      <c r="AX75" s="585"/>
      <c r="AY75" s="585"/>
      <c r="AZ75" s="585"/>
      <c r="BA75" s="585"/>
      <c r="BB75" s="585"/>
      <c r="BC75" s="585"/>
      <c r="BD75" s="585"/>
      <c r="BE75" s="585"/>
      <c r="BF75" s="585"/>
      <c r="BG75" s="585"/>
      <c r="BH75" s="585"/>
      <c r="BI75" s="482"/>
      <c r="BJ75" s="482"/>
      <c r="BK75" s="482"/>
      <c r="BL75" s="482"/>
      <c r="BM75" s="482"/>
      <c r="BN75" s="482"/>
      <c r="BO75" s="482"/>
      <c r="BP75" s="482"/>
      <c r="BQ75" s="482"/>
      <c r="BR75" s="482"/>
      <c r="BS75" s="482"/>
      <c r="BT75" s="482"/>
      <c r="BU75" s="482"/>
      <c r="BV75" s="482"/>
      <c r="BW75" s="482"/>
      <c r="BX75" s="482"/>
      <c r="BY75" s="482"/>
      <c r="BZ75" s="482"/>
      <c r="CA75" s="482"/>
      <c r="CB75" s="482"/>
      <c r="CD75" s="482"/>
      <c r="CE75" s="482"/>
      <c r="CF75" s="482"/>
      <c r="CG75" s="482"/>
      <c r="CH75" s="482"/>
      <c r="CI75" s="482"/>
      <c r="CJ75" s="482"/>
    </row>
    <row r="76" spans="3:88" x14ac:dyDescent="0.35">
      <c r="C76" s="482"/>
      <c r="D76" s="592"/>
      <c r="E76" s="592"/>
      <c r="F76" s="592"/>
      <c r="G76" s="592"/>
      <c r="H76" s="593"/>
      <c r="I76" s="593"/>
      <c r="J76" s="593"/>
      <c r="K76" s="593"/>
      <c r="L76" s="593"/>
      <c r="M76" s="593"/>
      <c r="N76" s="482"/>
      <c r="O76" s="482"/>
      <c r="P76" s="482"/>
      <c r="Q76" s="482"/>
      <c r="R76" s="482"/>
      <c r="S76" s="482"/>
      <c r="T76" s="482"/>
      <c r="U76" s="482"/>
      <c r="V76" s="482"/>
      <c r="W76" s="482"/>
      <c r="X76" s="482"/>
      <c r="Y76" s="482"/>
      <c r="Z76" s="482"/>
      <c r="AA76" s="482"/>
      <c r="AB76" s="482"/>
      <c r="AD76" s="482"/>
      <c r="AE76" s="482"/>
      <c r="AF76" s="482"/>
      <c r="AG76" s="482"/>
      <c r="AH76" s="482"/>
      <c r="AI76" s="482"/>
      <c r="AJ76" s="482"/>
      <c r="AO76" s="586"/>
      <c r="AP76" s="586"/>
      <c r="AQ76" s="586"/>
      <c r="AR76" s="586"/>
      <c r="AS76" s="586"/>
      <c r="AT76" s="586"/>
      <c r="AU76" s="586"/>
      <c r="AV76" s="585"/>
      <c r="AW76" s="585"/>
      <c r="AX76" s="585"/>
      <c r="AY76" s="585"/>
      <c r="AZ76" s="585"/>
      <c r="BA76" s="585"/>
      <c r="BB76" s="585"/>
      <c r="BC76" s="585"/>
      <c r="BD76" s="585"/>
      <c r="BE76" s="585"/>
      <c r="BF76" s="585"/>
      <c r="BG76" s="585"/>
      <c r="BH76" s="585"/>
      <c r="BI76" s="482"/>
      <c r="BJ76" s="482"/>
      <c r="BK76" s="482"/>
      <c r="BL76" s="482"/>
      <c r="BM76" s="482"/>
      <c r="BN76" s="482"/>
      <c r="BO76" s="482"/>
      <c r="BP76" s="482"/>
      <c r="BQ76" s="482"/>
      <c r="BR76" s="482"/>
      <c r="BS76" s="482"/>
      <c r="BT76" s="482"/>
      <c r="BU76" s="482"/>
      <c r="BV76" s="482"/>
      <c r="BW76" s="482"/>
      <c r="BX76" s="482"/>
      <c r="BY76" s="482"/>
      <c r="BZ76" s="482"/>
      <c r="CA76" s="482"/>
      <c r="CB76" s="482"/>
      <c r="CD76" s="482"/>
      <c r="CE76" s="482"/>
      <c r="CF76" s="482"/>
      <c r="CG76" s="482"/>
      <c r="CH76" s="482"/>
      <c r="CI76" s="482"/>
      <c r="CJ76" s="482"/>
    </row>
    <row r="77" spans="3:88" x14ac:dyDescent="0.35">
      <c r="C77" s="482"/>
      <c r="D77" s="592"/>
      <c r="E77" s="592"/>
      <c r="F77" s="592"/>
      <c r="G77" s="592"/>
      <c r="H77" s="593"/>
      <c r="I77" s="593"/>
      <c r="J77" s="593"/>
      <c r="K77" s="593"/>
      <c r="L77" s="593"/>
      <c r="M77" s="593"/>
      <c r="N77" s="482"/>
      <c r="O77" s="482"/>
      <c r="P77" s="482"/>
      <c r="Q77" s="482"/>
      <c r="R77" s="482"/>
      <c r="S77" s="482"/>
      <c r="T77" s="482"/>
      <c r="U77" s="482"/>
      <c r="V77" s="482"/>
      <c r="W77" s="482"/>
      <c r="X77" s="482"/>
      <c r="Y77" s="482"/>
      <c r="Z77" s="482"/>
      <c r="AA77" s="482"/>
      <c r="AB77" s="482"/>
      <c r="AD77" s="482"/>
      <c r="AE77" s="482"/>
      <c r="AF77" s="482"/>
      <c r="AG77" s="482"/>
      <c r="AH77" s="482"/>
      <c r="AI77" s="482"/>
      <c r="AJ77" s="482"/>
      <c r="AO77" s="586"/>
      <c r="AP77" s="586"/>
      <c r="AQ77" s="586"/>
      <c r="AR77" s="586"/>
      <c r="AS77" s="586"/>
      <c r="AT77" s="586"/>
      <c r="AU77" s="586"/>
      <c r="AV77" s="585"/>
      <c r="AW77" s="585"/>
      <c r="AX77" s="585"/>
      <c r="AY77" s="585"/>
      <c r="AZ77" s="585"/>
      <c r="BA77" s="585"/>
      <c r="BB77" s="585"/>
      <c r="BC77" s="585"/>
      <c r="BD77" s="585"/>
      <c r="BE77" s="585"/>
      <c r="BF77" s="585"/>
      <c r="BG77" s="585"/>
      <c r="BH77" s="585"/>
      <c r="BI77" s="482"/>
      <c r="BJ77" s="482"/>
      <c r="BK77" s="482"/>
      <c r="BL77" s="482"/>
      <c r="BM77" s="482"/>
      <c r="BN77" s="482"/>
      <c r="BO77" s="482"/>
      <c r="BP77" s="482"/>
      <c r="BQ77" s="482"/>
      <c r="BR77" s="482"/>
      <c r="BS77" s="482"/>
      <c r="BT77" s="482"/>
      <c r="BU77" s="482"/>
      <c r="BV77" s="482"/>
      <c r="BW77" s="482"/>
      <c r="BX77" s="482"/>
      <c r="BY77" s="482"/>
      <c r="BZ77" s="482"/>
      <c r="CA77" s="482"/>
      <c r="CB77" s="482"/>
      <c r="CD77" s="482"/>
      <c r="CE77" s="482"/>
      <c r="CF77" s="482"/>
      <c r="CG77" s="482"/>
      <c r="CH77" s="482"/>
      <c r="CI77" s="482"/>
      <c r="CJ77" s="482"/>
    </row>
    <row r="78" spans="3:88" x14ac:dyDescent="0.35">
      <c r="C78" s="482"/>
      <c r="D78" s="592"/>
      <c r="E78" s="592"/>
      <c r="F78" s="592"/>
      <c r="G78" s="592"/>
      <c r="H78" s="593"/>
      <c r="I78" s="593"/>
      <c r="J78" s="593"/>
      <c r="K78" s="593"/>
      <c r="L78" s="593"/>
      <c r="M78" s="593"/>
      <c r="N78" s="482"/>
      <c r="O78" s="482"/>
      <c r="P78" s="482"/>
      <c r="Q78" s="482"/>
      <c r="R78" s="482"/>
      <c r="S78" s="482"/>
      <c r="T78" s="482"/>
      <c r="U78" s="482"/>
      <c r="V78" s="482"/>
      <c r="W78" s="482"/>
      <c r="X78" s="482"/>
      <c r="Y78" s="482"/>
      <c r="Z78" s="482"/>
      <c r="AA78" s="482"/>
      <c r="AB78" s="482"/>
      <c r="AD78" s="482"/>
      <c r="AE78" s="482"/>
      <c r="AF78" s="482"/>
      <c r="AG78" s="482"/>
      <c r="AH78" s="482"/>
      <c r="AI78" s="482"/>
      <c r="AJ78" s="482"/>
      <c r="AO78" s="586"/>
      <c r="AP78" s="586"/>
      <c r="AQ78" s="586"/>
      <c r="AR78" s="586"/>
      <c r="AS78" s="586"/>
      <c r="AT78" s="586"/>
      <c r="AU78" s="586"/>
      <c r="AV78" s="585"/>
      <c r="AW78" s="585"/>
      <c r="AX78" s="585"/>
      <c r="AY78" s="585"/>
      <c r="AZ78" s="585"/>
      <c r="BA78" s="585"/>
      <c r="BB78" s="585"/>
      <c r="BC78" s="585"/>
      <c r="BD78" s="585"/>
      <c r="BE78" s="585"/>
      <c r="BF78" s="585"/>
      <c r="BG78" s="585"/>
      <c r="BH78" s="585"/>
      <c r="BI78" s="482"/>
      <c r="BJ78" s="482"/>
      <c r="BK78" s="482"/>
      <c r="BL78" s="482"/>
      <c r="BM78" s="482"/>
      <c r="BN78" s="482"/>
      <c r="BO78" s="482"/>
      <c r="BP78" s="482"/>
      <c r="BQ78" s="482"/>
      <c r="BR78" s="482"/>
      <c r="BS78" s="482"/>
      <c r="BT78" s="482"/>
      <c r="BU78" s="482"/>
      <c r="BV78" s="482"/>
      <c r="BW78" s="482"/>
      <c r="BX78" s="482"/>
      <c r="BY78" s="482"/>
      <c r="BZ78" s="482"/>
      <c r="CA78" s="482"/>
      <c r="CB78" s="482"/>
      <c r="CD78" s="482"/>
      <c r="CE78" s="482"/>
      <c r="CF78" s="482"/>
      <c r="CG78" s="482"/>
      <c r="CH78" s="482"/>
      <c r="CI78" s="482"/>
      <c r="CJ78" s="482"/>
    </row>
    <row r="79" spans="3:88" x14ac:dyDescent="0.35">
      <c r="C79" s="482"/>
      <c r="D79" s="592"/>
      <c r="E79" s="592"/>
      <c r="F79" s="592"/>
      <c r="G79" s="592"/>
      <c r="H79" s="593"/>
      <c r="I79" s="593"/>
      <c r="J79" s="593"/>
      <c r="K79" s="593"/>
      <c r="L79" s="593"/>
      <c r="M79" s="593"/>
      <c r="N79" s="482"/>
      <c r="O79" s="482"/>
      <c r="P79" s="482"/>
      <c r="Q79" s="482"/>
      <c r="R79" s="482"/>
      <c r="S79" s="482"/>
      <c r="T79" s="482"/>
      <c r="U79" s="482"/>
      <c r="V79" s="482"/>
      <c r="W79" s="482"/>
      <c r="X79" s="482"/>
      <c r="Y79" s="482"/>
      <c r="Z79" s="482"/>
      <c r="AA79" s="482"/>
      <c r="AB79" s="482"/>
      <c r="AD79" s="482"/>
      <c r="AE79" s="482"/>
      <c r="AF79" s="482"/>
      <c r="AG79" s="482"/>
      <c r="AH79" s="482"/>
      <c r="AI79" s="482"/>
      <c r="AJ79" s="482"/>
      <c r="AO79" s="586"/>
      <c r="AP79" s="586"/>
      <c r="AQ79" s="586"/>
      <c r="AR79" s="586"/>
      <c r="AS79" s="586"/>
      <c r="AT79" s="586"/>
      <c r="AU79" s="586"/>
      <c r="AV79" s="585"/>
      <c r="AW79" s="585"/>
      <c r="AX79" s="585"/>
      <c r="AY79" s="585"/>
      <c r="AZ79" s="585"/>
      <c r="BA79" s="585"/>
      <c r="BB79" s="585"/>
      <c r="BC79" s="585"/>
      <c r="BD79" s="585"/>
      <c r="BE79" s="585"/>
      <c r="BF79" s="585"/>
      <c r="BG79" s="585"/>
      <c r="BH79" s="585"/>
      <c r="BI79" s="482"/>
      <c r="BJ79" s="482"/>
      <c r="BK79" s="482"/>
      <c r="BL79" s="482"/>
      <c r="BM79" s="482"/>
      <c r="BN79" s="482"/>
      <c r="BO79" s="482"/>
      <c r="BP79" s="482"/>
      <c r="BQ79" s="482"/>
      <c r="BR79" s="482"/>
      <c r="BS79" s="482"/>
      <c r="BT79" s="482"/>
      <c r="BU79" s="482"/>
      <c r="BV79" s="482"/>
      <c r="BW79" s="482"/>
      <c r="BX79" s="482"/>
      <c r="BY79" s="482"/>
      <c r="BZ79" s="482"/>
      <c r="CA79" s="482"/>
      <c r="CB79" s="482"/>
      <c r="CD79" s="482"/>
      <c r="CE79" s="482"/>
      <c r="CF79" s="482"/>
      <c r="CG79" s="482"/>
      <c r="CH79" s="482"/>
      <c r="CI79" s="482"/>
      <c r="CJ79" s="482"/>
    </row>
    <row r="80" spans="3:88" x14ac:dyDescent="0.35">
      <c r="C80" s="482"/>
      <c r="D80" s="592"/>
      <c r="E80" s="592"/>
      <c r="F80" s="592"/>
      <c r="G80" s="592"/>
      <c r="H80" s="593"/>
      <c r="I80" s="593"/>
      <c r="J80" s="593"/>
      <c r="K80" s="593"/>
      <c r="L80" s="593"/>
      <c r="M80" s="593"/>
      <c r="N80" s="482"/>
      <c r="O80" s="482"/>
      <c r="P80" s="482"/>
      <c r="Q80" s="482"/>
      <c r="R80" s="482"/>
      <c r="S80" s="482"/>
      <c r="T80" s="482"/>
      <c r="U80" s="482"/>
      <c r="V80" s="482"/>
      <c r="W80" s="482"/>
      <c r="X80" s="482"/>
      <c r="Y80" s="482"/>
      <c r="Z80" s="482"/>
      <c r="AA80" s="482"/>
      <c r="AB80" s="482"/>
      <c r="AD80" s="482"/>
      <c r="AE80" s="482"/>
      <c r="AF80" s="482"/>
      <c r="AG80" s="482"/>
      <c r="AH80" s="482"/>
      <c r="AI80" s="482"/>
      <c r="AJ80" s="482"/>
      <c r="AO80" s="586"/>
      <c r="AP80" s="586"/>
      <c r="AQ80" s="586"/>
      <c r="AR80" s="586"/>
      <c r="AS80" s="586"/>
      <c r="AT80" s="586"/>
      <c r="AU80" s="586"/>
      <c r="AV80" s="585"/>
      <c r="AW80" s="585"/>
      <c r="AX80" s="585"/>
      <c r="AY80" s="585"/>
      <c r="AZ80" s="585"/>
      <c r="BA80" s="585"/>
      <c r="BB80" s="585"/>
      <c r="BC80" s="585"/>
      <c r="BD80" s="585"/>
      <c r="BE80" s="585"/>
      <c r="BF80" s="585"/>
      <c r="BG80" s="585"/>
      <c r="BH80" s="585"/>
      <c r="BI80" s="482"/>
      <c r="BJ80" s="482"/>
      <c r="BK80" s="482"/>
      <c r="BL80" s="482"/>
      <c r="BM80" s="482"/>
      <c r="BN80" s="482"/>
      <c r="BO80" s="482"/>
      <c r="BP80" s="482"/>
      <c r="BQ80" s="482"/>
      <c r="BR80" s="482"/>
      <c r="BS80" s="482"/>
      <c r="BT80" s="482"/>
      <c r="BU80" s="482"/>
      <c r="BV80" s="482"/>
      <c r="BW80" s="482"/>
      <c r="BX80" s="482"/>
      <c r="BY80" s="482"/>
      <c r="BZ80" s="482"/>
      <c r="CA80" s="482"/>
      <c r="CB80" s="482"/>
      <c r="CD80" s="482"/>
      <c r="CE80" s="482"/>
      <c r="CF80" s="482"/>
      <c r="CG80" s="482"/>
      <c r="CH80" s="482"/>
      <c r="CI80" s="482"/>
      <c r="CJ80" s="482"/>
    </row>
    <row r="81" spans="3:88" x14ac:dyDescent="0.35">
      <c r="C81" s="482"/>
      <c r="D81" s="592"/>
      <c r="E81" s="592"/>
      <c r="F81" s="592"/>
      <c r="G81" s="592"/>
      <c r="H81" s="593"/>
      <c r="I81" s="593"/>
      <c r="J81" s="593"/>
      <c r="K81" s="593"/>
      <c r="L81" s="593"/>
      <c r="M81" s="593"/>
      <c r="N81" s="482"/>
      <c r="O81" s="482"/>
      <c r="P81" s="482"/>
      <c r="Q81" s="482"/>
      <c r="R81" s="482"/>
      <c r="S81" s="482"/>
      <c r="T81" s="482"/>
      <c r="U81" s="482"/>
      <c r="V81" s="482"/>
      <c r="W81" s="482"/>
      <c r="X81" s="482"/>
      <c r="Y81" s="482"/>
      <c r="Z81" s="482"/>
      <c r="AA81" s="482"/>
      <c r="AB81" s="482"/>
      <c r="AD81" s="482"/>
      <c r="AE81" s="482"/>
      <c r="AF81" s="482"/>
      <c r="AG81" s="482"/>
      <c r="AH81" s="482"/>
      <c r="AI81" s="482"/>
      <c r="AJ81" s="482"/>
      <c r="AO81" s="586"/>
      <c r="AP81" s="586"/>
      <c r="AQ81" s="586"/>
      <c r="AR81" s="586"/>
      <c r="AS81" s="586"/>
      <c r="AT81" s="586"/>
      <c r="AU81" s="586"/>
      <c r="AV81" s="585"/>
      <c r="AW81" s="585"/>
      <c r="AX81" s="585"/>
      <c r="AY81" s="585"/>
      <c r="AZ81" s="585"/>
      <c r="BA81" s="585"/>
      <c r="BB81" s="585"/>
      <c r="BC81" s="585"/>
      <c r="BD81" s="585"/>
      <c r="BE81" s="585"/>
      <c r="BF81" s="585"/>
      <c r="BG81" s="585"/>
      <c r="BH81" s="585"/>
      <c r="BI81" s="482"/>
      <c r="BJ81" s="482"/>
      <c r="BK81" s="482"/>
      <c r="BL81" s="482"/>
      <c r="BM81" s="482"/>
      <c r="BN81" s="482"/>
      <c r="BO81" s="482"/>
      <c r="BP81" s="482"/>
      <c r="BQ81" s="482"/>
      <c r="BR81" s="482"/>
      <c r="BS81" s="482"/>
      <c r="BT81" s="482"/>
      <c r="BU81" s="482"/>
      <c r="BV81" s="482"/>
      <c r="BW81" s="482"/>
      <c r="BX81" s="482"/>
      <c r="BY81" s="482"/>
      <c r="BZ81" s="482"/>
      <c r="CA81" s="482"/>
      <c r="CB81" s="482"/>
      <c r="CD81" s="482"/>
      <c r="CE81" s="482"/>
      <c r="CF81" s="482"/>
      <c r="CG81" s="482"/>
      <c r="CH81" s="482"/>
      <c r="CI81" s="482"/>
      <c r="CJ81" s="482"/>
    </row>
    <row r="82" spans="3:88" x14ac:dyDescent="0.35">
      <c r="C82" s="482"/>
      <c r="D82" s="592"/>
      <c r="E82" s="592"/>
      <c r="F82" s="592"/>
      <c r="G82" s="592"/>
      <c r="H82" s="593"/>
      <c r="I82" s="593"/>
      <c r="J82" s="593"/>
      <c r="K82" s="593"/>
      <c r="L82" s="593"/>
      <c r="M82" s="593"/>
      <c r="N82" s="482"/>
      <c r="O82" s="482"/>
      <c r="P82" s="482"/>
      <c r="Q82" s="482"/>
      <c r="R82" s="482"/>
      <c r="S82" s="482"/>
      <c r="T82" s="482"/>
      <c r="U82" s="482"/>
      <c r="V82" s="482"/>
      <c r="W82" s="482"/>
      <c r="X82" s="482"/>
      <c r="Y82" s="482"/>
      <c r="Z82" s="482"/>
      <c r="AA82" s="482"/>
      <c r="AB82" s="482"/>
      <c r="AD82" s="482"/>
      <c r="AE82" s="482"/>
      <c r="AF82" s="482"/>
      <c r="AG82" s="482"/>
      <c r="AH82" s="482"/>
      <c r="AI82" s="482"/>
      <c r="AJ82" s="482"/>
      <c r="AO82" s="586"/>
      <c r="AP82" s="586"/>
      <c r="AQ82" s="586"/>
      <c r="AR82" s="586"/>
      <c r="AS82" s="586"/>
      <c r="AT82" s="586"/>
      <c r="AU82" s="586"/>
      <c r="AV82" s="585"/>
      <c r="AW82" s="585"/>
      <c r="AX82" s="585"/>
      <c r="AY82" s="585"/>
      <c r="AZ82" s="585"/>
      <c r="BA82" s="585"/>
      <c r="BB82" s="585"/>
      <c r="BC82" s="585"/>
      <c r="BD82" s="585"/>
      <c r="BE82" s="585"/>
      <c r="BF82" s="585"/>
      <c r="BG82" s="585"/>
      <c r="BH82" s="585"/>
      <c r="BI82" s="482"/>
      <c r="BJ82" s="482"/>
      <c r="BK82" s="482"/>
      <c r="BL82" s="482"/>
      <c r="BM82" s="482"/>
      <c r="BN82" s="482"/>
      <c r="BO82" s="482"/>
      <c r="BP82" s="482"/>
      <c r="BQ82" s="482"/>
      <c r="BR82" s="482"/>
      <c r="BS82" s="482"/>
      <c r="BT82" s="482"/>
      <c r="BU82" s="482"/>
      <c r="BV82" s="482"/>
      <c r="BW82" s="482"/>
      <c r="BX82" s="482"/>
      <c r="BY82" s="482"/>
      <c r="BZ82" s="482"/>
      <c r="CA82" s="482"/>
      <c r="CB82" s="482"/>
      <c r="CD82" s="482"/>
      <c r="CE82" s="482"/>
      <c r="CF82" s="482"/>
      <c r="CG82" s="482"/>
      <c r="CH82" s="482"/>
      <c r="CI82" s="482"/>
      <c r="CJ82" s="482"/>
    </row>
    <row r="83" spans="3:88" x14ac:dyDescent="0.35">
      <c r="C83" s="482"/>
      <c r="D83" s="592"/>
      <c r="E83" s="592"/>
      <c r="F83" s="592"/>
      <c r="G83" s="592"/>
      <c r="H83" s="593"/>
      <c r="I83" s="593"/>
      <c r="J83" s="593"/>
      <c r="K83" s="593"/>
      <c r="L83" s="593"/>
      <c r="M83" s="593"/>
      <c r="N83" s="482"/>
      <c r="O83" s="482"/>
      <c r="P83" s="482"/>
      <c r="Q83" s="482"/>
      <c r="R83" s="482"/>
      <c r="S83" s="482"/>
      <c r="T83" s="482"/>
      <c r="U83" s="482"/>
      <c r="V83" s="482"/>
      <c r="W83" s="482"/>
      <c r="X83" s="482"/>
      <c r="Y83" s="482"/>
      <c r="Z83" s="482"/>
      <c r="AA83" s="482"/>
      <c r="AB83" s="482"/>
      <c r="AD83" s="482"/>
      <c r="AE83" s="482"/>
      <c r="AF83" s="482"/>
      <c r="AG83" s="482"/>
      <c r="AH83" s="482"/>
      <c r="AI83" s="482"/>
      <c r="AJ83" s="482"/>
      <c r="AO83" s="586"/>
      <c r="AP83" s="586"/>
      <c r="AQ83" s="586"/>
      <c r="AR83" s="586"/>
      <c r="AS83" s="586"/>
      <c r="AT83" s="586"/>
      <c r="AU83" s="586"/>
      <c r="AV83" s="585"/>
      <c r="AW83" s="585"/>
      <c r="AX83" s="585"/>
      <c r="AY83" s="585"/>
      <c r="AZ83" s="585"/>
      <c r="BA83" s="585"/>
      <c r="BB83" s="585"/>
      <c r="BC83" s="585"/>
      <c r="BD83" s="585"/>
      <c r="BE83" s="585"/>
      <c r="BF83" s="585"/>
      <c r="BG83" s="585"/>
      <c r="BH83" s="585"/>
      <c r="BI83" s="482"/>
      <c r="BJ83" s="482"/>
      <c r="BK83" s="482"/>
      <c r="BL83" s="482"/>
      <c r="BM83" s="482"/>
      <c r="BN83" s="482"/>
      <c r="BO83" s="482"/>
      <c r="BP83" s="482"/>
      <c r="BQ83" s="482"/>
      <c r="BR83" s="482"/>
      <c r="BS83" s="482"/>
      <c r="BT83" s="482"/>
      <c r="BU83" s="482"/>
      <c r="BV83" s="482"/>
      <c r="BW83" s="482"/>
      <c r="BX83" s="482"/>
      <c r="BY83" s="482"/>
      <c r="BZ83" s="482"/>
      <c r="CA83" s="482"/>
      <c r="CB83" s="482"/>
      <c r="CD83" s="482"/>
      <c r="CE83" s="482"/>
      <c r="CF83" s="482"/>
      <c r="CG83" s="482"/>
      <c r="CH83" s="482"/>
      <c r="CI83" s="482"/>
      <c r="CJ83" s="482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578E6-F76E-46CE-88C0-A0BDF503A0A0}">
  <sheetPr codeName="Feuil3"/>
  <dimension ref="A2:AI42"/>
  <sheetViews>
    <sheetView tabSelected="1" zoomScale="40" zoomScaleNormal="40" workbookViewId="0">
      <pane xSplit="3" ySplit="10" topLeftCell="D11" activePane="bottomRight" state="frozen"/>
      <selection pane="topRight" activeCell="D1" sqref="D1"/>
      <selection pane="bottomLeft" activeCell="A11" sqref="A11"/>
      <selection pane="bottomRight" activeCell="K8" sqref="K8"/>
    </sheetView>
  </sheetViews>
  <sheetFormatPr baseColWidth="10" defaultColWidth="11.453125" defaultRowHeight="15.5" x14ac:dyDescent="0.35"/>
  <cols>
    <col min="1" max="1" width="18" style="48" bestFit="1" customWidth="1"/>
    <col min="2" max="2" width="39.7265625" style="28" bestFit="1" customWidth="1"/>
    <col min="3" max="3" width="33" style="28" customWidth="1"/>
    <col min="4" max="4" width="19.81640625" style="28" bestFit="1" customWidth="1"/>
    <col min="5" max="5" width="14.7265625" style="48" bestFit="1" customWidth="1"/>
    <col min="6" max="6" width="17" style="48" bestFit="1" customWidth="1"/>
    <col min="7" max="7" width="34.26953125" style="48" bestFit="1" customWidth="1"/>
    <col min="8" max="8" width="31.26953125" style="48" bestFit="1" customWidth="1"/>
    <col min="9" max="9" width="14.453125" style="48" bestFit="1" customWidth="1"/>
    <col min="10" max="10" width="16.26953125" style="48" bestFit="1" customWidth="1"/>
    <col min="11" max="11" width="16.26953125" style="48" customWidth="1"/>
    <col min="12" max="12" width="22.7265625" style="48" bestFit="1" customWidth="1"/>
    <col min="13" max="13" width="29.453125" style="48" bestFit="1" customWidth="1"/>
    <col min="14" max="14" width="16.1796875" style="28" bestFit="1" customWidth="1"/>
    <col min="15" max="15" width="13.26953125" style="28" bestFit="1" customWidth="1"/>
    <col min="16" max="16" width="14" style="28" bestFit="1" customWidth="1"/>
    <col min="17" max="17" width="1.26953125" style="48" customWidth="1"/>
    <col min="18" max="18" width="14.453125" style="48" bestFit="1" customWidth="1"/>
    <col min="19" max="20" width="17" style="28" customWidth="1"/>
    <col min="21" max="21" width="23.54296875" style="48" customWidth="1"/>
    <col min="22" max="22" width="17" style="48" customWidth="1"/>
    <col min="23" max="23" width="26.81640625" style="48" bestFit="1" customWidth="1"/>
    <col min="24" max="24" width="26.26953125" style="28" customWidth="1"/>
    <col min="25" max="25" width="1.1796875" style="28" customWidth="1"/>
    <col min="26" max="26" width="22.7265625" style="48" customWidth="1"/>
    <col min="27" max="31" width="22.7265625" style="28" customWidth="1"/>
    <col min="32" max="32" width="31.453125" style="28" customWidth="1"/>
    <col min="33" max="33" width="20.7265625" style="28" customWidth="1"/>
    <col min="34" max="34" width="24.7265625" style="28" customWidth="1"/>
    <col min="35" max="35" width="57.453125" style="28" customWidth="1"/>
    <col min="36" max="16384" width="11.453125" style="28"/>
  </cols>
  <sheetData>
    <row r="2" spans="1:35" ht="20" x14ac:dyDescent="0.35">
      <c r="A2" s="895" t="s">
        <v>156</v>
      </c>
      <c r="B2" s="895"/>
      <c r="C2" s="895"/>
      <c r="D2" s="895"/>
      <c r="E2" s="895"/>
      <c r="F2" s="895"/>
      <c r="G2" s="895"/>
      <c r="H2" s="895"/>
      <c r="I2" s="895"/>
      <c r="J2" s="895"/>
      <c r="K2" s="895"/>
      <c r="L2" s="895"/>
      <c r="M2" s="895"/>
      <c r="N2" s="895"/>
      <c r="O2" s="895"/>
      <c r="P2" s="895"/>
      <c r="Q2" s="895"/>
      <c r="R2" s="895"/>
      <c r="S2" s="895"/>
      <c r="T2" s="895"/>
      <c r="U2" s="895"/>
      <c r="V2" s="895"/>
      <c r="W2" s="895"/>
      <c r="X2" s="895"/>
      <c r="Y2" s="895"/>
      <c r="Z2" s="895"/>
      <c r="AA2" s="895"/>
      <c r="AB2" s="895"/>
      <c r="AC2" s="895"/>
      <c r="AD2" s="895"/>
      <c r="AE2" s="895"/>
      <c r="AF2" s="895"/>
      <c r="AG2" s="895"/>
      <c r="AH2" s="895"/>
      <c r="AI2" s="895"/>
    </row>
    <row r="3" spans="1:35" ht="20" x14ac:dyDescent="0.35">
      <c r="A3" s="71"/>
      <c r="B3" s="72" t="s">
        <v>157</v>
      </c>
      <c r="C3" s="73">
        <f ca="1">TODAY()</f>
        <v>45272</v>
      </c>
      <c r="D3" s="74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71"/>
    </row>
    <row r="4" spans="1:35" ht="20" x14ac:dyDescent="0.35">
      <c r="A4" s="71"/>
      <c r="B4" s="72" t="s">
        <v>158</v>
      </c>
      <c r="C4" s="73">
        <v>45190</v>
      </c>
      <c r="D4" s="74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</row>
    <row r="5" spans="1:35" ht="20" x14ac:dyDescent="0.35">
      <c r="A5" s="71"/>
      <c r="B5" s="72" t="s">
        <v>159</v>
      </c>
      <c r="C5" s="74"/>
      <c r="D5" s="74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71"/>
    </row>
    <row r="6" spans="1:35" ht="20.5" thickBot="1" x14ac:dyDescent="0.4">
      <c r="A6" s="71"/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</row>
    <row r="7" spans="1:35" ht="16.5" thickTop="1" thickBot="1" x14ac:dyDescent="0.4">
      <c r="A7" s="896" t="s">
        <v>138</v>
      </c>
      <c r="B7" s="897"/>
      <c r="C7" s="897"/>
      <c r="D7" s="897"/>
      <c r="E7" s="897"/>
      <c r="F7" s="897"/>
      <c r="G7" s="897"/>
      <c r="H7" s="897"/>
      <c r="I7" s="897"/>
      <c r="J7" s="897"/>
      <c r="K7" s="897"/>
      <c r="L7" s="897"/>
      <c r="M7" s="897"/>
      <c r="N7" s="897"/>
      <c r="O7" s="897"/>
      <c r="P7" s="898"/>
      <c r="Q7" s="27"/>
      <c r="R7" s="899" t="s">
        <v>139</v>
      </c>
      <c r="S7" s="900"/>
      <c r="T7" s="900"/>
      <c r="U7" s="900"/>
      <c r="V7" s="900"/>
      <c r="W7" s="900"/>
      <c r="X7" s="901"/>
      <c r="Y7" s="19"/>
      <c r="Z7" s="902"/>
      <c r="AA7" s="902"/>
      <c r="AB7" s="902"/>
      <c r="AC7" s="902"/>
      <c r="AD7" s="902"/>
      <c r="AE7" s="902"/>
      <c r="AF7" s="902"/>
      <c r="AG7" s="903"/>
    </row>
    <row r="8" spans="1:35" ht="47.5" thickTop="1" thickBot="1" x14ac:dyDescent="0.4">
      <c r="A8" s="75" t="s">
        <v>160</v>
      </c>
      <c r="B8" s="11" t="s">
        <v>140</v>
      </c>
      <c r="C8" s="11" t="s">
        <v>141</v>
      </c>
      <c r="D8" s="29" t="s">
        <v>142</v>
      </c>
      <c r="E8" s="11" t="s">
        <v>143</v>
      </c>
      <c r="F8" s="737" t="s">
        <v>520</v>
      </c>
      <c r="G8" s="922" t="s">
        <v>117</v>
      </c>
      <c r="H8" s="923"/>
      <c r="I8" s="11" t="s">
        <v>118</v>
      </c>
      <c r="J8" s="11" t="s">
        <v>119</v>
      </c>
      <c r="K8" s="11" t="s">
        <v>647</v>
      </c>
      <c r="L8" s="11" t="s">
        <v>144</v>
      </c>
      <c r="M8" s="11" t="s">
        <v>161</v>
      </c>
      <c r="N8" s="11" t="s">
        <v>120</v>
      </c>
      <c r="O8" s="11" t="s">
        <v>121</v>
      </c>
      <c r="P8" s="12" t="s">
        <v>122</v>
      </c>
      <c r="Q8" s="27"/>
      <c r="R8" s="15" t="s">
        <v>124</v>
      </c>
      <c r="S8" s="16" t="s">
        <v>125</v>
      </c>
      <c r="T8" s="17" t="s">
        <v>126</v>
      </c>
      <c r="U8" s="16" t="s">
        <v>127</v>
      </c>
      <c r="V8" s="16" t="s">
        <v>128</v>
      </c>
      <c r="W8" s="76" t="s">
        <v>162</v>
      </c>
      <c r="X8" s="18" t="s">
        <v>129</v>
      </c>
      <c r="Y8" s="19"/>
      <c r="Z8" s="20" t="s">
        <v>130</v>
      </c>
      <c r="AA8" s="21" t="s">
        <v>131</v>
      </c>
      <c r="AB8" s="21" t="s">
        <v>132</v>
      </c>
      <c r="AC8" s="21" t="s">
        <v>163</v>
      </c>
      <c r="AD8" s="21" t="s">
        <v>518</v>
      </c>
      <c r="AE8" s="21" t="s">
        <v>133</v>
      </c>
      <c r="AF8" s="21" t="s">
        <v>134</v>
      </c>
      <c r="AG8" s="22" t="s">
        <v>135</v>
      </c>
      <c r="AH8" s="23" t="s">
        <v>136</v>
      </c>
      <c r="AI8" s="24" t="s">
        <v>137</v>
      </c>
    </row>
    <row r="9" spans="1:35" ht="31" x14ac:dyDescent="0.35">
      <c r="A9" s="77" t="s">
        <v>82</v>
      </c>
      <c r="B9" s="8" t="s">
        <v>87</v>
      </c>
      <c r="C9" s="8" t="s">
        <v>88</v>
      </c>
      <c r="D9" s="8"/>
      <c r="E9" s="46" t="s">
        <v>527</v>
      </c>
      <c r="F9" s="46" t="s">
        <v>533</v>
      </c>
      <c r="G9" s="46" t="s">
        <v>145</v>
      </c>
      <c r="H9" s="46" t="s">
        <v>530</v>
      </c>
      <c r="I9" s="13">
        <v>45112</v>
      </c>
      <c r="J9" s="860" t="s">
        <v>648</v>
      </c>
      <c r="K9" s="853"/>
      <c r="L9" s="30">
        <v>210000</v>
      </c>
      <c r="M9" s="683" t="s">
        <v>164</v>
      </c>
      <c r="N9" s="13">
        <v>45118</v>
      </c>
      <c r="O9" s="8" t="s">
        <v>123</v>
      </c>
      <c r="P9" s="14">
        <v>45299</v>
      </c>
      <c r="Q9" s="31"/>
      <c r="R9" s="32">
        <v>45133</v>
      </c>
      <c r="S9" s="33"/>
      <c r="T9" s="25">
        <v>45176</v>
      </c>
      <c r="U9" s="26"/>
      <c r="V9" s="26"/>
      <c r="W9" s="834">
        <v>164637.71</v>
      </c>
      <c r="X9" s="30">
        <v>209972.83</v>
      </c>
      <c r="Y9" s="19"/>
      <c r="Z9" s="34" t="s">
        <v>165</v>
      </c>
      <c r="AA9" s="35"/>
      <c r="AB9" s="35" t="s">
        <v>166</v>
      </c>
      <c r="AC9" s="34" t="s">
        <v>165</v>
      </c>
      <c r="AD9" s="34" t="str">
        <f>IF(ISBLANK(G9),"non","oui")</f>
        <v>oui</v>
      </c>
      <c r="AE9" s="35"/>
      <c r="AF9" s="35"/>
      <c r="AG9" s="36" t="s">
        <v>146</v>
      </c>
      <c r="AH9" s="844">
        <v>84000</v>
      </c>
      <c r="AI9" s="600" t="s">
        <v>626</v>
      </c>
    </row>
    <row r="10" spans="1:35" ht="32.25" customHeight="1" x14ac:dyDescent="0.35">
      <c r="A10" s="77" t="s">
        <v>89</v>
      </c>
      <c r="B10" s="8" t="s">
        <v>90</v>
      </c>
      <c r="C10" s="8" t="s">
        <v>88</v>
      </c>
      <c r="D10" s="8"/>
      <c r="E10" s="46"/>
      <c r="F10" s="46"/>
      <c r="G10" s="46"/>
      <c r="H10" s="46"/>
      <c r="I10" s="78"/>
      <c r="J10" s="38"/>
      <c r="K10" s="38"/>
      <c r="L10" s="38"/>
      <c r="M10" s="679"/>
      <c r="N10" s="38"/>
      <c r="O10" s="38"/>
      <c r="P10" s="39"/>
      <c r="Q10" s="40"/>
      <c r="R10" s="41"/>
      <c r="S10" s="25">
        <v>45127</v>
      </c>
      <c r="T10" s="25">
        <v>45132</v>
      </c>
      <c r="U10" s="26"/>
      <c r="V10" s="26"/>
      <c r="W10" s="834">
        <v>16099.84</v>
      </c>
      <c r="X10" s="30">
        <v>19642.55</v>
      </c>
      <c r="Y10" s="42"/>
      <c r="Z10" s="68" t="s">
        <v>165</v>
      </c>
      <c r="AA10" s="38"/>
      <c r="AB10" s="8" t="s">
        <v>166</v>
      </c>
      <c r="AC10" s="68" t="s">
        <v>178</v>
      </c>
      <c r="AD10" s="68" t="str">
        <f t="shared" ref="AD10:AD40" si="0">IF(ISBLANK(G10),"non","oui")</f>
        <v>non</v>
      </c>
      <c r="AE10" s="38"/>
      <c r="AF10" s="38"/>
      <c r="AG10" s="45"/>
      <c r="AH10" s="43"/>
      <c r="AI10" s="38"/>
    </row>
    <row r="11" spans="1:35" ht="20" x14ac:dyDescent="0.35">
      <c r="A11" s="77" t="s">
        <v>78</v>
      </c>
      <c r="B11" s="8" t="s">
        <v>79</v>
      </c>
      <c r="C11" s="8" t="s">
        <v>88</v>
      </c>
      <c r="D11" s="8" t="s">
        <v>147</v>
      </c>
      <c r="E11" s="46" t="s">
        <v>545</v>
      </c>
      <c r="F11" s="46">
        <v>50696</v>
      </c>
      <c r="G11" s="46" t="s">
        <v>167</v>
      </c>
      <c r="H11" s="46" t="s">
        <v>531</v>
      </c>
      <c r="I11" s="79">
        <v>45196</v>
      </c>
      <c r="J11" s="38"/>
      <c r="K11" s="43"/>
      <c r="L11" s="30">
        <v>16799.96</v>
      </c>
      <c r="M11" s="30" t="s">
        <v>168</v>
      </c>
      <c r="N11" s="13">
        <v>45198</v>
      </c>
      <c r="O11" s="8" t="s">
        <v>149</v>
      </c>
      <c r="P11" s="14">
        <v>45229</v>
      </c>
      <c r="Q11" s="40"/>
      <c r="R11" s="41"/>
      <c r="S11" s="44">
        <v>45110</v>
      </c>
      <c r="T11" s="44">
        <v>45132</v>
      </c>
      <c r="U11" s="25">
        <v>45113</v>
      </c>
      <c r="V11" s="25">
        <v>45126</v>
      </c>
      <c r="W11" s="834">
        <v>10760.14</v>
      </c>
      <c r="X11" s="30">
        <v>17121.64</v>
      </c>
      <c r="Y11" s="42"/>
      <c r="Z11" s="68" t="s">
        <v>165</v>
      </c>
      <c r="AA11" s="850">
        <v>45240</v>
      </c>
      <c r="AB11" s="8" t="s">
        <v>166</v>
      </c>
      <c r="AC11" s="68" t="s">
        <v>165</v>
      </c>
      <c r="AD11" s="68" t="str">
        <f t="shared" si="0"/>
        <v>oui</v>
      </c>
      <c r="AE11" s="38"/>
      <c r="AF11" s="38"/>
      <c r="AG11" s="45" t="s">
        <v>146</v>
      </c>
      <c r="AH11" s="845">
        <v>16799.96</v>
      </c>
      <c r="AI11" s="600" t="s">
        <v>627</v>
      </c>
    </row>
    <row r="12" spans="1:35" ht="20.5" thickBot="1" x14ac:dyDescent="0.4">
      <c r="A12" s="80" t="s">
        <v>76</v>
      </c>
      <c r="B12" s="9" t="s">
        <v>77</v>
      </c>
      <c r="C12" s="9" t="s">
        <v>88</v>
      </c>
      <c r="D12" s="9" t="s">
        <v>147</v>
      </c>
      <c r="E12" s="82" t="s">
        <v>550</v>
      </c>
      <c r="F12" s="82" t="s">
        <v>549</v>
      </c>
      <c r="G12" s="82" t="s">
        <v>148</v>
      </c>
      <c r="H12" s="82" t="s">
        <v>532</v>
      </c>
      <c r="I12" s="632">
        <v>45177</v>
      </c>
      <c r="J12" s="49"/>
      <c r="K12" s="50"/>
      <c r="L12" s="596">
        <v>50341.43</v>
      </c>
      <c r="M12" s="596" t="s">
        <v>464</v>
      </c>
      <c r="N12" s="599">
        <v>45191</v>
      </c>
      <c r="O12" s="9" t="s">
        <v>149</v>
      </c>
      <c r="P12" s="601">
        <v>45222</v>
      </c>
      <c r="Q12" s="40"/>
      <c r="R12" s="633"/>
      <c r="S12" s="634">
        <v>45126</v>
      </c>
      <c r="T12" s="634">
        <v>45132</v>
      </c>
      <c r="U12" s="52">
        <v>45191</v>
      </c>
      <c r="V12" s="53"/>
      <c r="W12" s="835"/>
      <c r="X12" s="596">
        <v>50341.43</v>
      </c>
      <c r="Y12" s="42"/>
      <c r="Z12" s="69" t="s">
        <v>165</v>
      </c>
      <c r="AA12" s="49"/>
      <c r="AB12" s="9" t="s">
        <v>166</v>
      </c>
      <c r="AC12" s="69" t="s">
        <v>165</v>
      </c>
      <c r="AD12" s="69" t="str">
        <f t="shared" si="0"/>
        <v>oui</v>
      </c>
      <c r="AE12" s="49"/>
      <c r="AF12" s="49"/>
      <c r="AG12" s="81" t="s">
        <v>146</v>
      </c>
      <c r="AH12" s="846">
        <v>40273.14</v>
      </c>
      <c r="AI12" s="600" t="s">
        <v>628</v>
      </c>
    </row>
    <row r="13" spans="1:35" s="642" customFormat="1" ht="46.5" x14ac:dyDescent="0.35">
      <c r="A13" s="904" t="s">
        <v>91</v>
      </c>
      <c r="B13" s="906" t="s">
        <v>86</v>
      </c>
      <c r="C13" s="906" t="s">
        <v>88</v>
      </c>
      <c r="D13" s="906"/>
      <c r="E13" s="738" t="s">
        <v>665</v>
      </c>
      <c r="F13" s="635"/>
      <c r="G13" s="635" t="s">
        <v>169</v>
      </c>
      <c r="H13" s="635" t="s">
        <v>536</v>
      </c>
      <c r="I13" s="908">
        <v>45201</v>
      </c>
      <c r="J13" s="910">
        <v>45212</v>
      </c>
      <c r="K13" s="854"/>
      <c r="L13" s="636">
        <f>4595.72</f>
        <v>4595.72</v>
      </c>
      <c r="M13" s="636">
        <f>3383.06</f>
        <v>3383.06</v>
      </c>
      <c r="N13" s="908">
        <v>45212</v>
      </c>
      <c r="O13" s="906" t="s">
        <v>149</v>
      </c>
      <c r="P13" s="912">
        <v>45243</v>
      </c>
      <c r="Q13" s="637"/>
      <c r="R13" s="914">
        <v>45212</v>
      </c>
      <c r="S13" s="916">
        <v>45126</v>
      </c>
      <c r="T13" s="916">
        <v>45132</v>
      </c>
      <c r="U13" s="916"/>
      <c r="V13" s="916"/>
      <c r="W13" s="926"/>
      <c r="X13" s="928">
        <v>14756.83</v>
      </c>
      <c r="Y13" s="638"/>
      <c r="Z13" s="930" t="s">
        <v>165</v>
      </c>
      <c r="AA13" s="920"/>
      <c r="AB13" s="906" t="s">
        <v>166</v>
      </c>
      <c r="AC13" s="639" t="s">
        <v>165</v>
      </c>
      <c r="AD13" s="639" t="str">
        <f t="shared" si="0"/>
        <v>oui</v>
      </c>
      <c r="AE13" s="920"/>
      <c r="AF13" s="920"/>
      <c r="AG13" s="918"/>
      <c r="AH13" s="640"/>
      <c r="AI13" s="641"/>
    </row>
    <row r="14" spans="1:35" s="650" customFormat="1" ht="47" thickBot="1" x14ac:dyDescent="0.4">
      <c r="A14" s="905"/>
      <c r="B14" s="907"/>
      <c r="C14" s="907"/>
      <c r="D14" s="907"/>
      <c r="E14" s="739" t="s">
        <v>537</v>
      </c>
      <c r="F14" s="736" t="s">
        <v>539</v>
      </c>
      <c r="G14" s="643" t="s">
        <v>170</v>
      </c>
      <c r="H14" s="736" t="s">
        <v>538</v>
      </c>
      <c r="I14" s="909"/>
      <c r="J14" s="911"/>
      <c r="K14" s="855"/>
      <c r="L14" s="644">
        <v>10356.09</v>
      </c>
      <c r="M14" s="644">
        <v>8523.59</v>
      </c>
      <c r="N14" s="909"/>
      <c r="O14" s="907"/>
      <c r="P14" s="913"/>
      <c r="Q14" s="645"/>
      <c r="R14" s="915"/>
      <c r="S14" s="917"/>
      <c r="T14" s="917"/>
      <c r="U14" s="917"/>
      <c r="V14" s="917"/>
      <c r="W14" s="927"/>
      <c r="X14" s="929"/>
      <c r="Y14" s="646"/>
      <c r="Z14" s="931"/>
      <c r="AA14" s="921"/>
      <c r="AB14" s="907"/>
      <c r="AC14" s="647" t="s">
        <v>165</v>
      </c>
      <c r="AD14" s="647" t="str">
        <f t="shared" si="0"/>
        <v>oui</v>
      </c>
      <c r="AE14" s="921"/>
      <c r="AF14" s="921"/>
      <c r="AG14" s="919"/>
      <c r="AH14" s="847">
        <v>4142.4399999999996</v>
      </c>
      <c r="AI14" s="600" t="s">
        <v>626</v>
      </c>
    </row>
    <row r="15" spans="1:35" s="642" customFormat="1" ht="46.5" x14ac:dyDescent="0.35">
      <c r="A15" s="904" t="s">
        <v>92</v>
      </c>
      <c r="B15" s="906" t="s">
        <v>86</v>
      </c>
      <c r="C15" s="906" t="s">
        <v>88</v>
      </c>
      <c r="D15" s="906"/>
      <c r="E15" s="738" t="s">
        <v>534</v>
      </c>
      <c r="F15" s="635"/>
      <c r="G15" s="635" t="s">
        <v>171</v>
      </c>
      <c r="H15" s="635" t="s">
        <v>535</v>
      </c>
      <c r="I15" s="908">
        <v>45201</v>
      </c>
      <c r="J15" s="910">
        <v>45212</v>
      </c>
      <c r="K15" s="854">
        <v>45243</v>
      </c>
      <c r="L15" s="664">
        <f>3275.68</f>
        <v>3275.68</v>
      </c>
      <c r="M15" s="636">
        <f>2896.93</f>
        <v>2896.93</v>
      </c>
      <c r="N15" s="908">
        <v>45212</v>
      </c>
      <c r="O15" s="906" t="s">
        <v>149</v>
      </c>
      <c r="P15" s="912">
        <v>45243</v>
      </c>
      <c r="Q15" s="637"/>
      <c r="R15" s="924"/>
      <c r="S15" s="916">
        <v>45126</v>
      </c>
      <c r="T15" s="916">
        <v>45132</v>
      </c>
      <c r="U15" s="916"/>
      <c r="V15" s="916"/>
      <c r="W15" s="926"/>
      <c r="X15" s="928">
        <v>10361.34</v>
      </c>
      <c r="Y15" s="638"/>
      <c r="Z15" s="930" t="s">
        <v>165</v>
      </c>
      <c r="AA15" s="920"/>
      <c r="AB15" s="906" t="s">
        <v>166</v>
      </c>
      <c r="AC15" s="639" t="s">
        <v>165</v>
      </c>
      <c r="AD15" s="639" t="str">
        <f t="shared" si="0"/>
        <v>oui</v>
      </c>
      <c r="AE15" s="920"/>
      <c r="AF15" s="920"/>
      <c r="AG15" s="918"/>
      <c r="AH15" s="640"/>
      <c r="AI15" s="641"/>
    </row>
    <row r="16" spans="1:35" s="650" customFormat="1" ht="47" thickBot="1" x14ac:dyDescent="0.4">
      <c r="A16" s="905"/>
      <c r="B16" s="907"/>
      <c r="C16" s="907"/>
      <c r="D16" s="907"/>
      <c r="E16" s="739" t="s">
        <v>542</v>
      </c>
      <c r="F16" s="736" t="s">
        <v>541</v>
      </c>
      <c r="G16" s="643" t="s">
        <v>172</v>
      </c>
      <c r="H16" s="736" t="s">
        <v>540</v>
      </c>
      <c r="I16" s="909"/>
      <c r="J16" s="932"/>
      <c r="K16" s="855">
        <v>45243</v>
      </c>
      <c r="L16" s="665">
        <v>11349.11</v>
      </c>
      <c r="M16" s="644">
        <v>9272.41</v>
      </c>
      <c r="N16" s="909"/>
      <c r="O16" s="907"/>
      <c r="P16" s="913"/>
      <c r="Q16" s="645"/>
      <c r="R16" s="925"/>
      <c r="S16" s="917"/>
      <c r="T16" s="917"/>
      <c r="U16" s="917"/>
      <c r="V16" s="917"/>
      <c r="W16" s="927"/>
      <c r="X16" s="929"/>
      <c r="Y16" s="646"/>
      <c r="Z16" s="931"/>
      <c r="AA16" s="921"/>
      <c r="AB16" s="907"/>
      <c r="AC16" s="647" t="s">
        <v>165</v>
      </c>
      <c r="AD16" s="647" t="str">
        <f t="shared" si="0"/>
        <v>oui</v>
      </c>
      <c r="AE16" s="921"/>
      <c r="AF16" s="921"/>
      <c r="AG16" s="919"/>
      <c r="AH16" s="847">
        <v>4539.6400000000003</v>
      </c>
      <c r="AI16" s="600" t="s">
        <v>626</v>
      </c>
    </row>
    <row r="17" spans="1:35" ht="31" x14ac:dyDescent="0.35">
      <c r="A17" s="655" t="s">
        <v>93</v>
      </c>
      <c r="B17" s="656" t="s">
        <v>94</v>
      </c>
      <c r="C17" s="656" t="s">
        <v>88</v>
      </c>
      <c r="D17" s="656"/>
      <c r="E17" s="733"/>
      <c r="F17" s="733"/>
      <c r="G17" s="733" t="s">
        <v>516</v>
      </c>
      <c r="H17" s="733" t="s">
        <v>524</v>
      </c>
      <c r="I17" s="731">
        <v>45233</v>
      </c>
      <c r="J17" s="661"/>
      <c r="K17" s="661"/>
      <c r="L17" s="732">
        <v>6344.89</v>
      </c>
      <c r="M17" s="680"/>
      <c r="N17" s="731">
        <v>45245</v>
      </c>
      <c r="O17" s="656" t="s">
        <v>150</v>
      </c>
      <c r="P17" s="734">
        <v>45306</v>
      </c>
      <c r="Q17" s="40"/>
      <c r="R17" s="740">
        <v>45098</v>
      </c>
      <c r="S17" s="662">
        <v>45127</v>
      </c>
      <c r="T17" s="662">
        <v>45132</v>
      </c>
      <c r="U17" s="662">
        <v>45245</v>
      </c>
      <c r="V17" s="916"/>
      <c r="W17" s="843">
        <f>5344.3</f>
        <v>5344.3</v>
      </c>
      <c r="X17" s="663">
        <v>8727.36</v>
      </c>
      <c r="Y17" s="42"/>
      <c r="Z17" s="658" t="s">
        <v>165</v>
      </c>
      <c r="AA17" s="657"/>
      <c r="AB17" s="656" t="s">
        <v>166</v>
      </c>
      <c r="AC17" s="658" t="s">
        <v>178</v>
      </c>
      <c r="AD17" s="658" t="str">
        <f t="shared" si="0"/>
        <v>oui</v>
      </c>
      <c r="AE17" s="657"/>
      <c r="AF17" s="657"/>
      <c r="AG17" s="659"/>
      <c r="AH17" s="660"/>
      <c r="AI17" s="657"/>
    </row>
    <row r="18" spans="1:35" ht="67.5" customHeight="1" thickBot="1" x14ac:dyDescent="0.4">
      <c r="A18" s="658"/>
      <c r="B18" s="656"/>
      <c r="C18" s="656"/>
      <c r="D18" s="656"/>
      <c r="E18" s="733"/>
      <c r="F18" s="733"/>
      <c r="G18" s="733"/>
      <c r="H18" s="733"/>
      <c r="I18" s="731"/>
      <c r="J18" s="661"/>
      <c r="K18" s="856"/>
      <c r="L18" s="840"/>
      <c r="M18" s="841"/>
      <c r="N18" s="731"/>
      <c r="O18" s="656"/>
      <c r="P18" s="734"/>
      <c r="Q18" s="40"/>
      <c r="R18" s="740"/>
      <c r="S18" s="662"/>
      <c r="T18" s="662"/>
      <c r="U18" s="662"/>
      <c r="V18" s="917"/>
      <c r="W18" s="842">
        <v>3383.06</v>
      </c>
      <c r="X18" s="663"/>
      <c r="Y18" s="42"/>
      <c r="Z18" s="658"/>
      <c r="AA18" s="657"/>
      <c r="AB18" s="656"/>
      <c r="AC18" s="658"/>
      <c r="AD18" s="658"/>
      <c r="AE18" s="657"/>
      <c r="AF18" s="657"/>
      <c r="AG18" s="659"/>
      <c r="AH18" s="660"/>
      <c r="AI18" s="657"/>
    </row>
    <row r="19" spans="1:35" s="642" customFormat="1" ht="31" x14ac:dyDescent="0.35">
      <c r="A19" s="904" t="s">
        <v>83</v>
      </c>
      <c r="B19" s="906" t="s">
        <v>3</v>
      </c>
      <c r="C19" s="906" t="s">
        <v>88</v>
      </c>
      <c r="D19" s="906"/>
      <c r="E19" s="738" t="s">
        <v>553</v>
      </c>
      <c r="F19" s="635" t="s">
        <v>552</v>
      </c>
      <c r="G19" s="635" t="s">
        <v>173</v>
      </c>
      <c r="H19" s="635" t="s">
        <v>551</v>
      </c>
      <c r="I19" s="908">
        <v>45196</v>
      </c>
      <c r="J19" s="920"/>
      <c r="K19" s="857"/>
      <c r="L19" s="636">
        <f>3000</f>
        <v>3000</v>
      </c>
      <c r="M19" s="636">
        <f>1849.83</f>
        <v>1849.83</v>
      </c>
      <c r="N19" s="908">
        <v>45203</v>
      </c>
      <c r="O19" s="906" t="s">
        <v>150</v>
      </c>
      <c r="P19" s="912">
        <v>45264</v>
      </c>
      <c r="Q19" s="637"/>
      <c r="R19" s="924"/>
      <c r="S19" s="916">
        <v>45127</v>
      </c>
      <c r="T19" s="916">
        <v>45132</v>
      </c>
      <c r="U19" s="916"/>
      <c r="V19" s="916"/>
      <c r="W19" s="836">
        <v>1849.83</v>
      </c>
      <c r="X19" s="928">
        <v>9459.9500000000007</v>
      </c>
      <c r="Y19" s="638"/>
      <c r="Z19" s="930" t="s">
        <v>165</v>
      </c>
      <c r="AA19" s="920"/>
      <c r="AB19" s="906" t="s">
        <v>166</v>
      </c>
      <c r="AC19" s="639" t="s">
        <v>165</v>
      </c>
      <c r="AD19" s="639" t="str">
        <f t="shared" si="0"/>
        <v>oui</v>
      </c>
      <c r="AE19" s="920"/>
      <c r="AF19" s="920"/>
      <c r="AG19" s="918"/>
      <c r="AH19" s="640"/>
      <c r="AI19" s="641"/>
    </row>
    <row r="20" spans="1:35" s="650" customFormat="1" ht="31.5" thickBot="1" x14ac:dyDescent="0.4">
      <c r="A20" s="905"/>
      <c r="B20" s="907"/>
      <c r="C20" s="907"/>
      <c r="D20" s="907"/>
      <c r="E20" s="739" t="s">
        <v>554</v>
      </c>
      <c r="F20" s="736" t="s">
        <v>552</v>
      </c>
      <c r="G20" s="643" t="s">
        <v>174</v>
      </c>
      <c r="H20" s="736" t="s">
        <v>551</v>
      </c>
      <c r="I20" s="909"/>
      <c r="J20" s="921"/>
      <c r="K20" s="858"/>
      <c r="L20" s="644">
        <v>9200</v>
      </c>
      <c r="M20" s="644">
        <v>7545.56</v>
      </c>
      <c r="N20" s="909"/>
      <c r="O20" s="907"/>
      <c r="P20" s="913"/>
      <c r="Q20" s="645"/>
      <c r="R20" s="925"/>
      <c r="S20" s="917"/>
      <c r="T20" s="917"/>
      <c r="U20" s="917"/>
      <c r="V20" s="917"/>
      <c r="W20" s="837">
        <f>7610.12</f>
        <v>7610.12</v>
      </c>
      <c r="X20" s="929"/>
      <c r="Y20" s="646"/>
      <c r="Z20" s="931"/>
      <c r="AA20" s="921"/>
      <c r="AB20" s="907"/>
      <c r="AC20" s="647" t="s">
        <v>165</v>
      </c>
      <c r="AD20" s="647" t="str">
        <f t="shared" si="0"/>
        <v>oui</v>
      </c>
      <c r="AE20" s="921"/>
      <c r="AF20" s="921"/>
      <c r="AG20" s="919"/>
      <c r="AH20" s="847">
        <v>7360</v>
      </c>
      <c r="AI20" s="600" t="s">
        <v>628</v>
      </c>
    </row>
    <row r="21" spans="1:35" ht="20" x14ac:dyDescent="0.35">
      <c r="A21" s="598" t="s">
        <v>95</v>
      </c>
      <c r="B21" s="35" t="s">
        <v>96</v>
      </c>
      <c r="C21" s="35" t="s">
        <v>88</v>
      </c>
      <c r="D21" s="35" t="s">
        <v>147</v>
      </c>
      <c r="E21" s="148" t="s">
        <v>544</v>
      </c>
      <c r="F21" s="148">
        <v>55364</v>
      </c>
      <c r="G21" s="148" t="s">
        <v>151</v>
      </c>
      <c r="H21" s="148" t="s">
        <v>543</v>
      </c>
      <c r="I21" s="600">
        <v>45174</v>
      </c>
      <c r="J21" s="37"/>
      <c r="K21" s="859"/>
      <c r="L21" s="597">
        <v>23000</v>
      </c>
      <c r="M21" s="597" t="s">
        <v>175</v>
      </c>
      <c r="N21" s="600">
        <v>45180</v>
      </c>
      <c r="O21" s="35" t="s">
        <v>150</v>
      </c>
      <c r="P21" s="602">
        <v>45240</v>
      </c>
      <c r="Q21" s="40"/>
      <c r="R21" s="651"/>
      <c r="S21" s="652">
        <v>45127</v>
      </c>
      <c r="T21" s="652">
        <v>45132</v>
      </c>
      <c r="U21" s="653">
        <v>45133</v>
      </c>
      <c r="V21" s="654"/>
      <c r="W21" s="838"/>
      <c r="X21" s="597">
        <v>15885.25</v>
      </c>
      <c r="Y21" s="42"/>
      <c r="Z21" s="34" t="s">
        <v>165</v>
      </c>
      <c r="AA21" s="37"/>
      <c r="AB21" s="35" t="s">
        <v>166</v>
      </c>
      <c r="AC21" s="34" t="s">
        <v>165</v>
      </c>
      <c r="AD21" s="34" t="str">
        <f t="shared" si="0"/>
        <v>oui</v>
      </c>
      <c r="AE21" s="600">
        <v>45194</v>
      </c>
      <c r="AF21" s="37"/>
      <c r="AG21" s="36" t="s">
        <v>146</v>
      </c>
      <c r="AH21" s="844">
        <v>18400</v>
      </c>
      <c r="AI21" s="600" t="s">
        <v>628</v>
      </c>
    </row>
    <row r="22" spans="1:35" ht="20" x14ac:dyDescent="0.35">
      <c r="A22" s="77" t="s">
        <v>97</v>
      </c>
      <c r="B22" s="8" t="s">
        <v>98</v>
      </c>
      <c r="C22" s="8" t="s">
        <v>88</v>
      </c>
      <c r="D22" s="8"/>
      <c r="E22" s="46"/>
      <c r="F22" s="46"/>
      <c r="G22" s="46"/>
      <c r="H22" s="46"/>
      <c r="I22" s="8"/>
      <c r="J22" s="38"/>
      <c r="K22" s="38"/>
      <c r="L22" s="38"/>
      <c r="M22" s="679"/>
      <c r="N22" s="38"/>
      <c r="O22" s="38"/>
      <c r="P22" s="39"/>
      <c r="Q22" s="40"/>
      <c r="R22" s="41"/>
      <c r="S22" s="25">
        <v>45127</v>
      </c>
      <c r="T22" s="25">
        <v>45132</v>
      </c>
      <c r="U22" s="26"/>
      <c r="V22" s="26"/>
      <c r="W22" s="834"/>
      <c r="X22" s="30"/>
      <c r="Y22" s="42"/>
      <c r="Z22" s="68" t="s">
        <v>165</v>
      </c>
      <c r="AA22" s="38"/>
      <c r="AB22" s="8" t="s">
        <v>166</v>
      </c>
      <c r="AC22" s="68" t="s">
        <v>178</v>
      </c>
      <c r="AD22" s="68" t="str">
        <f t="shared" si="0"/>
        <v>non</v>
      </c>
      <c r="AE22" s="38"/>
      <c r="AF22" s="38"/>
      <c r="AG22" s="45"/>
      <c r="AH22" s="43"/>
      <c r="AI22" s="38"/>
    </row>
    <row r="23" spans="1:35" ht="20.5" thickBot="1" x14ac:dyDescent="0.4">
      <c r="A23" s="77" t="s">
        <v>99</v>
      </c>
      <c r="B23" s="8" t="s">
        <v>100</v>
      </c>
      <c r="C23" s="8" t="s">
        <v>88</v>
      </c>
      <c r="D23" s="8"/>
      <c r="E23" s="46"/>
      <c r="F23" s="46"/>
      <c r="G23" s="46"/>
      <c r="H23" s="46"/>
      <c r="I23" s="8"/>
      <c r="J23" s="38"/>
      <c r="K23" s="38"/>
      <c r="L23" s="38"/>
      <c r="M23" s="679"/>
      <c r="N23" s="38"/>
      <c r="O23" s="38"/>
      <c r="P23" s="39"/>
      <c r="Q23" s="40"/>
      <c r="R23" s="41"/>
      <c r="S23" s="25">
        <v>45127</v>
      </c>
      <c r="T23" s="25">
        <v>45132</v>
      </c>
      <c r="U23" s="26"/>
      <c r="V23" s="26"/>
      <c r="W23" s="834">
        <v>24701.759999999998</v>
      </c>
      <c r="X23" s="30">
        <v>29642.71</v>
      </c>
      <c r="Y23" s="42"/>
      <c r="Z23" s="68" t="s">
        <v>165</v>
      </c>
      <c r="AA23" s="38"/>
      <c r="AB23" s="8" t="s">
        <v>166</v>
      </c>
      <c r="AC23" s="68" t="s">
        <v>178</v>
      </c>
      <c r="AD23" s="68" t="str">
        <f t="shared" si="0"/>
        <v>non</v>
      </c>
      <c r="AE23" s="38"/>
      <c r="AF23" s="38"/>
      <c r="AG23" s="45"/>
      <c r="AH23" s="43"/>
      <c r="AI23" s="38"/>
    </row>
    <row r="24" spans="1:35" s="642" customFormat="1" ht="31" x14ac:dyDescent="0.35">
      <c r="A24" s="904" t="s">
        <v>101</v>
      </c>
      <c r="B24" s="906" t="s">
        <v>85</v>
      </c>
      <c r="C24" s="906" t="s">
        <v>88</v>
      </c>
      <c r="D24" s="906" t="s">
        <v>152</v>
      </c>
      <c r="E24" s="738" t="s">
        <v>664</v>
      </c>
      <c r="F24" s="635"/>
      <c r="G24" s="635" t="s">
        <v>610</v>
      </c>
      <c r="H24" s="635" t="s">
        <v>611</v>
      </c>
      <c r="I24" s="832">
        <v>45232</v>
      </c>
      <c r="J24" s="910"/>
      <c r="K24" s="854"/>
      <c r="L24" s="636">
        <v>20799.98</v>
      </c>
      <c r="M24" s="636">
        <v>17319.509999999998</v>
      </c>
      <c r="N24" s="908">
        <v>45240</v>
      </c>
      <c r="O24" s="906" t="s">
        <v>150</v>
      </c>
      <c r="P24" s="912">
        <v>45300</v>
      </c>
      <c r="Q24" s="637"/>
      <c r="R24" s="914"/>
      <c r="S24" s="916">
        <v>45132</v>
      </c>
      <c r="T24" s="916">
        <v>45133</v>
      </c>
      <c r="U24" s="916">
        <v>45219</v>
      </c>
      <c r="V24" s="916"/>
      <c r="W24" s="836">
        <f>17319.51</f>
        <v>17319.509999999998</v>
      </c>
      <c r="X24" s="928">
        <v>25271.8</v>
      </c>
      <c r="Y24" s="638"/>
      <c r="Z24" s="930" t="s">
        <v>165</v>
      </c>
      <c r="AA24" s="920"/>
      <c r="AB24" s="906" t="s">
        <v>166</v>
      </c>
      <c r="AC24" s="639" t="s">
        <v>660</v>
      </c>
      <c r="AD24" s="639" t="str">
        <f t="shared" si="0"/>
        <v>oui</v>
      </c>
      <c r="AE24" s="920"/>
      <c r="AF24" s="920"/>
      <c r="AG24" s="918" t="s">
        <v>146</v>
      </c>
      <c r="AH24" s="640"/>
      <c r="AI24" s="641"/>
    </row>
    <row r="25" spans="1:35" s="650" customFormat="1" ht="31.5" thickBot="1" x14ac:dyDescent="0.4">
      <c r="A25" s="905"/>
      <c r="B25" s="907"/>
      <c r="C25" s="907"/>
      <c r="D25" s="907"/>
      <c r="E25" s="739"/>
      <c r="F25" s="736"/>
      <c r="G25" s="643" t="s">
        <v>613</v>
      </c>
      <c r="H25" s="736" t="s">
        <v>612</v>
      </c>
      <c r="I25" s="833">
        <v>45237</v>
      </c>
      <c r="J25" s="911"/>
      <c r="K25" s="855"/>
      <c r="L25" s="644">
        <v>2371.1799999999998</v>
      </c>
      <c r="M25" s="644"/>
      <c r="N25" s="909"/>
      <c r="O25" s="907"/>
      <c r="P25" s="913"/>
      <c r="Q25" s="645"/>
      <c r="R25" s="915"/>
      <c r="S25" s="917"/>
      <c r="T25" s="917"/>
      <c r="U25" s="917"/>
      <c r="V25" s="917"/>
      <c r="W25" s="837">
        <v>1938.31</v>
      </c>
      <c r="X25" s="929"/>
      <c r="Y25" s="646"/>
      <c r="Z25" s="931"/>
      <c r="AA25" s="921"/>
      <c r="AB25" s="907"/>
      <c r="AC25" s="647" t="s">
        <v>614</v>
      </c>
      <c r="AD25" s="647" t="str">
        <f t="shared" si="0"/>
        <v>oui</v>
      </c>
      <c r="AE25" s="921"/>
      <c r="AF25" s="921"/>
      <c r="AG25" s="919"/>
      <c r="AH25" s="648"/>
      <c r="AI25" s="649"/>
    </row>
    <row r="26" spans="1:35" ht="20.5" thickBot="1" x14ac:dyDescent="0.4">
      <c r="A26" s="77" t="s">
        <v>102</v>
      </c>
      <c r="B26" s="8" t="s">
        <v>103</v>
      </c>
      <c r="C26" s="8" t="s">
        <v>104</v>
      </c>
      <c r="D26" s="9" t="s">
        <v>152</v>
      </c>
      <c r="E26" s="46"/>
      <c r="F26" s="46"/>
      <c r="G26" s="46"/>
      <c r="H26" s="46"/>
      <c r="I26" s="8"/>
      <c r="J26" s="38"/>
      <c r="K26" s="38"/>
      <c r="L26" s="38"/>
      <c r="M26" s="679"/>
      <c r="N26" s="38"/>
      <c r="O26" s="38"/>
      <c r="P26" s="39"/>
      <c r="Q26" s="40"/>
      <c r="R26" s="41"/>
      <c r="S26" s="25">
        <v>45142</v>
      </c>
      <c r="T26" s="47">
        <v>45163</v>
      </c>
      <c r="U26" s="26"/>
      <c r="V26" s="26"/>
      <c r="W26" s="834">
        <v>7574.06</v>
      </c>
      <c r="X26" s="30">
        <v>7574.06</v>
      </c>
      <c r="Y26" s="42"/>
      <c r="Z26" s="68" t="s">
        <v>165</v>
      </c>
      <c r="AA26" s="38"/>
      <c r="AB26" s="8" t="s">
        <v>166</v>
      </c>
      <c r="AC26" s="68" t="s">
        <v>178</v>
      </c>
      <c r="AD26" s="68" t="str">
        <f t="shared" si="0"/>
        <v>non</v>
      </c>
      <c r="AE26" s="38"/>
      <c r="AF26" s="38"/>
      <c r="AG26" s="45"/>
      <c r="AH26" s="43"/>
      <c r="AI26" s="38"/>
    </row>
    <row r="27" spans="1:35" s="642" customFormat="1" ht="54" customHeight="1" x14ac:dyDescent="0.35">
      <c r="A27" s="904" t="s">
        <v>105</v>
      </c>
      <c r="B27" s="906" t="s">
        <v>106</v>
      </c>
      <c r="C27" s="906" t="s">
        <v>104</v>
      </c>
      <c r="D27" s="906" t="s">
        <v>152</v>
      </c>
      <c r="E27" s="738" t="s">
        <v>661</v>
      </c>
      <c r="F27" s="735" t="s">
        <v>662</v>
      </c>
      <c r="G27" s="635" t="s">
        <v>615</v>
      </c>
      <c r="H27" s="735" t="s">
        <v>616</v>
      </c>
      <c r="I27" s="832">
        <v>45232</v>
      </c>
      <c r="J27" s="910">
        <v>45240</v>
      </c>
      <c r="K27" s="857"/>
      <c r="L27" s="636">
        <v>11302.11</v>
      </c>
      <c r="M27" s="636">
        <v>10367.030000000001</v>
      </c>
      <c r="N27" s="908">
        <v>45240</v>
      </c>
      <c r="O27" s="906" t="s">
        <v>150</v>
      </c>
      <c r="P27" s="912">
        <v>45300</v>
      </c>
      <c r="Q27" s="637"/>
      <c r="R27" s="924"/>
      <c r="S27" s="916">
        <v>45142</v>
      </c>
      <c r="T27" s="916">
        <v>45163</v>
      </c>
      <c r="U27" s="916">
        <v>45232</v>
      </c>
      <c r="V27" s="916"/>
      <c r="W27" s="836">
        <f>10367.03</f>
        <v>10367.030000000001</v>
      </c>
      <c r="X27" s="928">
        <v>19878.12</v>
      </c>
      <c r="Y27" s="638"/>
      <c r="Z27" s="930" t="s">
        <v>165</v>
      </c>
      <c r="AA27" s="920"/>
      <c r="AB27" s="906" t="s">
        <v>166</v>
      </c>
      <c r="AC27" s="639" t="s">
        <v>660</v>
      </c>
      <c r="AD27" s="639" t="str">
        <f t="shared" si="0"/>
        <v>oui</v>
      </c>
      <c r="AE27" s="920"/>
      <c r="AF27" s="920"/>
      <c r="AG27" s="918"/>
      <c r="AH27" s="640"/>
      <c r="AI27" s="641"/>
    </row>
    <row r="28" spans="1:35" s="650" customFormat="1" ht="59.25" customHeight="1" thickBot="1" x14ac:dyDescent="0.4">
      <c r="A28" s="905"/>
      <c r="B28" s="907"/>
      <c r="C28" s="907"/>
      <c r="D28" s="907"/>
      <c r="E28" s="739" t="s">
        <v>663</v>
      </c>
      <c r="F28" s="643"/>
      <c r="G28" s="643" t="s">
        <v>617</v>
      </c>
      <c r="H28" s="643" t="s">
        <v>618</v>
      </c>
      <c r="I28" s="833">
        <v>45237</v>
      </c>
      <c r="J28" s="932"/>
      <c r="K28" s="858"/>
      <c r="L28" s="644">
        <v>6098.31</v>
      </c>
      <c r="M28" s="644">
        <v>3306.72</v>
      </c>
      <c r="N28" s="909"/>
      <c r="O28" s="907"/>
      <c r="P28" s="913"/>
      <c r="Q28" s="645"/>
      <c r="R28" s="925"/>
      <c r="S28" s="917"/>
      <c r="T28" s="917"/>
      <c r="U28" s="917"/>
      <c r="V28" s="917"/>
      <c r="W28" s="837">
        <v>3306.72</v>
      </c>
      <c r="X28" s="929"/>
      <c r="Y28" s="646"/>
      <c r="Z28" s="931"/>
      <c r="AA28" s="921"/>
      <c r="AB28" s="907"/>
      <c r="AC28" s="647" t="s">
        <v>660</v>
      </c>
      <c r="AD28" s="647" t="str">
        <f t="shared" si="0"/>
        <v>oui</v>
      </c>
      <c r="AE28" s="921"/>
      <c r="AF28" s="921"/>
      <c r="AG28" s="919"/>
      <c r="AH28" s="648"/>
      <c r="AI28" s="649"/>
    </row>
    <row r="29" spans="1:35" s="642" customFormat="1" ht="46.5" x14ac:dyDescent="0.35">
      <c r="A29" s="904" t="s">
        <v>75</v>
      </c>
      <c r="B29" s="906" t="s">
        <v>107</v>
      </c>
      <c r="C29" s="906" t="s">
        <v>104</v>
      </c>
      <c r="D29" s="906" t="s">
        <v>152</v>
      </c>
      <c r="E29" s="738" t="s">
        <v>547</v>
      </c>
      <c r="F29" s="735"/>
      <c r="G29" s="635" t="s">
        <v>176</v>
      </c>
      <c r="H29" s="735" t="s">
        <v>548</v>
      </c>
      <c r="I29" s="908">
        <v>45201</v>
      </c>
      <c r="J29" s="920"/>
      <c r="K29" s="857"/>
      <c r="L29" s="636">
        <f>5500</f>
        <v>5500</v>
      </c>
      <c r="M29" s="636">
        <f>3165.24</f>
        <v>3165.24</v>
      </c>
      <c r="N29" s="908">
        <v>45205</v>
      </c>
      <c r="O29" s="906" t="s">
        <v>150</v>
      </c>
      <c r="P29" s="912">
        <v>45265</v>
      </c>
      <c r="Q29" s="637"/>
      <c r="R29" s="924"/>
      <c r="S29" s="916">
        <v>45142</v>
      </c>
      <c r="T29" s="916">
        <v>45163</v>
      </c>
      <c r="U29" s="916"/>
      <c r="V29" s="916"/>
      <c r="W29" s="836">
        <v>3165.24</v>
      </c>
      <c r="X29" s="928">
        <v>17247.919999999998</v>
      </c>
      <c r="Y29" s="638"/>
      <c r="Z29" s="930" t="s">
        <v>165</v>
      </c>
      <c r="AA29" s="920"/>
      <c r="AB29" s="906" t="s">
        <v>166</v>
      </c>
      <c r="AC29" s="639" t="s">
        <v>165</v>
      </c>
      <c r="AD29" s="639" t="str">
        <f t="shared" si="0"/>
        <v>oui</v>
      </c>
      <c r="AE29" s="920"/>
      <c r="AF29" s="920"/>
      <c r="AG29" s="918"/>
      <c r="AH29" s="640"/>
      <c r="AI29" s="641"/>
    </row>
    <row r="30" spans="1:35" s="650" customFormat="1" ht="51.75" customHeight="1" thickBot="1" x14ac:dyDescent="0.4">
      <c r="A30" s="905"/>
      <c r="B30" s="907"/>
      <c r="C30" s="907"/>
      <c r="D30" s="907"/>
      <c r="E30" s="739" t="s">
        <v>546</v>
      </c>
      <c r="F30" s="643" t="s">
        <v>521</v>
      </c>
      <c r="G30" s="643" t="s">
        <v>177</v>
      </c>
      <c r="H30" s="643" t="s">
        <v>519</v>
      </c>
      <c r="I30" s="909"/>
      <c r="J30" s="921"/>
      <c r="K30" s="858"/>
      <c r="L30" s="644">
        <v>11800</v>
      </c>
      <c r="M30" s="644">
        <v>9077.4500000000007</v>
      </c>
      <c r="N30" s="909"/>
      <c r="O30" s="907"/>
      <c r="P30" s="913"/>
      <c r="Q30" s="645"/>
      <c r="R30" s="925"/>
      <c r="S30" s="917"/>
      <c r="T30" s="917"/>
      <c r="U30" s="917"/>
      <c r="V30" s="917"/>
      <c r="W30" s="837">
        <f>10041.74</f>
        <v>10041.74</v>
      </c>
      <c r="X30" s="929"/>
      <c r="Y30" s="646"/>
      <c r="Z30" s="931"/>
      <c r="AA30" s="921"/>
      <c r="AB30" s="907"/>
      <c r="AC30" s="647" t="s">
        <v>165</v>
      </c>
      <c r="AD30" s="647" t="str">
        <f t="shared" si="0"/>
        <v>oui</v>
      </c>
      <c r="AE30" s="921"/>
      <c r="AF30" s="921"/>
      <c r="AG30" s="919"/>
      <c r="AH30" s="847">
        <v>9440</v>
      </c>
      <c r="AI30" s="600" t="s">
        <v>628</v>
      </c>
    </row>
    <row r="31" spans="1:35" s="642" customFormat="1" ht="54" customHeight="1" x14ac:dyDescent="0.35">
      <c r="A31" s="904" t="s">
        <v>108</v>
      </c>
      <c r="B31" s="906" t="s">
        <v>109</v>
      </c>
      <c r="C31" s="906" t="s">
        <v>88</v>
      </c>
      <c r="D31" s="906" t="s">
        <v>152</v>
      </c>
      <c r="E31" s="738"/>
      <c r="F31" s="735"/>
      <c r="G31" s="635" t="s">
        <v>638</v>
      </c>
      <c r="H31" s="735" t="s">
        <v>637</v>
      </c>
      <c r="I31" s="832">
        <v>45216</v>
      </c>
      <c r="J31" s="920"/>
      <c r="K31" s="857"/>
      <c r="L31" s="636">
        <v>5565.84</v>
      </c>
      <c r="M31" s="636"/>
      <c r="N31" s="908">
        <v>45219</v>
      </c>
      <c r="O31" s="906" t="s">
        <v>656</v>
      </c>
      <c r="P31" s="912">
        <v>45279</v>
      </c>
      <c r="Q31" s="637"/>
      <c r="R31" s="933">
        <v>45160</v>
      </c>
      <c r="S31" s="916"/>
      <c r="T31" s="916"/>
      <c r="U31" s="916">
        <v>45219</v>
      </c>
      <c r="V31" s="916"/>
      <c r="W31" s="926"/>
      <c r="X31" s="928"/>
      <c r="Y31" s="638"/>
      <c r="Z31" s="930" t="s">
        <v>165</v>
      </c>
      <c r="AA31" s="920"/>
      <c r="AB31" s="906" t="s">
        <v>166</v>
      </c>
      <c r="AC31" s="639" t="s">
        <v>178</v>
      </c>
      <c r="AD31" s="639" t="str">
        <f t="shared" si="0"/>
        <v>oui</v>
      </c>
      <c r="AE31" s="920"/>
      <c r="AF31" s="920"/>
      <c r="AG31" s="918" t="s">
        <v>146</v>
      </c>
      <c r="AH31" s="640"/>
      <c r="AI31" s="641"/>
    </row>
    <row r="32" spans="1:35" s="650" customFormat="1" ht="31.5" thickBot="1" x14ac:dyDescent="0.4">
      <c r="A32" s="905"/>
      <c r="B32" s="907"/>
      <c r="C32" s="907"/>
      <c r="D32" s="907"/>
      <c r="E32" s="739"/>
      <c r="F32" s="643" t="s">
        <v>652</v>
      </c>
      <c r="G32" s="643" t="s">
        <v>639</v>
      </c>
      <c r="H32" s="643" t="s">
        <v>655</v>
      </c>
      <c r="I32" s="833">
        <v>45216</v>
      </c>
      <c r="J32" s="921"/>
      <c r="K32" s="858"/>
      <c r="L32" s="644">
        <v>9555.23</v>
      </c>
      <c r="M32" s="644"/>
      <c r="N32" s="909"/>
      <c r="O32" s="907"/>
      <c r="P32" s="913"/>
      <c r="Q32" s="645"/>
      <c r="R32" s="934"/>
      <c r="S32" s="917"/>
      <c r="T32" s="917"/>
      <c r="U32" s="917"/>
      <c r="V32" s="917"/>
      <c r="W32" s="927"/>
      <c r="X32" s="929"/>
      <c r="Y32" s="646"/>
      <c r="Z32" s="931"/>
      <c r="AA32" s="921"/>
      <c r="AB32" s="907"/>
      <c r="AC32" s="647"/>
      <c r="AD32" s="647" t="str">
        <f t="shared" si="0"/>
        <v>oui</v>
      </c>
      <c r="AE32" s="921"/>
      <c r="AF32" s="921"/>
      <c r="AG32" s="919"/>
      <c r="AH32" s="648"/>
      <c r="AI32" s="649"/>
    </row>
    <row r="33" spans="1:35" s="642" customFormat="1" ht="54" customHeight="1" x14ac:dyDescent="0.35">
      <c r="A33" s="904" t="s">
        <v>110</v>
      </c>
      <c r="B33" s="906" t="s">
        <v>507</v>
      </c>
      <c r="C33" s="906" t="s">
        <v>88</v>
      </c>
      <c r="D33" s="906" t="s">
        <v>152</v>
      </c>
      <c r="E33" s="738" t="s">
        <v>659</v>
      </c>
      <c r="F33" s="735" t="s">
        <v>658</v>
      </c>
      <c r="G33" s="635" t="s">
        <v>517</v>
      </c>
      <c r="H33" s="735" t="s">
        <v>523</v>
      </c>
      <c r="I33" s="832">
        <v>45236</v>
      </c>
      <c r="J33" s="920"/>
      <c r="K33" s="857"/>
      <c r="L33" s="636">
        <v>18014.89</v>
      </c>
      <c r="M33" s="636" t="s">
        <v>657</v>
      </c>
      <c r="N33" s="908">
        <v>45245</v>
      </c>
      <c r="O33" s="906" t="s">
        <v>150</v>
      </c>
      <c r="P33" s="912">
        <v>45306</v>
      </c>
      <c r="Q33" s="637"/>
      <c r="R33" s="933">
        <v>45160</v>
      </c>
      <c r="S33" s="916"/>
      <c r="T33" s="916"/>
      <c r="U33" s="916">
        <v>45245</v>
      </c>
      <c r="V33" s="916"/>
      <c r="W33" s="926"/>
      <c r="X33" s="928">
        <v>24182.18</v>
      </c>
      <c r="Y33" s="638"/>
      <c r="Z33" s="930" t="s">
        <v>178</v>
      </c>
      <c r="AA33" s="920"/>
      <c r="AB33" s="906" t="s">
        <v>166</v>
      </c>
      <c r="AC33" s="639" t="s">
        <v>660</v>
      </c>
      <c r="AD33" s="639" t="str">
        <f t="shared" si="0"/>
        <v>oui</v>
      </c>
      <c r="AE33" s="920"/>
      <c r="AF33" s="920"/>
      <c r="AG33" s="918"/>
      <c r="AH33" s="640"/>
      <c r="AI33" s="641"/>
    </row>
    <row r="34" spans="1:35" s="650" customFormat="1" ht="47" thickBot="1" x14ac:dyDescent="0.4">
      <c r="A34" s="905"/>
      <c r="B34" s="907"/>
      <c r="C34" s="907"/>
      <c r="D34" s="907"/>
      <c r="E34" s="739"/>
      <c r="F34" s="643"/>
      <c r="G34" s="643" t="s">
        <v>619</v>
      </c>
      <c r="H34" s="643" t="s">
        <v>620</v>
      </c>
      <c r="I34" s="833">
        <v>45237</v>
      </c>
      <c r="J34" s="921"/>
      <c r="K34" s="858"/>
      <c r="L34" s="644">
        <v>9470.89</v>
      </c>
      <c r="M34" s="644"/>
      <c r="N34" s="909"/>
      <c r="O34" s="907"/>
      <c r="P34" s="913"/>
      <c r="Q34" s="645"/>
      <c r="R34" s="934"/>
      <c r="S34" s="917"/>
      <c r="T34" s="917"/>
      <c r="U34" s="917"/>
      <c r="V34" s="917"/>
      <c r="W34" s="927"/>
      <c r="X34" s="929"/>
      <c r="Y34" s="646"/>
      <c r="Z34" s="931"/>
      <c r="AA34" s="921"/>
      <c r="AB34" s="907"/>
      <c r="AC34" s="647" t="s">
        <v>614</v>
      </c>
      <c r="AD34" s="647" t="str">
        <f t="shared" si="0"/>
        <v>oui</v>
      </c>
      <c r="AE34" s="921"/>
      <c r="AF34" s="921"/>
      <c r="AG34" s="919"/>
      <c r="AH34" s="648"/>
      <c r="AI34" s="649"/>
    </row>
    <row r="35" spans="1:35" ht="20.5" thickBot="1" x14ac:dyDescent="0.4">
      <c r="A35" s="80" t="s">
        <v>112</v>
      </c>
      <c r="B35" s="9" t="s">
        <v>113</v>
      </c>
      <c r="C35" s="9" t="s">
        <v>114</v>
      </c>
      <c r="D35" s="9" t="s">
        <v>147</v>
      </c>
      <c r="E35" s="82"/>
      <c r="F35" s="82"/>
      <c r="G35" s="82"/>
      <c r="H35" s="82"/>
      <c r="I35" s="9"/>
      <c r="J35" s="49"/>
      <c r="K35" s="49"/>
      <c r="L35" s="49"/>
      <c r="M35" s="681"/>
      <c r="N35" s="9"/>
      <c r="O35" s="9"/>
      <c r="P35" s="83"/>
      <c r="Q35" s="40"/>
      <c r="R35" s="51">
        <v>45182</v>
      </c>
      <c r="S35" s="52"/>
      <c r="T35" s="53"/>
      <c r="U35" s="53"/>
      <c r="V35" s="53"/>
      <c r="W35" s="835"/>
      <c r="X35" s="54"/>
      <c r="Y35" s="42"/>
      <c r="Z35" s="69" t="s">
        <v>165</v>
      </c>
      <c r="AA35" s="49"/>
      <c r="AB35" s="9" t="s">
        <v>166</v>
      </c>
      <c r="AC35" s="69" t="s">
        <v>178</v>
      </c>
      <c r="AD35" s="69" t="str">
        <f t="shared" si="0"/>
        <v>non</v>
      </c>
      <c r="AE35" s="49"/>
      <c r="AF35" s="49"/>
      <c r="AG35" s="81"/>
      <c r="AH35" s="55"/>
      <c r="AI35" s="56"/>
    </row>
    <row r="36" spans="1:35" s="642" customFormat="1" ht="54" customHeight="1" x14ac:dyDescent="0.35">
      <c r="A36" s="904" t="s">
        <v>115</v>
      </c>
      <c r="B36" s="906" t="s">
        <v>84</v>
      </c>
      <c r="C36" s="906" t="s">
        <v>88</v>
      </c>
      <c r="D36" s="906" t="s">
        <v>153</v>
      </c>
      <c r="E36" s="738" t="s">
        <v>630</v>
      </c>
      <c r="F36" s="735" t="s">
        <v>652</v>
      </c>
      <c r="G36" s="635" t="s">
        <v>650</v>
      </c>
      <c r="H36" s="735" t="s">
        <v>649</v>
      </c>
      <c r="I36" s="832">
        <v>45215</v>
      </c>
      <c r="J36" s="920"/>
      <c r="K36" s="857"/>
      <c r="L36" s="636">
        <v>42766.79</v>
      </c>
      <c r="M36" s="636">
        <v>32623.35</v>
      </c>
      <c r="N36" s="908">
        <v>45218</v>
      </c>
      <c r="O36" s="906" t="s">
        <v>653</v>
      </c>
      <c r="P36" s="912">
        <v>45264</v>
      </c>
      <c r="Q36" s="637"/>
      <c r="R36" s="933">
        <v>45182</v>
      </c>
      <c r="S36" s="916"/>
      <c r="T36" s="916"/>
      <c r="U36" s="916">
        <v>45218</v>
      </c>
      <c r="V36" s="916"/>
      <c r="W36" s="926"/>
      <c r="X36" s="928"/>
      <c r="Y36" s="638"/>
      <c r="Z36" s="930" t="s">
        <v>165</v>
      </c>
      <c r="AA36" s="920"/>
      <c r="AB36" s="906" t="s">
        <v>166</v>
      </c>
      <c r="AC36" s="639" t="s">
        <v>178</v>
      </c>
      <c r="AD36" s="639" t="str">
        <f t="shared" si="0"/>
        <v>oui</v>
      </c>
      <c r="AE36" s="920"/>
      <c r="AF36" s="920"/>
      <c r="AG36" s="918"/>
      <c r="AH36" s="640"/>
      <c r="AI36" s="641"/>
    </row>
    <row r="37" spans="1:35" s="650" customFormat="1" ht="31.5" thickBot="1" x14ac:dyDescent="0.4">
      <c r="A37" s="905"/>
      <c r="B37" s="907"/>
      <c r="C37" s="907"/>
      <c r="D37" s="907"/>
      <c r="E37" s="739"/>
      <c r="F37" s="643"/>
      <c r="G37" s="643" t="s">
        <v>651</v>
      </c>
      <c r="H37" s="643" t="s">
        <v>654</v>
      </c>
      <c r="I37" s="833"/>
      <c r="J37" s="921"/>
      <c r="K37" s="858"/>
      <c r="L37" s="644">
        <v>10225.719999999999</v>
      </c>
      <c r="M37" s="644"/>
      <c r="N37" s="909"/>
      <c r="O37" s="907"/>
      <c r="P37" s="913"/>
      <c r="Q37" s="645"/>
      <c r="R37" s="934"/>
      <c r="S37" s="917"/>
      <c r="T37" s="917"/>
      <c r="U37" s="917"/>
      <c r="V37" s="917"/>
      <c r="W37" s="927"/>
      <c r="X37" s="929"/>
      <c r="Y37" s="646"/>
      <c r="Z37" s="931"/>
      <c r="AA37" s="921"/>
      <c r="AB37" s="907"/>
      <c r="AC37" s="647"/>
      <c r="AD37" s="647" t="str">
        <f t="shared" si="0"/>
        <v>oui</v>
      </c>
      <c r="AE37" s="921"/>
      <c r="AF37" s="921"/>
      <c r="AG37" s="919"/>
      <c r="AH37" s="648"/>
      <c r="AI37" s="649"/>
    </row>
    <row r="38" spans="1:35" x14ac:dyDescent="0.35">
      <c r="A38" s="80" t="s">
        <v>621</v>
      </c>
      <c r="B38" s="9" t="s">
        <v>622</v>
      </c>
      <c r="C38" s="9" t="s">
        <v>114</v>
      </c>
      <c r="D38" s="9" t="s">
        <v>623</v>
      </c>
      <c r="E38" s="82"/>
      <c r="F38" s="82"/>
      <c r="G38" s="82"/>
      <c r="H38" s="82"/>
      <c r="I38" s="9"/>
      <c r="J38" s="49"/>
      <c r="K38" s="49"/>
      <c r="L38" s="49"/>
      <c r="M38" s="681"/>
      <c r="N38" s="9"/>
      <c r="O38" s="9"/>
      <c r="P38" s="83"/>
      <c r="Q38" s="40"/>
      <c r="R38" s="51"/>
      <c r="S38" s="52"/>
      <c r="T38" s="53"/>
      <c r="U38" s="52"/>
      <c r="V38" s="53"/>
      <c r="W38" s="28"/>
      <c r="X38" s="54"/>
      <c r="Y38" s="42"/>
      <c r="Z38" s="69"/>
      <c r="AA38" s="49"/>
      <c r="AB38" s="9"/>
      <c r="AC38" s="69"/>
      <c r="AD38" s="69"/>
      <c r="AE38" s="49"/>
      <c r="AF38" s="49"/>
      <c r="AG38" s="81"/>
      <c r="AH38" s="50"/>
      <c r="AI38" s="49"/>
    </row>
    <row r="39" spans="1:35" ht="20" x14ac:dyDescent="0.35">
      <c r="A39" s="80"/>
      <c r="B39" s="9"/>
      <c r="C39" s="9"/>
      <c r="D39" s="9"/>
      <c r="E39" s="82"/>
      <c r="F39" s="82"/>
      <c r="G39" s="82"/>
      <c r="H39" s="82"/>
      <c r="I39" s="9"/>
      <c r="J39" s="49"/>
      <c r="K39" s="49"/>
      <c r="L39" s="49"/>
      <c r="M39" s="681"/>
      <c r="N39" s="9"/>
      <c r="O39" s="9"/>
      <c r="P39" s="83"/>
      <c r="Q39" s="40"/>
      <c r="R39" s="51"/>
      <c r="S39" s="52"/>
      <c r="T39" s="53"/>
      <c r="U39" s="52"/>
      <c r="V39" s="53"/>
      <c r="W39" s="835"/>
      <c r="X39" s="54"/>
      <c r="Y39" s="42"/>
      <c r="Z39" s="69"/>
      <c r="AA39" s="49"/>
      <c r="AB39" s="9"/>
      <c r="AC39" s="69"/>
      <c r="AD39" s="69"/>
      <c r="AE39" s="49"/>
      <c r="AF39" s="49"/>
      <c r="AG39" s="81"/>
      <c r="AH39" s="846">
        <v>17106.72</v>
      </c>
      <c r="AI39" s="49"/>
    </row>
    <row r="40" spans="1:35" ht="31.5" thickBot="1" x14ac:dyDescent="0.4">
      <c r="A40" s="77" t="s">
        <v>80</v>
      </c>
      <c r="B40" s="10" t="s">
        <v>81</v>
      </c>
      <c r="C40" s="10" t="s">
        <v>104</v>
      </c>
      <c r="D40" s="10" t="s">
        <v>154</v>
      </c>
      <c r="E40" s="181" t="s">
        <v>527</v>
      </c>
      <c r="F40" s="181" t="s">
        <v>526</v>
      </c>
      <c r="G40" s="181" t="s">
        <v>179</v>
      </c>
      <c r="H40" s="181" t="s">
        <v>525</v>
      </c>
      <c r="I40" s="84">
        <v>45209</v>
      </c>
      <c r="J40" s="57"/>
      <c r="K40" s="57"/>
      <c r="L40" s="85">
        <v>9065</v>
      </c>
      <c r="M40" s="682">
        <f>7614.6</f>
        <v>7614.6</v>
      </c>
      <c r="N40" s="59">
        <v>45212</v>
      </c>
      <c r="O40" s="58" t="s">
        <v>155</v>
      </c>
      <c r="P40" s="60">
        <v>45261</v>
      </c>
      <c r="Q40" s="61"/>
      <c r="R40" s="62"/>
      <c r="S40" s="63"/>
      <c r="T40" s="63">
        <v>45198</v>
      </c>
      <c r="U40" s="64"/>
      <c r="V40" s="64"/>
      <c r="W40" s="839"/>
      <c r="X40" s="65"/>
      <c r="Y40" s="66"/>
      <c r="Z40" s="86" t="s">
        <v>178</v>
      </c>
      <c r="AA40" s="67"/>
      <c r="AB40" s="87" t="s">
        <v>166</v>
      </c>
      <c r="AC40" s="86" t="s">
        <v>165</v>
      </c>
      <c r="AD40" s="86" t="str">
        <f t="shared" si="0"/>
        <v>oui</v>
      </c>
      <c r="AE40" s="67"/>
      <c r="AF40" s="67"/>
      <c r="AG40" s="88" t="s">
        <v>146</v>
      </c>
      <c r="AH40" s="848">
        <v>3626</v>
      </c>
      <c r="AI40" s="600" t="s">
        <v>626</v>
      </c>
    </row>
    <row r="41" spans="1:35" ht="16" thickTop="1" x14ac:dyDescent="0.35"/>
    <row r="42" spans="1:35" x14ac:dyDescent="0.35">
      <c r="A42" s="89"/>
      <c r="B42" s="48" t="s">
        <v>180</v>
      </c>
    </row>
  </sheetData>
  <mergeCells count="195">
    <mergeCell ref="AE36:AE37"/>
    <mergeCell ref="AF36:AF37"/>
    <mergeCell ref="AG36:AG37"/>
    <mergeCell ref="S36:S37"/>
    <mergeCell ref="T36:T37"/>
    <mergeCell ref="U36:U37"/>
    <mergeCell ref="V36:V37"/>
    <mergeCell ref="W36:W37"/>
    <mergeCell ref="X36:X37"/>
    <mergeCell ref="Z36:Z37"/>
    <mergeCell ref="AA36:AA37"/>
    <mergeCell ref="AB36:AB37"/>
    <mergeCell ref="A36:A37"/>
    <mergeCell ref="B36:B37"/>
    <mergeCell ref="C36:C37"/>
    <mergeCell ref="D36:D37"/>
    <mergeCell ref="J36:J37"/>
    <mergeCell ref="N36:N37"/>
    <mergeCell ref="O36:O37"/>
    <mergeCell ref="P36:P37"/>
    <mergeCell ref="R36:R37"/>
    <mergeCell ref="AE31:AE32"/>
    <mergeCell ref="AF31:AF32"/>
    <mergeCell ref="AG31:AG32"/>
    <mergeCell ref="S31:S32"/>
    <mergeCell ref="T31:T32"/>
    <mergeCell ref="U31:U32"/>
    <mergeCell ref="V31:V32"/>
    <mergeCell ref="W31:W32"/>
    <mergeCell ref="X31:X32"/>
    <mergeCell ref="Z31:Z32"/>
    <mergeCell ref="AA31:AA32"/>
    <mergeCell ref="AB31:AB32"/>
    <mergeCell ref="A31:A32"/>
    <mergeCell ref="B31:B32"/>
    <mergeCell ref="C31:C32"/>
    <mergeCell ref="D31:D32"/>
    <mergeCell ref="J31:J32"/>
    <mergeCell ref="N31:N32"/>
    <mergeCell ref="O31:O32"/>
    <mergeCell ref="P31:P32"/>
    <mergeCell ref="R31:R32"/>
    <mergeCell ref="AF33:AF34"/>
    <mergeCell ref="AG33:AG34"/>
    <mergeCell ref="A33:A34"/>
    <mergeCell ref="B33:B34"/>
    <mergeCell ref="C33:C34"/>
    <mergeCell ref="D33:D34"/>
    <mergeCell ref="J33:J34"/>
    <mergeCell ref="N33:N34"/>
    <mergeCell ref="O33:O34"/>
    <mergeCell ref="P33:P34"/>
    <mergeCell ref="R33:R34"/>
    <mergeCell ref="S33:S34"/>
    <mergeCell ref="T33:T34"/>
    <mergeCell ref="U33:U34"/>
    <mergeCell ref="V33:V34"/>
    <mergeCell ref="W33:W34"/>
    <mergeCell ref="X33:X34"/>
    <mergeCell ref="Z33:Z34"/>
    <mergeCell ref="AA33:AA34"/>
    <mergeCell ref="AB33:AB34"/>
    <mergeCell ref="AE33:AE34"/>
    <mergeCell ref="AG27:AG28"/>
    <mergeCell ref="Z27:Z28"/>
    <mergeCell ref="AA27:AA28"/>
    <mergeCell ref="AB27:AB28"/>
    <mergeCell ref="AE27:AE28"/>
    <mergeCell ref="AF27:AF28"/>
    <mergeCell ref="J27:J28"/>
    <mergeCell ref="N27:N28"/>
    <mergeCell ref="O27:O28"/>
    <mergeCell ref="P27:P28"/>
    <mergeCell ref="R27:R28"/>
    <mergeCell ref="AG19:AG20"/>
    <mergeCell ref="I29:I30"/>
    <mergeCell ref="S29:S30"/>
    <mergeCell ref="T29:T30"/>
    <mergeCell ref="X19:X20"/>
    <mergeCell ref="Z19:Z20"/>
    <mergeCell ref="U19:U20"/>
    <mergeCell ref="V19:V20"/>
    <mergeCell ref="A27:A28"/>
    <mergeCell ref="B27:B28"/>
    <mergeCell ref="C27:C28"/>
    <mergeCell ref="D27:D28"/>
    <mergeCell ref="AA24:AA25"/>
    <mergeCell ref="AB24:AB25"/>
    <mergeCell ref="AE24:AE25"/>
    <mergeCell ref="AF24:AF25"/>
    <mergeCell ref="AG24:AG25"/>
    <mergeCell ref="R24:R25"/>
    <mergeCell ref="S24:S25"/>
    <mergeCell ref="T24:T25"/>
    <mergeCell ref="U24:U25"/>
    <mergeCell ref="V24:V25"/>
    <mergeCell ref="J24:J25"/>
    <mergeCell ref="N24:N25"/>
    <mergeCell ref="AG29:AG30"/>
    <mergeCell ref="Z29:Z30"/>
    <mergeCell ref="AA29:AA30"/>
    <mergeCell ref="AB29:AB30"/>
    <mergeCell ref="AE29:AE30"/>
    <mergeCell ref="U29:U30"/>
    <mergeCell ref="V29:V30"/>
    <mergeCell ref="X29:X30"/>
    <mergeCell ref="AF29:AF30"/>
    <mergeCell ref="X24:X25"/>
    <mergeCell ref="Z24:Z25"/>
    <mergeCell ref="S27:S28"/>
    <mergeCell ref="T27:T28"/>
    <mergeCell ref="U27:U28"/>
    <mergeCell ref="V27:V28"/>
    <mergeCell ref="X27:X28"/>
    <mergeCell ref="AA19:AA20"/>
    <mergeCell ref="A29:A30"/>
    <mergeCell ref="B29:B30"/>
    <mergeCell ref="C29:C30"/>
    <mergeCell ref="D29:D30"/>
    <mergeCell ref="J29:J30"/>
    <mergeCell ref="N29:N30"/>
    <mergeCell ref="O29:O30"/>
    <mergeCell ref="P29:P30"/>
    <mergeCell ref="R29:R30"/>
    <mergeCell ref="O24:O25"/>
    <mergeCell ref="P24:P25"/>
    <mergeCell ref="A24:A25"/>
    <mergeCell ref="B24:B25"/>
    <mergeCell ref="C24:C25"/>
    <mergeCell ref="D24:D25"/>
    <mergeCell ref="AB19:AB20"/>
    <mergeCell ref="AG15:AG16"/>
    <mergeCell ref="A19:A20"/>
    <mergeCell ref="B19:B20"/>
    <mergeCell ref="C19:C20"/>
    <mergeCell ref="D19:D20"/>
    <mergeCell ref="I19:I20"/>
    <mergeCell ref="J19:J20"/>
    <mergeCell ref="N19:N20"/>
    <mergeCell ref="O19:O20"/>
    <mergeCell ref="P19:P20"/>
    <mergeCell ref="R19:R20"/>
    <mergeCell ref="S19:S20"/>
    <mergeCell ref="T19:T20"/>
    <mergeCell ref="Z15:Z16"/>
    <mergeCell ref="AA15:AA16"/>
    <mergeCell ref="AB15:AB16"/>
    <mergeCell ref="AE15:AE16"/>
    <mergeCell ref="AF15:AF16"/>
    <mergeCell ref="V17:V18"/>
    <mergeCell ref="I15:I16"/>
    <mergeCell ref="J15:J16"/>
    <mergeCell ref="AE19:AE20"/>
    <mergeCell ref="AF19:AF20"/>
    <mergeCell ref="T15:T16"/>
    <mergeCell ref="U15:U16"/>
    <mergeCell ref="V15:V16"/>
    <mergeCell ref="W15:W16"/>
    <mergeCell ref="X15:X16"/>
    <mergeCell ref="Z13:Z14"/>
    <mergeCell ref="T13:T14"/>
    <mergeCell ref="U13:U14"/>
    <mergeCell ref="V13:V14"/>
    <mergeCell ref="W13:W14"/>
    <mergeCell ref="X13:X14"/>
    <mergeCell ref="A15:A16"/>
    <mergeCell ref="B15:B16"/>
    <mergeCell ref="C15:C16"/>
    <mergeCell ref="D15:D16"/>
    <mergeCell ref="N15:N16"/>
    <mergeCell ref="O15:O16"/>
    <mergeCell ref="P15:P16"/>
    <mergeCell ref="R15:R16"/>
    <mergeCell ref="S15:S16"/>
    <mergeCell ref="A2:AI2"/>
    <mergeCell ref="A7:P7"/>
    <mergeCell ref="R7:X7"/>
    <mergeCell ref="Z7:AG7"/>
    <mergeCell ref="A13:A14"/>
    <mergeCell ref="B13:B14"/>
    <mergeCell ref="C13:C14"/>
    <mergeCell ref="D13:D14"/>
    <mergeCell ref="I13:I14"/>
    <mergeCell ref="J13:J14"/>
    <mergeCell ref="N13:N14"/>
    <mergeCell ref="O13:O14"/>
    <mergeCell ref="P13:P14"/>
    <mergeCell ref="R13:R14"/>
    <mergeCell ref="S13:S14"/>
    <mergeCell ref="AG13:AG14"/>
    <mergeCell ref="AA13:AA14"/>
    <mergeCell ref="AB13:AB14"/>
    <mergeCell ref="AE13:AE14"/>
    <mergeCell ref="AF13:AF14"/>
    <mergeCell ref="G8:H8"/>
  </mergeCells>
  <phoneticPr fontId="1" type="noConversion"/>
  <conditionalFormatting sqref="Z9:Z13 Z15 Z17:Z19 Z21:Z24 Z26:Z27 Z29 Z31 Z33 Z35:Z36 Z38:Z40">
    <cfRule type="containsText" dxfId="5" priority="5" operator="containsText" text="non">
      <formula>NOT(ISERROR(SEARCH("non",Z9)))</formula>
    </cfRule>
    <cfRule type="containsText" dxfId="4" priority="6" operator="containsText" text="oui">
      <formula>NOT(ISERROR(SEARCH("oui",Z9)))</formula>
    </cfRule>
  </conditionalFormatting>
  <conditionalFormatting sqref="AB9:AB13 AB15 AB17:AB19 AB21:AB24 AB26:AB27 AB29 AB31 AB33 AB35:AB36 AB38:AB40">
    <cfRule type="containsText" dxfId="3" priority="4" operator="containsText" text="rien">
      <formula>NOT(ISERROR(SEARCH("rien",AB9)))</formula>
    </cfRule>
  </conditionalFormatting>
  <conditionalFormatting sqref="AC9:AD40">
    <cfRule type="containsText" dxfId="2" priority="1" operator="containsText" text="demande">
      <formula>NOT(ISERROR(SEARCH("demande",AC9)))</formula>
    </cfRule>
    <cfRule type="containsText" dxfId="1" priority="2" operator="containsText" text="non">
      <formula>NOT(ISERROR(SEARCH("non",AC9)))</formula>
    </cfRule>
    <cfRule type="containsText" dxfId="0" priority="3" operator="containsText" text="oui">
      <formula>NOT(ISERROR(SEARCH("oui",AC9)))</formula>
    </cfRule>
  </conditionalFormatting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E4036-984D-4F28-99A6-AD419CB94D8E}">
  <sheetPr>
    <pageSetUpPr fitToPage="1"/>
  </sheetPr>
  <dimension ref="A1:AH46"/>
  <sheetViews>
    <sheetView topLeftCell="C1" zoomScale="85" zoomScaleNormal="85" workbookViewId="0">
      <selection activeCell="O19" sqref="O19"/>
    </sheetView>
  </sheetViews>
  <sheetFormatPr baseColWidth="10" defaultRowHeight="14.5" x14ac:dyDescent="0.35"/>
  <cols>
    <col min="1" max="1" width="14.7265625" customWidth="1"/>
    <col min="2" max="2" width="20.7265625" customWidth="1"/>
    <col min="3" max="3" width="35.7265625" customWidth="1"/>
    <col min="4" max="4" width="13.7265625" bestFit="1" customWidth="1"/>
    <col min="5" max="5" width="10.7265625" customWidth="1"/>
    <col min="6" max="6" width="13.7265625" customWidth="1"/>
    <col min="7" max="33" width="4.7265625" customWidth="1"/>
  </cols>
  <sheetData>
    <row r="1" spans="1:34" x14ac:dyDescent="0.35">
      <c r="A1" s="937" t="s">
        <v>499</v>
      </c>
      <c r="B1" s="935" t="s">
        <v>388</v>
      </c>
      <c r="C1" s="938" t="s">
        <v>498</v>
      </c>
      <c r="D1" s="935" t="s">
        <v>497</v>
      </c>
      <c r="E1" s="937" t="s">
        <v>496</v>
      </c>
      <c r="F1" s="941" t="s">
        <v>495</v>
      </c>
      <c r="G1" s="944" t="s">
        <v>494</v>
      </c>
      <c r="H1" s="945"/>
      <c r="I1" s="945"/>
      <c r="J1" s="946"/>
      <c r="K1" s="949" t="s">
        <v>493</v>
      </c>
      <c r="L1" s="950"/>
      <c r="M1" s="950"/>
      <c r="N1" s="950"/>
      <c r="O1" s="951"/>
      <c r="P1" s="937" t="s">
        <v>492</v>
      </c>
      <c r="Q1" s="938"/>
      <c r="R1" s="938"/>
      <c r="S1" s="939"/>
      <c r="T1" s="947" t="s">
        <v>491</v>
      </c>
      <c r="U1" s="945"/>
      <c r="V1" s="945"/>
      <c r="W1" s="948"/>
      <c r="X1" s="937" t="s">
        <v>490</v>
      </c>
      <c r="Y1" s="938"/>
      <c r="Z1" s="938"/>
      <c r="AA1" s="938"/>
      <c r="AB1" s="939"/>
      <c r="AC1" s="948" t="s">
        <v>489</v>
      </c>
      <c r="AD1" s="938"/>
      <c r="AE1" s="938"/>
      <c r="AF1" s="939"/>
      <c r="AH1" s="935" t="s">
        <v>487</v>
      </c>
    </row>
    <row r="2" spans="1:34" ht="15" thickBot="1" x14ac:dyDescent="0.4">
      <c r="A2" s="940"/>
      <c r="B2" s="936"/>
      <c r="C2" s="943"/>
      <c r="D2" s="936"/>
      <c r="E2" s="940"/>
      <c r="F2" s="942"/>
      <c r="G2" s="760">
        <v>27</v>
      </c>
      <c r="H2" s="750">
        <v>28</v>
      </c>
      <c r="I2" s="750">
        <v>29</v>
      </c>
      <c r="J2" s="751">
        <v>30</v>
      </c>
      <c r="K2" s="760">
        <v>31</v>
      </c>
      <c r="L2" s="750">
        <v>32</v>
      </c>
      <c r="M2" s="750">
        <v>33</v>
      </c>
      <c r="N2" s="750">
        <v>34</v>
      </c>
      <c r="O2" s="751">
        <v>35</v>
      </c>
      <c r="P2" s="750">
        <v>36</v>
      </c>
      <c r="Q2" s="750">
        <v>37</v>
      </c>
      <c r="R2" s="759">
        <v>38</v>
      </c>
      <c r="S2" s="751">
        <v>39</v>
      </c>
      <c r="T2" s="755">
        <v>40</v>
      </c>
      <c r="U2" s="750">
        <v>41</v>
      </c>
      <c r="V2" s="750">
        <v>42</v>
      </c>
      <c r="W2" s="759">
        <v>43</v>
      </c>
      <c r="X2" s="760">
        <v>44</v>
      </c>
      <c r="Y2" s="750">
        <v>45</v>
      </c>
      <c r="Z2" s="750">
        <v>46</v>
      </c>
      <c r="AA2" s="750">
        <v>47</v>
      </c>
      <c r="AB2" s="751">
        <v>48</v>
      </c>
      <c r="AC2" s="750">
        <v>49</v>
      </c>
      <c r="AD2" s="750">
        <v>50</v>
      </c>
      <c r="AE2" s="750">
        <v>51</v>
      </c>
      <c r="AF2" s="751">
        <v>52</v>
      </c>
      <c r="AH2" s="936"/>
    </row>
    <row r="3" spans="1:34" x14ac:dyDescent="0.35">
      <c r="A3" s="761" t="s">
        <v>558</v>
      </c>
      <c r="B3" s="762" t="s">
        <v>559</v>
      </c>
      <c r="C3" s="763" t="s">
        <v>560</v>
      </c>
      <c r="D3" s="767">
        <v>45016</v>
      </c>
      <c r="E3" s="803" t="s">
        <v>485</v>
      </c>
      <c r="F3" s="804"/>
      <c r="G3" s="801"/>
      <c r="H3" s="768"/>
      <c r="I3" s="768"/>
      <c r="J3" s="769"/>
      <c r="K3" s="782"/>
      <c r="L3" s="768"/>
      <c r="M3" s="783"/>
      <c r="N3" s="770"/>
      <c r="O3" s="769"/>
      <c r="P3" s="768"/>
      <c r="Q3" s="768"/>
      <c r="R3" s="752"/>
      <c r="S3" s="749"/>
      <c r="T3" s="756"/>
      <c r="U3" s="748"/>
      <c r="V3" s="748"/>
      <c r="W3" s="752"/>
      <c r="X3" s="747"/>
      <c r="Y3" s="748"/>
      <c r="Z3" s="748"/>
      <c r="AA3" s="748"/>
      <c r="AB3" s="749"/>
      <c r="AC3" s="748"/>
      <c r="AD3" s="748"/>
      <c r="AE3" s="748"/>
      <c r="AF3" s="798"/>
      <c r="AH3" s="787">
        <v>1</v>
      </c>
    </row>
    <row r="4" spans="1:34" x14ac:dyDescent="0.35">
      <c r="A4" s="761" t="s">
        <v>561</v>
      </c>
      <c r="B4" s="762" t="s">
        <v>562</v>
      </c>
      <c r="C4" s="763" t="s">
        <v>563</v>
      </c>
      <c r="D4" s="767">
        <v>45117</v>
      </c>
      <c r="E4" s="803" t="s">
        <v>485</v>
      </c>
      <c r="F4" s="804"/>
      <c r="G4" s="780"/>
      <c r="H4" s="770"/>
      <c r="I4" s="770"/>
      <c r="J4" s="771"/>
      <c r="K4" s="780"/>
      <c r="L4" s="794"/>
      <c r="M4" s="781" t="s">
        <v>564</v>
      </c>
      <c r="N4" s="770"/>
      <c r="O4" s="771"/>
      <c r="P4" s="770"/>
      <c r="Q4" s="770"/>
      <c r="R4" s="753"/>
      <c r="S4" s="743"/>
      <c r="T4" s="757"/>
      <c r="U4" s="741"/>
      <c r="V4" s="741"/>
      <c r="W4" s="777"/>
      <c r="X4" s="828"/>
      <c r="Y4" s="794"/>
      <c r="Z4" s="741"/>
      <c r="AA4" s="741"/>
      <c r="AB4" s="743"/>
      <c r="AC4" s="741"/>
      <c r="AD4" s="741"/>
      <c r="AE4" s="741"/>
      <c r="AF4" s="799"/>
      <c r="AH4" s="788">
        <v>2</v>
      </c>
    </row>
    <row r="5" spans="1:34" x14ac:dyDescent="0.35">
      <c r="A5" s="761" t="s">
        <v>78</v>
      </c>
      <c r="B5" s="762" t="s">
        <v>79</v>
      </c>
      <c r="C5" s="763" t="s">
        <v>565</v>
      </c>
      <c r="D5" s="767">
        <v>45113</v>
      </c>
      <c r="E5" s="803" t="s">
        <v>485</v>
      </c>
      <c r="F5" s="804"/>
      <c r="G5" s="780"/>
      <c r="H5" s="770"/>
      <c r="I5" s="770"/>
      <c r="J5" s="771"/>
      <c r="K5" s="775"/>
      <c r="L5" s="791"/>
      <c r="M5" s="781" t="s">
        <v>566</v>
      </c>
      <c r="N5" s="770"/>
      <c r="O5" s="771"/>
      <c r="P5" s="770"/>
      <c r="Q5" s="770"/>
      <c r="R5" s="777"/>
      <c r="S5" s="771"/>
      <c r="T5" s="776"/>
      <c r="U5" s="741"/>
      <c r="V5" s="741"/>
      <c r="W5" s="753"/>
      <c r="X5" s="742"/>
      <c r="Y5" s="741"/>
      <c r="Z5" s="741"/>
      <c r="AA5" s="741"/>
      <c r="AB5" s="743"/>
      <c r="AC5" s="741"/>
      <c r="AD5" s="741"/>
      <c r="AE5" s="741"/>
      <c r="AF5" s="799"/>
      <c r="AH5" s="789">
        <v>3</v>
      </c>
    </row>
    <row r="6" spans="1:34" ht="15" thickBot="1" x14ac:dyDescent="0.4">
      <c r="A6" s="761" t="s">
        <v>567</v>
      </c>
      <c r="B6" s="762" t="s">
        <v>568</v>
      </c>
      <c r="C6" s="763" t="s">
        <v>569</v>
      </c>
      <c r="D6" s="767">
        <v>44974</v>
      </c>
      <c r="E6" s="803" t="s">
        <v>485</v>
      </c>
      <c r="F6" s="804"/>
      <c r="G6" s="780"/>
      <c r="H6" s="770"/>
      <c r="I6" s="770"/>
      <c r="J6" s="771"/>
      <c r="K6" s="780"/>
      <c r="L6" s="770"/>
      <c r="M6" s="781" t="s">
        <v>570</v>
      </c>
      <c r="N6" s="770"/>
      <c r="O6" s="771"/>
      <c r="P6" s="770"/>
      <c r="Q6" s="770"/>
      <c r="R6" s="807"/>
      <c r="S6" s="771"/>
      <c r="T6" s="776"/>
      <c r="U6" s="741"/>
      <c r="V6" s="741"/>
      <c r="W6" s="753"/>
      <c r="X6" s="742"/>
      <c r="Y6" s="741"/>
      <c r="Z6" s="741"/>
      <c r="AA6" s="741"/>
      <c r="AB6" s="743"/>
      <c r="AC6" s="741"/>
      <c r="AD6" s="741"/>
      <c r="AE6" s="741"/>
      <c r="AF6" s="799"/>
      <c r="AH6" s="790">
        <v>4</v>
      </c>
    </row>
    <row r="7" spans="1:34" ht="15" thickBot="1" x14ac:dyDescent="0.4">
      <c r="A7" s="761" t="s">
        <v>571</v>
      </c>
      <c r="B7" s="762" t="s">
        <v>568</v>
      </c>
      <c r="C7" s="763" t="s">
        <v>572</v>
      </c>
      <c r="D7" s="767">
        <v>44974</v>
      </c>
      <c r="E7" s="803" t="s">
        <v>485</v>
      </c>
      <c r="F7" s="804"/>
      <c r="G7" s="780"/>
      <c r="H7" s="770"/>
      <c r="I7" s="770"/>
      <c r="J7" s="795"/>
      <c r="K7" s="780"/>
      <c r="L7" s="770"/>
      <c r="M7" s="781"/>
      <c r="N7" s="770"/>
      <c r="O7" s="771"/>
      <c r="P7" s="770"/>
      <c r="Q7" s="770"/>
      <c r="R7" s="777"/>
      <c r="S7" s="771"/>
      <c r="T7" s="776"/>
      <c r="U7" s="770"/>
      <c r="V7" s="770"/>
      <c r="W7" s="777"/>
      <c r="X7" s="780"/>
      <c r="Y7" s="770"/>
      <c r="Z7" s="770"/>
      <c r="AA7" s="770"/>
      <c r="AB7" s="771"/>
      <c r="AC7" s="770"/>
      <c r="AD7" s="770"/>
      <c r="AE7" s="770"/>
      <c r="AF7" s="799"/>
      <c r="AH7" s="796">
        <v>5</v>
      </c>
    </row>
    <row r="8" spans="1:34" x14ac:dyDescent="0.35">
      <c r="A8" s="792" t="s">
        <v>573</v>
      </c>
      <c r="B8" s="778" t="s">
        <v>574</v>
      </c>
      <c r="C8" s="802" t="s">
        <v>575</v>
      </c>
      <c r="D8" s="767">
        <v>45183</v>
      </c>
      <c r="E8" s="797" t="s">
        <v>446</v>
      </c>
      <c r="F8" s="684" t="s">
        <v>576</v>
      </c>
      <c r="G8" s="780"/>
      <c r="H8" s="770"/>
      <c r="I8" s="770"/>
      <c r="J8" s="771"/>
      <c r="K8" s="780"/>
      <c r="L8" s="770"/>
      <c r="M8" s="781"/>
      <c r="N8" s="770"/>
      <c r="O8" s="771"/>
      <c r="P8" s="770"/>
      <c r="Q8" s="770"/>
      <c r="R8" s="777"/>
      <c r="S8" s="805"/>
      <c r="T8" s="806"/>
      <c r="U8" s="791"/>
      <c r="V8" s="770"/>
      <c r="W8" s="777"/>
      <c r="X8" s="780"/>
      <c r="Y8" s="770"/>
      <c r="Z8" s="770"/>
      <c r="AA8" s="770"/>
      <c r="AB8" s="771"/>
      <c r="AC8" s="770"/>
      <c r="AD8" s="770"/>
      <c r="AE8" s="770"/>
      <c r="AF8" s="799"/>
    </row>
    <row r="9" spans="1:34" x14ac:dyDescent="0.35">
      <c r="A9" s="761" t="s">
        <v>577</v>
      </c>
      <c r="B9" s="762" t="s">
        <v>578</v>
      </c>
      <c r="C9" s="763" t="s">
        <v>579</v>
      </c>
      <c r="D9" s="767">
        <v>44896</v>
      </c>
      <c r="E9" s="803" t="s">
        <v>485</v>
      </c>
      <c r="F9" s="804"/>
      <c r="G9" s="780"/>
      <c r="H9" s="770"/>
      <c r="I9" s="770"/>
      <c r="J9" s="771"/>
      <c r="K9" s="780"/>
      <c r="L9" s="770"/>
      <c r="M9" s="781"/>
      <c r="N9" s="770"/>
      <c r="O9" s="771"/>
      <c r="P9" s="770"/>
      <c r="Q9" s="770"/>
      <c r="R9" s="777"/>
      <c r="S9" s="771"/>
      <c r="T9" s="776"/>
      <c r="U9" s="770"/>
      <c r="V9" s="770"/>
      <c r="W9" s="777"/>
      <c r="X9" s="780"/>
      <c r="Y9" s="770"/>
      <c r="Z9" s="770"/>
      <c r="AA9" s="770"/>
      <c r="AB9" s="771"/>
      <c r="AC9" s="770"/>
      <c r="AD9" s="770"/>
      <c r="AE9" s="770"/>
      <c r="AF9" s="799"/>
    </row>
    <row r="10" spans="1:34" x14ac:dyDescent="0.35">
      <c r="A10" s="761" t="s">
        <v>580</v>
      </c>
      <c r="B10" s="762" t="s">
        <v>67</v>
      </c>
      <c r="C10" s="763" t="s">
        <v>581</v>
      </c>
      <c r="D10" s="767">
        <v>44915</v>
      </c>
      <c r="E10" s="797" t="s">
        <v>446</v>
      </c>
      <c r="F10" s="684" t="s">
        <v>576</v>
      </c>
      <c r="G10" s="780"/>
      <c r="H10" s="770"/>
      <c r="I10" s="770"/>
      <c r="J10" s="771"/>
      <c r="K10" s="780"/>
      <c r="L10" s="770"/>
      <c r="M10" s="781"/>
      <c r="N10" s="770"/>
      <c r="O10" s="771"/>
      <c r="P10" s="794"/>
      <c r="Q10" s="794"/>
      <c r="R10" s="777"/>
      <c r="S10" s="771"/>
      <c r="T10" s="776"/>
      <c r="U10" s="770"/>
      <c r="V10" s="770"/>
      <c r="W10" s="777"/>
      <c r="X10" s="780"/>
      <c r="Y10" s="770"/>
      <c r="Z10" s="770"/>
      <c r="AA10" s="770"/>
      <c r="AB10" s="771"/>
      <c r="AC10" s="770"/>
      <c r="AD10" s="770"/>
      <c r="AE10" s="770"/>
      <c r="AF10" s="799"/>
    </row>
    <row r="11" spans="1:34" x14ac:dyDescent="0.35">
      <c r="A11" s="761" t="s">
        <v>97</v>
      </c>
      <c r="B11" s="762" t="s">
        <v>582</v>
      </c>
      <c r="C11" s="763" t="s">
        <v>583</v>
      </c>
      <c r="D11" s="767"/>
      <c r="E11" s="792"/>
      <c r="F11" s="793"/>
      <c r="G11" s="780"/>
      <c r="H11" s="770"/>
      <c r="I11" s="770"/>
      <c r="J11" s="771"/>
      <c r="K11" s="770"/>
      <c r="L11" s="770"/>
      <c r="M11" s="781"/>
      <c r="N11" s="770"/>
      <c r="O11" s="771"/>
      <c r="P11" s="770"/>
      <c r="Q11" s="770"/>
      <c r="R11" s="777"/>
      <c r="S11" s="771"/>
      <c r="T11" s="776"/>
      <c r="U11" s="770"/>
      <c r="V11" s="770"/>
      <c r="W11" s="777"/>
      <c r="X11" s="780"/>
      <c r="Y11" s="770"/>
      <c r="Z11" s="770"/>
      <c r="AA11" s="770"/>
      <c r="AB11" s="771"/>
      <c r="AC11" s="770"/>
      <c r="AD11" s="770"/>
      <c r="AE11" s="770"/>
      <c r="AF11" s="799"/>
    </row>
    <row r="12" spans="1:34" x14ac:dyDescent="0.35">
      <c r="A12" s="792" t="s">
        <v>584</v>
      </c>
      <c r="B12" s="778" t="s">
        <v>17</v>
      </c>
      <c r="C12" s="802" t="s">
        <v>585</v>
      </c>
      <c r="D12" s="767">
        <v>45162</v>
      </c>
      <c r="E12" s="803" t="s">
        <v>485</v>
      </c>
      <c r="F12" s="804"/>
      <c r="G12" s="780"/>
      <c r="H12" s="770"/>
      <c r="I12" s="770"/>
      <c r="J12" s="771"/>
      <c r="K12" s="770"/>
      <c r="L12" s="770"/>
      <c r="M12" s="781"/>
      <c r="N12" s="770"/>
      <c r="O12" s="771"/>
      <c r="P12" s="808"/>
      <c r="Q12" s="808"/>
      <c r="R12" s="808"/>
      <c r="S12" s="771"/>
      <c r="T12" s="776"/>
      <c r="U12" s="770"/>
      <c r="V12" s="794"/>
      <c r="W12" s="777"/>
      <c r="X12" s="780"/>
      <c r="Y12" s="770"/>
      <c r="Z12" s="770"/>
      <c r="AA12" s="770"/>
      <c r="AB12" s="771"/>
      <c r="AC12" s="770"/>
      <c r="AD12" s="770"/>
      <c r="AE12" s="770"/>
      <c r="AF12" s="799"/>
    </row>
    <row r="13" spans="1:34" x14ac:dyDescent="0.35">
      <c r="A13" s="761" t="s">
        <v>586</v>
      </c>
      <c r="B13" s="762" t="s">
        <v>587</v>
      </c>
      <c r="C13" s="763" t="s">
        <v>588</v>
      </c>
      <c r="D13" s="767"/>
      <c r="E13" s="792"/>
      <c r="F13" s="793" t="s">
        <v>589</v>
      </c>
      <c r="G13" s="780"/>
      <c r="H13" s="770"/>
      <c r="I13" s="770"/>
      <c r="J13" s="771"/>
      <c r="K13" s="770"/>
      <c r="L13" s="770"/>
      <c r="M13" s="781"/>
      <c r="N13" s="770"/>
      <c r="O13" s="771"/>
      <c r="P13" s="770"/>
      <c r="Q13" s="770"/>
      <c r="R13" s="777"/>
      <c r="S13" s="771"/>
      <c r="T13" s="776"/>
      <c r="U13" s="770"/>
      <c r="V13" s="770"/>
      <c r="W13" s="777"/>
      <c r="X13" s="780"/>
      <c r="Y13" s="770"/>
      <c r="Z13" s="770"/>
      <c r="AA13" s="770"/>
      <c r="AB13" s="771"/>
      <c r="AC13" s="770"/>
      <c r="AD13" s="770"/>
      <c r="AE13" s="770"/>
      <c r="AF13" s="799"/>
    </row>
    <row r="14" spans="1:34" x14ac:dyDescent="0.35">
      <c r="A14" s="792" t="s">
        <v>590</v>
      </c>
      <c r="B14" s="778" t="s">
        <v>591</v>
      </c>
      <c r="C14" s="802" t="s">
        <v>592</v>
      </c>
      <c r="D14" s="767">
        <v>45168</v>
      </c>
      <c r="E14" s="773" t="s">
        <v>466</v>
      </c>
      <c r="F14" s="772" t="s">
        <v>593</v>
      </c>
      <c r="G14" s="780"/>
      <c r="H14" s="770"/>
      <c r="I14" s="770"/>
      <c r="J14" s="771"/>
      <c r="K14" s="770"/>
      <c r="L14" s="770"/>
      <c r="M14" s="781"/>
      <c r="N14" s="770"/>
      <c r="O14" s="771"/>
      <c r="P14" s="770"/>
      <c r="Q14" s="770"/>
      <c r="R14" s="777"/>
      <c r="S14" s="771"/>
      <c r="T14" s="776"/>
      <c r="U14" s="770"/>
      <c r="V14" s="770"/>
      <c r="W14" s="777"/>
      <c r="X14" s="780"/>
      <c r="Y14" s="770"/>
      <c r="Z14" s="770"/>
      <c r="AA14" s="770"/>
      <c r="AB14" s="827"/>
      <c r="AC14" s="770"/>
      <c r="AD14" s="770"/>
      <c r="AE14" s="770"/>
      <c r="AF14" s="799"/>
    </row>
    <row r="15" spans="1:34" x14ac:dyDescent="0.35">
      <c r="A15" s="761" t="s">
        <v>594</v>
      </c>
      <c r="B15" s="762" t="s">
        <v>587</v>
      </c>
      <c r="C15" s="763" t="s">
        <v>595</v>
      </c>
      <c r="D15" s="767">
        <v>45083</v>
      </c>
      <c r="E15" s="803" t="s">
        <v>485</v>
      </c>
      <c r="F15" s="804"/>
      <c r="G15" s="780"/>
      <c r="H15" s="770"/>
      <c r="I15" s="770"/>
      <c r="J15" s="771"/>
      <c r="K15" s="770"/>
      <c r="L15" s="770"/>
      <c r="M15" s="781"/>
      <c r="N15" s="770"/>
      <c r="O15" s="771"/>
      <c r="P15" s="770"/>
      <c r="Q15" s="770"/>
      <c r="R15" s="777"/>
      <c r="S15" s="771"/>
      <c r="T15" s="776"/>
      <c r="U15" s="770"/>
      <c r="V15" s="770"/>
      <c r="W15" s="777"/>
      <c r="X15" s="780"/>
      <c r="Y15" s="770"/>
      <c r="Z15" s="770"/>
      <c r="AA15" s="770"/>
      <c r="AB15" s="771"/>
      <c r="AC15" s="770"/>
      <c r="AD15" s="770"/>
      <c r="AE15" s="770"/>
      <c r="AF15" s="799"/>
    </row>
    <row r="16" spans="1:34" ht="15" thickBot="1" x14ac:dyDescent="0.4">
      <c r="A16" s="764" t="s">
        <v>596</v>
      </c>
      <c r="B16" s="765" t="s">
        <v>20</v>
      </c>
      <c r="C16" s="766" t="s">
        <v>597</v>
      </c>
      <c r="D16" s="821">
        <v>44930</v>
      </c>
      <c r="E16" s="822" t="s">
        <v>446</v>
      </c>
      <c r="F16" s="823" t="s">
        <v>598</v>
      </c>
      <c r="G16" s="784"/>
      <c r="H16" s="785"/>
      <c r="I16" s="785"/>
      <c r="J16" s="824"/>
      <c r="K16" s="785"/>
      <c r="L16" s="785"/>
      <c r="M16" s="786"/>
      <c r="N16" s="785"/>
      <c r="O16" s="824"/>
      <c r="P16" s="785"/>
      <c r="Q16" s="785"/>
      <c r="R16" s="825"/>
      <c r="S16" s="824"/>
      <c r="T16" s="826"/>
      <c r="U16" s="785"/>
      <c r="V16" s="785"/>
      <c r="W16" s="825"/>
      <c r="X16" s="784"/>
      <c r="Y16" s="785"/>
      <c r="Z16" s="785"/>
      <c r="AA16" s="785"/>
      <c r="AB16" s="824"/>
      <c r="AC16" s="785"/>
      <c r="AD16" s="785"/>
      <c r="AE16" s="785"/>
      <c r="AF16" s="799"/>
    </row>
    <row r="17" spans="1:34" x14ac:dyDescent="0.35">
      <c r="A17" s="813" t="s">
        <v>82</v>
      </c>
      <c r="B17" s="814" t="s">
        <v>87</v>
      </c>
      <c r="C17" s="815" t="s">
        <v>488</v>
      </c>
      <c r="D17" s="816"/>
      <c r="E17" s="830" t="s">
        <v>599</v>
      </c>
      <c r="F17" s="831" t="s">
        <v>600</v>
      </c>
      <c r="G17" s="782"/>
      <c r="H17" s="768"/>
      <c r="I17" s="768"/>
      <c r="J17" s="769"/>
      <c r="K17" s="768"/>
      <c r="L17" s="768"/>
      <c r="M17" s="783"/>
      <c r="N17" s="768"/>
      <c r="O17" s="769"/>
      <c r="P17" s="768"/>
      <c r="Q17" s="768"/>
      <c r="R17" s="817"/>
      <c r="S17" s="769"/>
      <c r="T17" s="818"/>
      <c r="U17" s="768"/>
      <c r="V17" s="768"/>
      <c r="W17" s="817"/>
      <c r="X17" s="819"/>
      <c r="Y17" s="820"/>
      <c r="Z17" s="768"/>
      <c r="AA17" s="768"/>
      <c r="AB17" s="769"/>
      <c r="AC17" s="768"/>
      <c r="AD17" s="768"/>
      <c r="AE17" s="768"/>
      <c r="AF17" s="799"/>
      <c r="AH17" s="935" t="s">
        <v>487</v>
      </c>
    </row>
    <row r="18" spans="1:34" ht="15" thickBot="1" x14ac:dyDescent="0.4">
      <c r="A18" s="792" t="s">
        <v>95</v>
      </c>
      <c r="B18" s="778" t="s">
        <v>96</v>
      </c>
      <c r="C18" s="802" t="s">
        <v>486</v>
      </c>
      <c r="D18" s="779">
        <v>45133</v>
      </c>
      <c r="E18" s="803" t="s">
        <v>485</v>
      </c>
      <c r="F18" s="804"/>
      <c r="G18" s="780"/>
      <c r="H18" s="770"/>
      <c r="I18" s="770"/>
      <c r="J18" s="771"/>
      <c r="K18" s="770"/>
      <c r="L18" s="770"/>
      <c r="M18" s="781"/>
      <c r="N18" s="770"/>
      <c r="O18" s="771"/>
      <c r="P18" s="770"/>
      <c r="Q18" s="770"/>
      <c r="R18" s="794"/>
      <c r="S18" s="795"/>
      <c r="T18" s="776"/>
      <c r="U18" s="770"/>
      <c r="V18" s="770"/>
      <c r="W18" s="777"/>
      <c r="X18" s="780"/>
      <c r="Y18" s="770"/>
      <c r="Z18" s="770"/>
      <c r="AA18" s="770"/>
      <c r="AB18" s="771"/>
      <c r="AC18" s="770"/>
      <c r="AD18" s="770"/>
      <c r="AE18" s="770"/>
      <c r="AF18" s="799"/>
      <c r="AH18" s="936"/>
    </row>
    <row r="19" spans="1:34" x14ac:dyDescent="0.35">
      <c r="A19" s="792" t="s">
        <v>83</v>
      </c>
      <c r="B19" s="778" t="s">
        <v>3</v>
      </c>
      <c r="C19" s="802" t="s">
        <v>484</v>
      </c>
      <c r="D19" s="767">
        <v>45190</v>
      </c>
      <c r="E19" s="797" t="s">
        <v>446</v>
      </c>
      <c r="F19" s="684" t="s">
        <v>601</v>
      </c>
      <c r="G19" s="780"/>
      <c r="H19" s="770"/>
      <c r="I19" s="770"/>
      <c r="J19" s="771"/>
      <c r="K19" s="770"/>
      <c r="L19" s="770"/>
      <c r="M19" s="781"/>
      <c r="N19" s="770"/>
      <c r="O19" s="771"/>
      <c r="P19" s="770"/>
      <c r="Q19" s="770"/>
      <c r="R19" s="777"/>
      <c r="S19" s="771"/>
      <c r="T19" s="776"/>
      <c r="U19" s="770"/>
      <c r="V19" s="791"/>
      <c r="W19" s="777"/>
      <c r="X19" s="780"/>
      <c r="Y19" s="770"/>
      <c r="Z19" s="770"/>
      <c r="AA19" s="770"/>
      <c r="AB19" s="771"/>
      <c r="AC19" s="770"/>
      <c r="AD19" s="770"/>
      <c r="AE19" s="770"/>
      <c r="AF19" s="799"/>
      <c r="AH19" s="787">
        <v>1</v>
      </c>
    </row>
    <row r="20" spans="1:34" x14ac:dyDescent="0.35">
      <c r="A20" s="792" t="s">
        <v>76</v>
      </c>
      <c r="B20" s="778" t="s">
        <v>77</v>
      </c>
      <c r="C20" s="802" t="s">
        <v>483</v>
      </c>
      <c r="D20" s="767">
        <v>45191</v>
      </c>
      <c r="E20" s="797" t="s">
        <v>446</v>
      </c>
      <c r="F20" s="684" t="s">
        <v>576</v>
      </c>
      <c r="G20" s="780"/>
      <c r="H20" s="770"/>
      <c r="I20" s="770"/>
      <c r="J20" s="771"/>
      <c r="K20" s="770"/>
      <c r="L20" s="770"/>
      <c r="M20" s="781"/>
      <c r="N20" s="770"/>
      <c r="O20" s="771"/>
      <c r="P20" s="770"/>
      <c r="Q20" s="770"/>
      <c r="R20" s="777"/>
      <c r="S20" s="771"/>
      <c r="T20" s="809"/>
      <c r="U20" s="808"/>
      <c r="V20" s="770"/>
      <c r="W20" s="777"/>
      <c r="X20" s="780"/>
      <c r="Y20" s="770"/>
      <c r="Z20" s="770"/>
      <c r="AA20" s="770"/>
      <c r="AB20" s="771"/>
      <c r="AC20" s="770"/>
      <c r="AD20" s="770"/>
      <c r="AE20" s="770"/>
      <c r="AF20" s="799"/>
      <c r="AH20" s="788">
        <v>2</v>
      </c>
    </row>
    <row r="21" spans="1:34" x14ac:dyDescent="0.35">
      <c r="A21" s="792" t="s">
        <v>102</v>
      </c>
      <c r="B21" s="778" t="s">
        <v>481</v>
      </c>
      <c r="C21" s="802" t="s">
        <v>482</v>
      </c>
      <c r="D21" s="767"/>
      <c r="E21" s="792"/>
      <c r="F21" s="793"/>
      <c r="G21" s="780"/>
      <c r="H21" s="770"/>
      <c r="I21" s="770"/>
      <c r="J21" s="771"/>
      <c r="K21" s="770"/>
      <c r="L21" s="770"/>
      <c r="M21" s="781"/>
      <c r="N21" s="770"/>
      <c r="O21" s="771"/>
      <c r="P21" s="770"/>
      <c r="Q21" s="770"/>
      <c r="R21" s="777"/>
      <c r="S21" s="771"/>
      <c r="T21" s="776"/>
      <c r="U21" s="770"/>
      <c r="V21" s="770"/>
      <c r="W21" s="777"/>
      <c r="X21" s="780"/>
      <c r="Y21" s="770"/>
      <c r="Z21" s="770"/>
      <c r="AA21" s="770"/>
      <c r="AB21" s="771"/>
      <c r="AC21" s="770"/>
      <c r="AD21" s="770"/>
      <c r="AE21" s="770"/>
      <c r="AF21" s="799"/>
      <c r="AH21" s="789">
        <v>3</v>
      </c>
    </row>
    <row r="22" spans="1:34" ht="15" thickBot="1" x14ac:dyDescent="0.4">
      <c r="A22" s="792" t="s">
        <v>105</v>
      </c>
      <c r="B22" s="778" t="s">
        <v>481</v>
      </c>
      <c r="C22" s="802" t="s">
        <v>480</v>
      </c>
      <c r="D22" s="767">
        <v>45232</v>
      </c>
      <c r="E22" s="792"/>
      <c r="F22" s="793"/>
      <c r="G22" s="780"/>
      <c r="H22" s="770"/>
      <c r="I22" s="770"/>
      <c r="J22" s="771"/>
      <c r="K22" s="770"/>
      <c r="L22" s="770"/>
      <c r="M22" s="781"/>
      <c r="N22" s="770"/>
      <c r="O22" s="771"/>
      <c r="P22" s="770"/>
      <c r="Q22" s="770"/>
      <c r="R22" s="777"/>
      <c r="S22" s="771"/>
      <c r="T22" s="776"/>
      <c r="U22" s="770"/>
      <c r="V22" s="770"/>
      <c r="W22" s="777"/>
      <c r="X22" s="780"/>
      <c r="Y22" s="770"/>
      <c r="Z22" s="770"/>
      <c r="AA22" s="770"/>
      <c r="AB22" s="771"/>
      <c r="AC22" s="770"/>
      <c r="AD22" s="770"/>
      <c r="AE22" s="770"/>
      <c r="AF22" s="799"/>
      <c r="AH22" s="790">
        <v>4</v>
      </c>
    </row>
    <row r="23" spans="1:34" ht="15" thickBot="1" x14ac:dyDescent="0.4">
      <c r="A23" s="792" t="s">
        <v>75</v>
      </c>
      <c r="B23" s="778" t="s">
        <v>479</v>
      </c>
      <c r="C23" s="802" t="s">
        <v>478</v>
      </c>
      <c r="D23" s="767">
        <v>45217</v>
      </c>
      <c r="E23" s="797" t="s">
        <v>446</v>
      </c>
      <c r="F23" s="684" t="s">
        <v>601</v>
      </c>
      <c r="G23" s="780"/>
      <c r="H23" s="770"/>
      <c r="I23" s="770"/>
      <c r="J23" s="771"/>
      <c r="K23" s="770"/>
      <c r="L23" s="770"/>
      <c r="M23" s="781"/>
      <c r="N23" s="770"/>
      <c r="O23" s="771"/>
      <c r="P23" s="770"/>
      <c r="Q23" s="770"/>
      <c r="R23" s="777"/>
      <c r="S23" s="771"/>
      <c r="T23" s="776"/>
      <c r="U23" s="770"/>
      <c r="V23" s="770"/>
      <c r="W23" s="810"/>
      <c r="X23" s="829"/>
      <c r="Y23" s="770"/>
      <c r="Z23" s="770"/>
      <c r="AA23" s="770"/>
      <c r="AB23" s="771"/>
      <c r="AC23" s="770"/>
      <c r="AD23" s="770"/>
      <c r="AE23" s="770"/>
      <c r="AF23" s="799"/>
      <c r="AH23" s="796">
        <v>5</v>
      </c>
    </row>
    <row r="24" spans="1:34" x14ac:dyDescent="0.35">
      <c r="A24" s="792" t="s">
        <v>101</v>
      </c>
      <c r="B24" s="778" t="s">
        <v>85</v>
      </c>
      <c r="C24" s="802" t="s">
        <v>477</v>
      </c>
      <c r="D24" s="767">
        <v>45219</v>
      </c>
      <c r="E24" s="773" t="s">
        <v>466</v>
      </c>
      <c r="F24" s="772" t="s">
        <v>465</v>
      </c>
      <c r="G24" s="780"/>
      <c r="H24" s="770"/>
      <c r="I24" s="770"/>
      <c r="J24" s="771"/>
      <c r="K24" s="770"/>
      <c r="L24" s="770"/>
      <c r="M24" s="781"/>
      <c r="N24" s="770"/>
      <c r="O24" s="771"/>
      <c r="P24" s="770"/>
      <c r="Q24" s="770"/>
      <c r="R24" s="777"/>
      <c r="S24" s="771"/>
      <c r="T24" s="776"/>
      <c r="U24" s="770"/>
      <c r="V24" s="770"/>
      <c r="W24" s="777"/>
      <c r="X24" s="780"/>
      <c r="Y24" s="770"/>
      <c r="Z24" s="770"/>
      <c r="AA24" s="791"/>
      <c r="AB24" s="791"/>
      <c r="AC24" s="770"/>
      <c r="AD24" s="770"/>
      <c r="AE24" s="770"/>
      <c r="AF24" s="799"/>
    </row>
    <row r="25" spans="1:34" x14ac:dyDescent="0.35">
      <c r="A25" s="792" t="s">
        <v>99</v>
      </c>
      <c r="B25" s="778" t="s">
        <v>476</v>
      </c>
      <c r="C25" s="802" t="s">
        <v>475</v>
      </c>
      <c r="D25" s="767"/>
      <c r="E25" s="792"/>
      <c r="F25" s="793"/>
      <c r="G25" s="780"/>
      <c r="H25" s="770"/>
      <c r="I25" s="770"/>
      <c r="J25" s="771"/>
      <c r="K25" s="780"/>
      <c r="L25" s="770"/>
      <c r="M25" s="781"/>
      <c r="N25" s="770"/>
      <c r="O25" s="771"/>
      <c r="P25" s="770"/>
      <c r="Q25" s="770"/>
      <c r="R25" s="777"/>
      <c r="S25" s="771"/>
      <c r="T25" s="776"/>
      <c r="U25" s="776"/>
      <c r="V25" s="770"/>
      <c r="W25" s="777"/>
      <c r="X25" s="780"/>
      <c r="Y25" s="770"/>
      <c r="Z25" s="770"/>
      <c r="AA25" s="770"/>
      <c r="AB25" s="771"/>
      <c r="AC25" s="770"/>
      <c r="AD25" s="770"/>
      <c r="AE25" s="770"/>
      <c r="AF25" s="799"/>
    </row>
    <row r="26" spans="1:34" x14ac:dyDescent="0.35">
      <c r="A26" s="792" t="s">
        <v>93</v>
      </c>
      <c r="B26" s="778" t="s">
        <v>94</v>
      </c>
      <c r="C26" s="802" t="s">
        <v>474</v>
      </c>
      <c r="D26" s="767">
        <v>45245</v>
      </c>
      <c r="E26" s="773" t="s">
        <v>466</v>
      </c>
      <c r="F26" s="772" t="s">
        <v>465</v>
      </c>
      <c r="G26" s="780"/>
      <c r="H26" s="770"/>
      <c r="I26" s="770"/>
      <c r="J26" s="771"/>
      <c r="K26" s="780"/>
      <c r="L26" s="770"/>
      <c r="M26" s="781"/>
      <c r="N26" s="770"/>
      <c r="O26" s="771"/>
      <c r="P26" s="770"/>
      <c r="Q26" s="770"/>
      <c r="R26" s="777"/>
      <c r="S26" s="771"/>
      <c r="T26" s="776"/>
      <c r="U26" s="770"/>
      <c r="V26" s="770"/>
      <c r="W26" s="777"/>
      <c r="X26" s="780"/>
      <c r="Y26" s="770"/>
      <c r="Z26" s="770"/>
      <c r="AA26" s="770"/>
      <c r="AB26" s="771"/>
      <c r="AC26" s="794"/>
      <c r="AD26" s="770"/>
      <c r="AE26" s="770"/>
      <c r="AF26" s="799"/>
    </row>
    <row r="27" spans="1:34" x14ac:dyDescent="0.35">
      <c r="A27" s="792" t="s">
        <v>91</v>
      </c>
      <c r="B27" s="778" t="s">
        <v>86</v>
      </c>
      <c r="C27" s="802" t="s">
        <v>473</v>
      </c>
      <c r="D27" s="767">
        <v>45213</v>
      </c>
      <c r="E27" s="773" t="s">
        <v>466</v>
      </c>
      <c r="F27" s="772" t="s">
        <v>465</v>
      </c>
      <c r="G27" s="780"/>
      <c r="H27" s="770"/>
      <c r="I27" s="770"/>
      <c r="J27" s="771"/>
      <c r="K27" s="780"/>
      <c r="L27" s="770"/>
      <c r="M27" s="781"/>
      <c r="N27" s="770"/>
      <c r="O27" s="771"/>
      <c r="P27" s="770"/>
      <c r="Q27" s="770"/>
      <c r="R27" s="777"/>
      <c r="S27" s="771"/>
      <c r="T27" s="776"/>
      <c r="U27" s="770"/>
      <c r="V27" s="770"/>
      <c r="W27" s="777"/>
      <c r="X27" s="780"/>
      <c r="Y27" s="770"/>
      <c r="Z27" s="770"/>
      <c r="AA27" s="770"/>
      <c r="AB27" s="812"/>
      <c r="AC27" s="770"/>
      <c r="AD27" s="770"/>
      <c r="AE27" s="770"/>
      <c r="AF27" s="799"/>
    </row>
    <row r="28" spans="1:34" x14ac:dyDescent="0.35">
      <c r="A28" s="792" t="s">
        <v>92</v>
      </c>
      <c r="B28" s="778" t="s">
        <v>86</v>
      </c>
      <c r="C28" s="802" t="s">
        <v>472</v>
      </c>
      <c r="D28" s="767">
        <v>45213</v>
      </c>
      <c r="E28" s="773" t="s">
        <v>466</v>
      </c>
      <c r="F28" s="772" t="s">
        <v>465</v>
      </c>
      <c r="G28" s="780"/>
      <c r="H28" s="770"/>
      <c r="I28" s="770"/>
      <c r="J28" s="771"/>
      <c r="K28" s="780"/>
      <c r="L28" s="770"/>
      <c r="M28" s="781"/>
      <c r="N28" s="770"/>
      <c r="O28" s="771"/>
      <c r="P28" s="770"/>
      <c r="Q28" s="770"/>
      <c r="R28" s="777"/>
      <c r="S28" s="771"/>
      <c r="T28" s="776"/>
      <c r="U28" s="776"/>
      <c r="V28" s="770"/>
      <c r="W28" s="777"/>
      <c r="X28" s="780"/>
      <c r="Y28" s="770"/>
      <c r="Z28" s="811"/>
      <c r="AA28" s="811"/>
      <c r="AB28" s="771"/>
      <c r="AC28" s="770"/>
      <c r="AD28" s="770"/>
      <c r="AE28" s="770"/>
      <c r="AF28" s="799"/>
    </row>
    <row r="29" spans="1:34" x14ac:dyDescent="0.35">
      <c r="A29" s="792" t="s">
        <v>89</v>
      </c>
      <c r="B29" s="778" t="s">
        <v>90</v>
      </c>
      <c r="C29" s="802" t="s">
        <v>471</v>
      </c>
      <c r="D29" s="767"/>
      <c r="E29" s="792"/>
      <c r="F29" s="793"/>
      <c r="G29" s="780"/>
      <c r="H29" s="770"/>
      <c r="I29" s="770"/>
      <c r="J29" s="771"/>
      <c r="K29" s="780"/>
      <c r="L29" s="770"/>
      <c r="M29" s="781"/>
      <c r="N29" s="770"/>
      <c r="O29" s="771"/>
      <c r="P29" s="770"/>
      <c r="Q29" s="770"/>
      <c r="R29" s="777"/>
      <c r="S29" s="771"/>
      <c r="T29" s="776"/>
      <c r="U29" s="770"/>
      <c r="V29" s="770"/>
      <c r="W29" s="777"/>
      <c r="X29" s="780"/>
      <c r="Y29" s="770"/>
      <c r="Z29" s="770"/>
      <c r="AA29" s="770"/>
      <c r="AB29" s="771"/>
      <c r="AC29" s="770"/>
      <c r="AD29" s="770"/>
      <c r="AE29" s="770"/>
      <c r="AF29" s="799"/>
    </row>
    <row r="30" spans="1:34" x14ac:dyDescent="0.35">
      <c r="A30" s="792" t="s">
        <v>112</v>
      </c>
      <c r="B30" s="778" t="s">
        <v>113</v>
      </c>
      <c r="C30" s="802"/>
      <c r="D30" s="767"/>
      <c r="E30" s="792"/>
      <c r="F30" s="793"/>
      <c r="G30" s="780"/>
      <c r="H30" s="770"/>
      <c r="I30" s="770"/>
      <c r="J30" s="771"/>
      <c r="K30" s="780"/>
      <c r="L30" s="770"/>
      <c r="M30" s="781"/>
      <c r="N30" s="770"/>
      <c r="O30" s="771"/>
      <c r="P30" s="770"/>
      <c r="Q30" s="770"/>
      <c r="R30" s="777"/>
      <c r="S30" s="771"/>
      <c r="T30" s="776"/>
      <c r="U30" s="770"/>
      <c r="V30" s="770"/>
      <c r="W30" s="777"/>
      <c r="X30" s="780"/>
      <c r="Y30" s="770"/>
      <c r="Z30" s="770"/>
      <c r="AA30" s="770"/>
      <c r="AB30" s="771"/>
      <c r="AC30" s="770"/>
      <c r="AD30" s="770"/>
      <c r="AE30" s="770"/>
      <c r="AF30" s="799"/>
    </row>
    <row r="31" spans="1:34" x14ac:dyDescent="0.35">
      <c r="A31" s="792" t="s">
        <v>115</v>
      </c>
      <c r="B31" s="778" t="s">
        <v>84</v>
      </c>
      <c r="C31" s="802" t="s">
        <v>470</v>
      </c>
      <c r="D31" s="767">
        <v>45218</v>
      </c>
      <c r="E31" s="773" t="s">
        <v>466</v>
      </c>
      <c r="F31" s="772" t="s">
        <v>465</v>
      </c>
      <c r="G31" s="780"/>
      <c r="H31" s="770"/>
      <c r="I31" s="770"/>
      <c r="J31" s="771"/>
      <c r="K31" s="780"/>
      <c r="L31" s="770"/>
      <c r="M31" s="781"/>
      <c r="N31" s="770"/>
      <c r="O31" s="771"/>
      <c r="P31" s="770"/>
      <c r="Q31" s="770"/>
      <c r="R31" s="777"/>
      <c r="S31" s="771"/>
      <c r="T31" s="776"/>
      <c r="U31" s="770"/>
      <c r="V31" s="770"/>
      <c r="W31" s="777"/>
      <c r="X31" s="780"/>
      <c r="Y31" s="808"/>
      <c r="Z31" s="808"/>
      <c r="AA31" s="808"/>
      <c r="AB31" s="771"/>
      <c r="AC31" s="770"/>
      <c r="AD31" s="770"/>
      <c r="AE31" s="770"/>
      <c r="AF31" s="799"/>
    </row>
    <row r="32" spans="1:34" x14ac:dyDescent="0.35">
      <c r="A32" s="761" t="s">
        <v>80</v>
      </c>
      <c r="B32" s="762" t="s">
        <v>81</v>
      </c>
      <c r="C32" s="778" t="s">
        <v>469</v>
      </c>
      <c r="D32" s="779">
        <v>45217</v>
      </c>
      <c r="E32" s="797" t="s">
        <v>446</v>
      </c>
      <c r="F32" s="684"/>
      <c r="G32" s="780"/>
      <c r="H32" s="770"/>
      <c r="I32" s="770"/>
      <c r="J32" s="771"/>
      <c r="K32" s="780"/>
      <c r="L32" s="770"/>
      <c r="M32" s="781"/>
      <c r="N32" s="770"/>
      <c r="O32" s="771"/>
      <c r="P32" s="770"/>
      <c r="Q32" s="770"/>
      <c r="R32" s="777"/>
      <c r="S32" s="771"/>
      <c r="T32" s="776"/>
      <c r="U32" s="776"/>
      <c r="V32" s="776"/>
      <c r="W32" s="777"/>
      <c r="X32" s="829"/>
      <c r="Y32" s="811"/>
      <c r="Z32" s="811"/>
      <c r="AA32" s="770"/>
      <c r="AB32" s="771"/>
      <c r="AC32" s="770"/>
      <c r="AD32" s="770"/>
      <c r="AE32" s="770"/>
      <c r="AF32" s="799"/>
    </row>
    <row r="33" spans="1:32" x14ac:dyDescent="0.35">
      <c r="A33" s="761" t="s">
        <v>108</v>
      </c>
      <c r="B33" s="762" t="s">
        <v>468</v>
      </c>
      <c r="C33" s="763" t="s">
        <v>467</v>
      </c>
      <c r="D33" s="767">
        <v>45219</v>
      </c>
      <c r="E33" s="773" t="s">
        <v>466</v>
      </c>
      <c r="F33" s="772" t="s">
        <v>465</v>
      </c>
      <c r="G33" s="780"/>
      <c r="H33" s="770"/>
      <c r="I33" s="770"/>
      <c r="J33" s="771"/>
      <c r="K33" s="780"/>
      <c r="L33" s="770"/>
      <c r="M33" s="781"/>
      <c r="N33" s="770"/>
      <c r="O33" s="771"/>
      <c r="P33" s="770"/>
      <c r="Q33" s="770"/>
      <c r="R33" s="777"/>
      <c r="S33" s="771"/>
      <c r="T33" s="776"/>
      <c r="U33" s="770"/>
      <c r="V33" s="770"/>
      <c r="W33" s="777"/>
      <c r="X33" s="780"/>
      <c r="Y33" s="770"/>
      <c r="Z33" s="770"/>
      <c r="AA33" s="794"/>
      <c r="AB33" s="795"/>
      <c r="AC33" s="770"/>
      <c r="AD33" s="770"/>
      <c r="AE33" s="770"/>
      <c r="AF33" s="799"/>
    </row>
    <row r="34" spans="1:32" x14ac:dyDescent="0.35">
      <c r="A34" s="761" t="s">
        <v>602</v>
      </c>
      <c r="B34" s="762" t="s">
        <v>603</v>
      </c>
      <c r="C34" s="763"/>
      <c r="D34" s="767"/>
      <c r="E34" s="792"/>
      <c r="F34" s="793"/>
      <c r="G34" s="780"/>
      <c r="H34" s="770"/>
      <c r="I34" s="770"/>
      <c r="J34" s="771"/>
      <c r="K34" s="780"/>
      <c r="L34" s="770"/>
      <c r="M34" s="781"/>
      <c r="N34" s="770"/>
      <c r="O34" s="771"/>
      <c r="P34" s="770"/>
      <c r="Q34" s="770"/>
      <c r="R34" s="777"/>
      <c r="S34" s="771"/>
      <c r="T34" s="776"/>
      <c r="U34" s="770"/>
      <c r="V34" s="770"/>
      <c r="W34" s="777"/>
      <c r="X34" s="780"/>
      <c r="Y34" s="770"/>
      <c r="Z34" s="770"/>
      <c r="AA34" s="770"/>
      <c r="AB34" s="771"/>
      <c r="AC34" s="770"/>
      <c r="AD34" s="770"/>
      <c r="AE34" s="770"/>
      <c r="AF34" s="799"/>
    </row>
    <row r="35" spans="1:32" x14ac:dyDescent="0.35">
      <c r="A35" s="761" t="s">
        <v>110</v>
      </c>
      <c r="B35" s="762" t="s">
        <v>604</v>
      </c>
      <c r="C35" s="763" t="s">
        <v>605</v>
      </c>
      <c r="D35" s="767">
        <v>45238</v>
      </c>
      <c r="E35" s="797" t="s">
        <v>446</v>
      </c>
      <c r="F35" s="684"/>
      <c r="G35" s="780"/>
      <c r="H35" s="770"/>
      <c r="I35" s="770"/>
      <c r="J35" s="771"/>
      <c r="K35" s="780"/>
      <c r="L35" s="770"/>
      <c r="M35" s="781"/>
      <c r="N35" s="770"/>
      <c r="O35" s="771"/>
      <c r="P35" s="770"/>
      <c r="Q35" s="770"/>
      <c r="R35" s="777"/>
      <c r="S35" s="771"/>
      <c r="T35" s="776"/>
      <c r="U35" s="770"/>
      <c r="V35" s="770"/>
      <c r="W35" s="777"/>
      <c r="X35" s="780"/>
      <c r="Y35" s="770"/>
      <c r="Z35" s="791"/>
      <c r="AA35" s="791"/>
      <c r="AB35" s="771"/>
      <c r="AC35" s="770"/>
      <c r="AD35" s="770"/>
      <c r="AE35" s="770"/>
      <c r="AF35" s="799"/>
    </row>
    <row r="36" spans="1:32" x14ac:dyDescent="0.35">
      <c r="A36" s="761" t="s">
        <v>606</v>
      </c>
      <c r="B36" s="762" t="s">
        <v>607</v>
      </c>
      <c r="C36" s="763"/>
      <c r="D36" s="762"/>
      <c r="E36" s="761"/>
      <c r="F36" s="100"/>
      <c r="G36" s="780"/>
      <c r="H36" s="770"/>
      <c r="I36" s="770"/>
      <c r="J36" s="771"/>
      <c r="K36" s="780"/>
      <c r="L36" s="770"/>
      <c r="M36" s="781"/>
      <c r="N36" s="770"/>
      <c r="O36" s="771"/>
      <c r="P36" s="770"/>
      <c r="Q36" s="770"/>
      <c r="R36" s="777"/>
      <c r="S36" s="771"/>
      <c r="T36" s="776"/>
      <c r="U36" s="770"/>
      <c r="V36" s="770"/>
      <c r="W36" s="777"/>
      <c r="X36" s="780"/>
      <c r="Y36" s="770"/>
      <c r="Z36" s="770"/>
      <c r="AA36" s="770"/>
      <c r="AB36" s="771"/>
      <c r="AC36" s="770"/>
      <c r="AD36" s="770"/>
      <c r="AE36" s="770"/>
      <c r="AF36" s="799"/>
    </row>
    <row r="37" spans="1:32" x14ac:dyDescent="0.35">
      <c r="A37" s="761" t="s">
        <v>608</v>
      </c>
      <c r="B37" s="762" t="s">
        <v>609</v>
      </c>
      <c r="C37" s="763"/>
      <c r="D37" s="762"/>
      <c r="E37" s="761"/>
      <c r="F37" s="100"/>
      <c r="G37" s="742"/>
      <c r="H37" s="741"/>
      <c r="I37" s="741"/>
      <c r="J37" s="743"/>
      <c r="K37" s="780"/>
      <c r="L37" s="770"/>
      <c r="M37" s="781"/>
      <c r="N37" s="770"/>
      <c r="O37" s="743"/>
      <c r="P37" s="741"/>
      <c r="Q37" s="741"/>
      <c r="R37" s="753"/>
      <c r="S37" s="743"/>
      <c r="T37" s="757"/>
      <c r="U37" s="741"/>
      <c r="V37" s="741"/>
      <c r="W37" s="753"/>
      <c r="X37" s="742"/>
      <c r="Y37" s="741"/>
      <c r="Z37" s="741"/>
      <c r="AA37" s="741"/>
      <c r="AB37" s="743"/>
      <c r="AC37" s="741"/>
      <c r="AD37" s="741"/>
      <c r="AE37" s="741"/>
      <c r="AF37" s="799"/>
    </row>
    <row r="38" spans="1:32" x14ac:dyDescent="0.35">
      <c r="A38" s="761"/>
      <c r="B38" s="762"/>
      <c r="C38" s="763"/>
      <c r="D38" s="762"/>
      <c r="E38" s="761"/>
      <c r="F38" s="100"/>
      <c r="G38" s="742"/>
      <c r="H38" s="741"/>
      <c r="I38" s="741"/>
      <c r="J38" s="743"/>
      <c r="K38" s="780"/>
      <c r="L38" s="770"/>
      <c r="M38" s="781"/>
      <c r="N38" s="770"/>
      <c r="O38" s="743"/>
      <c r="P38" s="741"/>
      <c r="Q38" s="741"/>
      <c r="R38" s="753"/>
      <c r="S38" s="743"/>
      <c r="T38" s="757"/>
      <c r="U38" s="741"/>
      <c r="V38" s="741"/>
      <c r="W38" s="753"/>
      <c r="X38" s="742"/>
      <c r="Y38" s="741"/>
      <c r="Z38" s="741"/>
      <c r="AA38" s="741"/>
      <c r="AB38" s="743"/>
      <c r="AC38" s="741"/>
      <c r="AD38" s="741"/>
      <c r="AE38" s="741"/>
      <c r="AF38" s="799"/>
    </row>
    <row r="39" spans="1:32" x14ac:dyDescent="0.35">
      <c r="A39" s="761"/>
      <c r="B39" s="762"/>
      <c r="C39" s="763"/>
      <c r="D39" s="762"/>
      <c r="E39" s="761"/>
      <c r="F39" s="100"/>
      <c r="G39" s="742"/>
      <c r="H39" s="741"/>
      <c r="I39" s="741"/>
      <c r="J39" s="743"/>
      <c r="K39" s="780"/>
      <c r="L39" s="770"/>
      <c r="M39" s="781"/>
      <c r="N39" s="770"/>
      <c r="O39" s="743"/>
      <c r="P39" s="741"/>
      <c r="Q39" s="741"/>
      <c r="R39" s="753"/>
      <c r="S39" s="743"/>
      <c r="T39" s="757"/>
      <c r="U39" s="741"/>
      <c r="V39" s="741"/>
      <c r="W39" s="753"/>
      <c r="X39" s="742"/>
      <c r="Y39" s="741"/>
      <c r="Z39" s="741"/>
      <c r="AA39" s="741"/>
      <c r="AB39" s="743"/>
      <c r="AC39" s="741"/>
      <c r="AD39" s="741"/>
      <c r="AE39" s="741"/>
      <c r="AF39" s="799"/>
    </row>
    <row r="40" spans="1:32" x14ac:dyDescent="0.35">
      <c r="A40" s="761"/>
      <c r="B40" s="762"/>
      <c r="C40" s="763"/>
      <c r="D40" s="762"/>
      <c r="E40" s="761"/>
      <c r="F40" s="100"/>
      <c r="G40" s="742"/>
      <c r="H40" s="741"/>
      <c r="I40" s="741"/>
      <c r="J40" s="743"/>
      <c r="K40" s="780"/>
      <c r="L40" s="770"/>
      <c r="M40" s="781"/>
      <c r="N40" s="770"/>
      <c r="O40" s="743"/>
      <c r="P40" s="741"/>
      <c r="Q40" s="741"/>
      <c r="R40" s="753"/>
      <c r="S40" s="743"/>
      <c r="T40" s="757"/>
      <c r="U40" s="741"/>
      <c r="V40" s="741"/>
      <c r="W40" s="753"/>
      <c r="X40" s="742"/>
      <c r="Y40" s="741"/>
      <c r="Z40" s="741"/>
      <c r="AA40" s="741"/>
      <c r="AB40" s="743"/>
      <c r="AC40" s="741"/>
      <c r="AD40" s="741"/>
      <c r="AE40" s="741"/>
      <c r="AF40" s="799"/>
    </row>
    <row r="41" spans="1:32" x14ac:dyDescent="0.35">
      <c r="A41" s="761"/>
      <c r="B41" s="762"/>
      <c r="C41" s="763"/>
      <c r="D41" s="762"/>
      <c r="E41" s="761"/>
      <c r="F41" s="100"/>
      <c r="G41" s="742"/>
      <c r="H41" s="741"/>
      <c r="I41" s="741"/>
      <c r="J41" s="743"/>
      <c r="K41" s="780"/>
      <c r="L41" s="770"/>
      <c r="M41" s="781"/>
      <c r="N41" s="770"/>
      <c r="O41" s="743"/>
      <c r="P41" s="741"/>
      <c r="Q41" s="741"/>
      <c r="R41" s="753"/>
      <c r="S41" s="743"/>
      <c r="T41" s="757"/>
      <c r="U41" s="741"/>
      <c r="V41" s="741"/>
      <c r="W41" s="753"/>
      <c r="X41" s="742"/>
      <c r="Y41" s="741"/>
      <c r="Z41" s="741"/>
      <c r="AA41" s="741"/>
      <c r="AB41" s="743"/>
      <c r="AC41" s="741"/>
      <c r="AD41" s="741"/>
      <c r="AE41" s="741"/>
      <c r="AF41" s="799"/>
    </row>
    <row r="42" spans="1:32" x14ac:dyDescent="0.35">
      <c r="A42" s="761"/>
      <c r="B42" s="762"/>
      <c r="C42" s="763"/>
      <c r="D42" s="762"/>
      <c r="E42" s="761"/>
      <c r="F42" s="100"/>
      <c r="G42" s="742"/>
      <c r="H42" s="741"/>
      <c r="I42" s="741"/>
      <c r="J42" s="743"/>
      <c r="K42" s="780"/>
      <c r="L42" s="770"/>
      <c r="M42" s="781"/>
      <c r="N42" s="770"/>
      <c r="O42" s="743"/>
      <c r="P42" s="741"/>
      <c r="Q42" s="741"/>
      <c r="R42" s="753"/>
      <c r="S42" s="743"/>
      <c r="T42" s="757"/>
      <c r="U42" s="741"/>
      <c r="V42" s="741"/>
      <c r="W42" s="753"/>
      <c r="X42" s="742"/>
      <c r="Y42" s="741"/>
      <c r="Z42" s="741"/>
      <c r="AA42" s="741"/>
      <c r="AB42" s="743"/>
      <c r="AC42" s="741"/>
      <c r="AD42" s="741"/>
      <c r="AE42" s="741"/>
      <c r="AF42" s="799"/>
    </row>
    <row r="43" spans="1:32" x14ac:dyDescent="0.35">
      <c r="A43" s="761"/>
      <c r="B43" s="762"/>
      <c r="C43" s="763"/>
      <c r="D43" s="762"/>
      <c r="E43" s="761"/>
      <c r="F43" s="100"/>
      <c r="G43" s="742"/>
      <c r="H43" s="741"/>
      <c r="I43" s="741"/>
      <c r="J43" s="743"/>
      <c r="K43" s="780"/>
      <c r="L43" s="770"/>
      <c r="M43" s="781"/>
      <c r="N43" s="770"/>
      <c r="O43" s="743"/>
      <c r="P43" s="741"/>
      <c r="Q43" s="741"/>
      <c r="R43" s="753"/>
      <c r="S43" s="743"/>
      <c r="T43" s="757"/>
      <c r="U43" s="741"/>
      <c r="V43" s="741"/>
      <c r="W43" s="753"/>
      <c r="X43" s="742"/>
      <c r="Y43" s="741"/>
      <c r="Z43" s="741"/>
      <c r="AA43" s="741"/>
      <c r="AB43" s="743"/>
      <c r="AC43" s="741"/>
      <c r="AD43" s="741"/>
      <c r="AE43" s="741"/>
      <c r="AF43" s="799"/>
    </row>
    <row r="44" spans="1:32" x14ac:dyDescent="0.35">
      <c r="A44" s="761"/>
      <c r="B44" s="762"/>
      <c r="C44" s="763"/>
      <c r="D44" s="762"/>
      <c r="E44" s="761"/>
      <c r="F44" s="100"/>
      <c r="G44" s="742"/>
      <c r="H44" s="741"/>
      <c r="I44" s="741"/>
      <c r="J44" s="743"/>
      <c r="K44" s="780"/>
      <c r="L44" s="770"/>
      <c r="M44" s="781"/>
      <c r="N44" s="770"/>
      <c r="O44" s="743"/>
      <c r="P44" s="741"/>
      <c r="Q44" s="741"/>
      <c r="R44" s="753"/>
      <c r="S44" s="743"/>
      <c r="T44" s="757"/>
      <c r="U44" s="741"/>
      <c r="V44" s="741"/>
      <c r="W44" s="753"/>
      <c r="X44" s="742"/>
      <c r="Y44" s="741"/>
      <c r="Z44" s="741"/>
      <c r="AA44" s="741"/>
      <c r="AB44" s="743"/>
      <c r="AC44" s="741"/>
      <c r="AD44" s="741"/>
      <c r="AE44" s="741"/>
      <c r="AF44" s="799"/>
    </row>
    <row r="45" spans="1:32" x14ac:dyDescent="0.35">
      <c r="A45" s="761"/>
      <c r="B45" s="762"/>
      <c r="C45" s="763"/>
      <c r="D45" s="762"/>
      <c r="E45" s="761"/>
      <c r="F45" s="100"/>
      <c r="G45" s="742"/>
      <c r="H45" s="741"/>
      <c r="I45" s="741"/>
      <c r="J45" s="743"/>
      <c r="K45" s="780"/>
      <c r="L45" s="770"/>
      <c r="M45" s="781"/>
      <c r="N45" s="770"/>
      <c r="O45" s="743"/>
      <c r="P45" s="741"/>
      <c r="Q45" s="741"/>
      <c r="R45" s="753"/>
      <c r="S45" s="743"/>
      <c r="T45" s="757"/>
      <c r="U45" s="741"/>
      <c r="V45" s="741"/>
      <c r="W45" s="753"/>
      <c r="X45" s="742"/>
      <c r="Y45" s="741"/>
      <c r="Z45" s="741"/>
      <c r="AA45" s="741"/>
      <c r="AB45" s="743"/>
      <c r="AC45" s="741"/>
      <c r="AD45" s="741"/>
      <c r="AE45" s="741"/>
      <c r="AF45" s="799"/>
    </row>
    <row r="46" spans="1:32" ht="15" thickBot="1" x14ac:dyDescent="0.4">
      <c r="A46" s="764"/>
      <c r="B46" s="765"/>
      <c r="C46" s="766"/>
      <c r="D46" s="765"/>
      <c r="E46" s="764"/>
      <c r="F46" s="774"/>
      <c r="G46" s="744"/>
      <c r="H46" s="745"/>
      <c r="I46" s="745"/>
      <c r="J46" s="746"/>
      <c r="K46" s="784"/>
      <c r="L46" s="785"/>
      <c r="M46" s="786"/>
      <c r="N46" s="785"/>
      <c r="O46" s="746"/>
      <c r="P46" s="745"/>
      <c r="Q46" s="745"/>
      <c r="R46" s="754"/>
      <c r="S46" s="746"/>
      <c r="T46" s="758"/>
      <c r="U46" s="745"/>
      <c r="V46" s="745"/>
      <c r="W46" s="754"/>
      <c r="X46" s="744"/>
      <c r="Y46" s="745"/>
      <c r="Z46" s="745"/>
      <c r="AA46" s="745"/>
      <c r="AB46" s="746"/>
      <c r="AC46" s="745"/>
      <c r="AD46" s="745"/>
      <c r="AE46" s="745"/>
      <c r="AF46" s="800"/>
    </row>
  </sheetData>
  <mergeCells count="14">
    <mergeCell ref="AH17:AH18"/>
    <mergeCell ref="X1:AB1"/>
    <mergeCell ref="AH1:AH2"/>
    <mergeCell ref="A1:A2"/>
    <mergeCell ref="F1:F2"/>
    <mergeCell ref="E1:E2"/>
    <mergeCell ref="D1:D2"/>
    <mergeCell ref="C1:C2"/>
    <mergeCell ref="B1:B2"/>
    <mergeCell ref="G1:J1"/>
    <mergeCell ref="T1:W1"/>
    <mergeCell ref="P1:S1"/>
    <mergeCell ref="K1:O1"/>
    <mergeCell ref="AC1:AF1"/>
  </mergeCells>
  <pageMargins left="0.7" right="0.7" top="0.75" bottom="0.75" header="0.3" footer="0.3"/>
  <pageSetup paperSize="8" scale="77" orientation="landscape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B3450C1-9475-452E-A9DC-4BEC50F9425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9</vt:i4>
      </vt:variant>
      <vt:variant>
        <vt:lpstr>Plages nommées</vt:lpstr>
      </vt:variant>
      <vt:variant>
        <vt:i4>1</vt:i4>
      </vt:variant>
    </vt:vector>
  </HeadingPairs>
  <TitlesOfParts>
    <vt:vector size="10" baseType="lpstr">
      <vt:lpstr>Equipe chantier</vt:lpstr>
      <vt:lpstr>LISTE CHANTIERS</vt:lpstr>
      <vt:lpstr>PLANNING GENERAL</vt:lpstr>
      <vt:lpstr>avancement syaden phase 2</vt:lpstr>
      <vt:lpstr>planning 1</vt:lpstr>
      <vt:lpstr>avancement syaden lot 1</vt:lpstr>
      <vt:lpstr>planning 2</vt:lpstr>
      <vt:lpstr>avancement syaden lot 2</vt:lpstr>
      <vt:lpstr>planning 3</vt:lpstr>
      <vt:lpstr>'planning 3'!Zone_d_impression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CABROL Näthan</dc:creator>
  <cp:lastModifiedBy>DUTERTE Martin</cp:lastModifiedBy>
  <cp:lastPrinted>2023-11-02T07:31:11Z</cp:lastPrinted>
  <dcterms:created xsi:type="dcterms:W3CDTF">2023-10-13T12:45:22Z</dcterms:created>
  <dcterms:modified xsi:type="dcterms:W3CDTF">2023-12-12T08:54:25Z</dcterms:modified>
</cp:coreProperties>
</file>