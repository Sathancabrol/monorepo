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Partage\CREATION ENTREPRISE\"/>
    </mc:Choice>
  </mc:AlternateContent>
  <bookViews>
    <workbookView xWindow="0" yWindow="0" windowWidth="25200" windowHeight="11250" activeTab="1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5" i="2" l="1"/>
  <c r="D9" i="1" l="1"/>
  <c r="E33" i="2"/>
  <c r="D17" i="2"/>
  <c r="D33" i="2" s="1"/>
</calcChain>
</file>

<file path=xl/sharedStrings.xml><?xml version="1.0" encoding="utf-8"?>
<sst xmlns="http://schemas.openxmlformats.org/spreadsheetml/2006/main" count="117" uniqueCount="93">
  <si>
    <t>Chef de chantier</t>
  </si>
  <si>
    <t>Manœuvre</t>
  </si>
  <si>
    <t>Chauffeur d'engins</t>
  </si>
  <si>
    <t>OHQ</t>
  </si>
  <si>
    <t>TOTAL</t>
  </si>
  <si>
    <t>type de salarie</t>
  </si>
  <si>
    <t>nombre</t>
  </si>
  <si>
    <t>Chef d'équipe</t>
  </si>
  <si>
    <t>Chauffeur camion</t>
  </si>
  <si>
    <t>Niveleuse</t>
  </si>
  <si>
    <t>type</t>
  </si>
  <si>
    <t>Marque</t>
  </si>
  <si>
    <t>Modèle</t>
  </si>
  <si>
    <t>Coût journalier total</t>
  </si>
  <si>
    <t>Coût majoré</t>
  </si>
  <si>
    <t>Pelle à chenille</t>
  </si>
  <si>
    <t>VOLVO</t>
  </si>
  <si>
    <t>EC 200-D</t>
  </si>
  <si>
    <t>Pelle à pneu</t>
  </si>
  <si>
    <t>ECR48 C</t>
  </si>
  <si>
    <t>Mini pelle</t>
  </si>
  <si>
    <t>CATERPILLAR</t>
  </si>
  <si>
    <t>M316 C</t>
  </si>
  <si>
    <t>Mecalac 12MxT</t>
  </si>
  <si>
    <t>MECALAC</t>
  </si>
  <si>
    <t>12 MTX</t>
  </si>
  <si>
    <t>CAT 12M</t>
  </si>
  <si>
    <t>836CAWD</t>
  </si>
  <si>
    <t>Bouille</t>
  </si>
  <si>
    <t>ACMAR</t>
  </si>
  <si>
    <t>PATA</t>
  </si>
  <si>
    <t>RENAULT</t>
  </si>
  <si>
    <t xml:space="preserve">320 DCI </t>
  </si>
  <si>
    <t>Finisseur</t>
  </si>
  <si>
    <t>Dynapac</t>
  </si>
  <si>
    <t>SD2500CS</t>
  </si>
  <si>
    <t>Compacteur monobille vibrant V3-V5</t>
  </si>
  <si>
    <t>Caterpillar</t>
  </si>
  <si>
    <t xml:space="preserve"> CS663E</t>
  </si>
  <si>
    <t xml:space="preserve">Compacteur à pneu </t>
  </si>
  <si>
    <t xml:space="preserve"> PS 300 B</t>
  </si>
  <si>
    <t>Compacteur tandem</t>
  </si>
  <si>
    <t xml:space="preserve"> Bomag</t>
  </si>
  <si>
    <t xml:space="preserve">BW100 AD-3 </t>
  </si>
  <si>
    <t>Compacteur tandem VT</t>
  </si>
  <si>
    <t xml:space="preserve"> CC422</t>
  </si>
  <si>
    <t>Compacteur à pieds de mouton</t>
  </si>
  <si>
    <t>ammann</t>
  </si>
  <si>
    <t>Rammax 1575</t>
  </si>
  <si>
    <t>Plaque vibrante</t>
  </si>
  <si>
    <t>Ammann</t>
  </si>
  <si>
    <t>APR 59/20</t>
  </si>
  <si>
    <t>Plaque vibrante 70Kg</t>
  </si>
  <si>
    <t>Mikasa</t>
  </si>
  <si>
    <t>MCV F 60R</t>
  </si>
  <si>
    <t>Tronçonneuse thermique</t>
  </si>
  <si>
    <t>STHIL</t>
  </si>
  <si>
    <t>TS420</t>
  </si>
  <si>
    <t>Groupe électrogène</t>
  </si>
  <si>
    <t>MW Tools</t>
  </si>
  <si>
    <t>BG65ED</t>
  </si>
  <si>
    <t>Marteau piqueur électrique</t>
  </si>
  <si>
    <t>MILWAUKEE</t>
  </si>
  <si>
    <t>K1528H</t>
  </si>
  <si>
    <t>Gravillonneur</t>
  </si>
  <si>
    <t>CTP</t>
  </si>
  <si>
    <t xml:space="preserve"> CONCERTO22</t>
  </si>
  <si>
    <t>Fourgon tolé 7pl</t>
  </si>
  <si>
    <t>citroen</t>
  </si>
  <si>
    <t xml:space="preserve">jumper </t>
  </si>
  <si>
    <t>iveco</t>
  </si>
  <si>
    <t>daily 35C14V1</t>
  </si>
  <si>
    <t>Fourgon benne</t>
  </si>
  <si>
    <t>renault</t>
  </si>
  <si>
    <t>master 145.35</t>
  </si>
  <si>
    <t>Fourgon coffre</t>
  </si>
  <si>
    <t>145cv</t>
  </si>
  <si>
    <t>165cv</t>
  </si>
  <si>
    <t>Camion grue 4x2</t>
  </si>
  <si>
    <t>eurocargo</t>
  </si>
  <si>
    <t>camion bi-benne 6x4</t>
  </si>
  <si>
    <t xml:space="preserve">kerax 410 </t>
  </si>
  <si>
    <t>camion bi-benne 8x4</t>
  </si>
  <si>
    <t>jocquin gamme C</t>
  </si>
  <si>
    <t>Tracteur 6x4</t>
  </si>
  <si>
    <t>man</t>
  </si>
  <si>
    <t>FH16 600</t>
  </si>
  <si>
    <t>Remorque benne</t>
  </si>
  <si>
    <t>benalu</t>
  </si>
  <si>
    <t>Remorque plateau</t>
  </si>
  <si>
    <t>Ozgul</t>
  </si>
  <si>
    <t>LW4 hydraulic ramps EU</t>
  </si>
  <si>
    <t>total par 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</si>
</sst>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)\ &quot;€&quot;_ ;_ * \(#,##0.00\)\ &quot;€&quot;_ ;_ * &quot;-&quot;??_)\ &quot;€&quot;_ ;_ @_ "/>
    <numFmt numFmtId="165" formatCode="_-* #,##0.00\ [$€-40C]_-;\-* #,##0.00\ [$€-40C]_-;_-* &quot;-&quot;??\ [$€-40C]_-;_-@_-"/>
  </numFmts>
  <fonts count="11" x14ac:knownFonts="1">
    <font>
      <sz val="11"/>
      <color theme="1"/>
      <name val="Calibri"/>
      <family val="2"/>
      <scheme val="minor"/>
    </font>
    <font>
      <b/>
      <i/>
      <u/>
      <sz val="18"/>
      <color rgb="FF00B050"/>
      <name val="Calibri"/>
      <family val="2"/>
      <scheme val="minor"/>
    </font>
    <font>
      <i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5" fontId="3" fillId="0" borderId="1" xfId="0" applyNumberFormat="1" applyFont="1" applyBorder="1"/>
    <xf numFmtId="165" fontId="0" fillId="0" borderId="0" xfId="0" applyNumberForma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2" borderId="1" xfId="0" applyFill="1" applyBorder="1"/>
    <xf numFmtId="165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2" borderId="1" xfId="0" applyFont="1" applyFill="1" applyBorder="1"/>
    <xf numFmtId="165" fontId="8" fillId="0" borderId="2" xfId="0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 wrapText="1"/>
    </xf>
    <xf numFmtId="165" fontId="8" fillId="0" borderId="3" xfId="0" applyNumberFormat="1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center" vertical="center" wrapText="1"/>
    </xf>
    <xf numFmtId="165" fontId="8" fillId="0" borderId="2" xfId="0" applyNumberFormat="1" applyFont="1" applyBorder="1" applyAlignment="1">
      <alignment horizontal="center" vertical="center"/>
    </xf>
    <xf numFmtId="165" fontId="8" fillId="0" borderId="2" xfId="0" applyNumberFormat="1" applyFont="1" applyBorder="1"/>
    <xf numFmtId="165" fontId="10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70" zoomScaleNormal="70" workbookViewId="0">
      <selection activeCell="A10" sqref="A1:D10"/>
    </sheetView>
  </sheetViews>
  <sheetFormatPr baseColWidth="10" defaultRowHeight="15" x14ac:dyDescent="0.25"/>
  <cols>
    <col min="1" max="1" width="30.28515625" bestFit="1" customWidth="1"/>
    <col min="2" max="2" width="16.28515625" bestFit="1" customWidth="1"/>
    <col min="3" max="3" width="22.42578125" bestFit="1" customWidth="1"/>
    <col min="4" max="4" width="22.42578125" style="10" bestFit="1" customWidth="1"/>
  </cols>
  <sheetData>
    <row r="1" spans="1:4" ht="23.25" x14ac:dyDescent="0.35">
      <c r="A1" s="2" t="s">
        <v>5</v>
      </c>
      <c r="B1" s="3" t="s">
        <v>6</v>
      </c>
      <c r="C1" s="2" t="s">
        <v>92</v>
      </c>
      <c r="D1" s="9" t="s">
        <v>14</v>
      </c>
    </row>
    <row r="2" spans="1:4" ht="23.25" x14ac:dyDescent="0.35">
      <c r="A2" s="4" t="s">
        <v>0</v>
      </c>
      <c r="B2" s="1">
        <v>4</v>
      </c>
      <c r="C2" s="5">
        <v>238.05728070175439</v>
      </c>
      <c r="D2" s="9">
        <v>275</v>
      </c>
    </row>
    <row r="3" spans="1:4" ht="23.25" x14ac:dyDescent="0.35">
      <c r="A3" s="4" t="s">
        <v>7</v>
      </c>
      <c r="B3" s="1">
        <v>2</v>
      </c>
      <c r="C3" s="5">
        <v>189.10333333333332</v>
      </c>
      <c r="D3" s="9">
        <v>200</v>
      </c>
    </row>
    <row r="4" spans="1:4" ht="23.25" x14ac:dyDescent="0.35">
      <c r="A4" s="4" t="s">
        <v>3</v>
      </c>
      <c r="B4" s="1">
        <v>8</v>
      </c>
      <c r="C4" s="5">
        <v>160.38644736842105</v>
      </c>
      <c r="D4" s="9">
        <v>180</v>
      </c>
    </row>
    <row r="5" spans="1:4" ht="23.25" x14ac:dyDescent="0.35">
      <c r="A5" s="4" t="s">
        <v>2</v>
      </c>
      <c r="B5" s="1">
        <v>9</v>
      </c>
      <c r="C5" s="5">
        <v>155.99660818713448</v>
      </c>
      <c r="D5" s="9">
        <v>175</v>
      </c>
    </row>
    <row r="6" spans="1:4" ht="23.25" x14ac:dyDescent="0.35">
      <c r="A6" s="4" t="s">
        <v>8</v>
      </c>
      <c r="B6" s="1">
        <v>10</v>
      </c>
      <c r="C6" s="5">
        <v>147.80333333333334</v>
      </c>
      <c r="D6" s="9">
        <v>160</v>
      </c>
    </row>
    <row r="7" spans="1:4" ht="23.25" x14ac:dyDescent="0.35">
      <c r="A7" s="4" t="s">
        <v>9</v>
      </c>
      <c r="B7" s="1">
        <v>1</v>
      </c>
      <c r="C7" s="5">
        <v>189.1033333333333</v>
      </c>
      <c r="D7" s="9">
        <v>190</v>
      </c>
    </row>
    <row r="8" spans="1:4" ht="23.25" x14ac:dyDescent="0.35">
      <c r="A8" s="4" t="s">
        <v>1</v>
      </c>
      <c r="B8" s="1">
        <v>8</v>
      </c>
      <c r="C8" s="5">
        <v>144.43228070175439</v>
      </c>
      <c r="D8" s="9">
        <v>155</v>
      </c>
    </row>
    <row r="9" spans="1:4" ht="23.25" x14ac:dyDescent="0.35">
      <c r="A9" s="1" t="s">
        <v>4</v>
      </c>
      <c r="B9" s="1">
        <v>42</v>
      </c>
      <c r="C9" s="5">
        <v>1224.8826169590643</v>
      </c>
      <c r="D9" s="9">
        <f>SUM(D2:D8)</f>
        <v>1335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zoomScale="70" zoomScaleNormal="70" workbookViewId="0">
      <selection activeCell="I44" sqref="I44"/>
    </sheetView>
  </sheetViews>
  <sheetFormatPr baseColWidth="10" defaultRowHeight="15" x14ac:dyDescent="0.25"/>
  <cols>
    <col min="1" max="1" width="43.85546875" bestFit="1" customWidth="1"/>
    <col min="2" max="2" width="16.85546875" customWidth="1"/>
    <col min="3" max="3" width="29.28515625" customWidth="1"/>
    <col min="4" max="4" width="20.42578125" customWidth="1"/>
    <col min="5" max="5" width="22" customWidth="1"/>
  </cols>
  <sheetData>
    <row r="1" spans="1:5" ht="38.25" thickBot="1" x14ac:dyDescent="0.3">
      <c r="A1" s="6" t="s">
        <v>10</v>
      </c>
      <c r="B1" s="6" t="s">
        <v>11</v>
      </c>
      <c r="C1" s="6" t="s">
        <v>12</v>
      </c>
      <c r="D1" s="6" t="s">
        <v>13</v>
      </c>
      <c r="E1" s="14" t="s">
        <v>14</v>
      </c>
    </row>
    <row r="2" spans="1:5" ht="21.75" thickBot="1" x14ac:dyDescent="0.3">
      <c r="A2" s="6" t="s">
        <v>15</v>
      </c>
      <c r="B2" s="7" t="s">
        <v>16</v>
      </c>
      <c r="C2" s="7" t="s">
        <v>17</v>
      </c>
      <c r="D2" s="18">
        <v>336.57</v>
      </c>
      <c r="E2" s="18">
        <v>350</v>
      </c>
    </row>
    <row r="3" spans="1:5" ht="21.75" thickBot="1" x14ac:dyDescent="0.3">
      <c r="A3" s="6" t="s">
        <v>18</v>
      </c>
      <c r="B3" s="7" t="s">
        <v>16</v>
      </c>
      <c r="C3" s="7" t="s">
        <v>19</v>
      </c>
      <c r="D3" s="18">
        <v>310.47000000000003</v>
      </c>
      <c r="E3" s="18">
        <v>320</v>
      </c>
    </row>
    <row r="4" spans="1:5" ht="21.75" thickBot="1" x14ac:dyDescent="0.3">
      <c r="A4" s="6" t="s">
        <v>20</v>
      </c>
      <c r="B4" s="7" t="s">
        <v>21</v>
      </c>
      <c r="C4" s="7" t="s">
        <v>22</v>
      </c>
      <c r="D4" s="18">
        <v>117.23399999999999</v>
      </c>
      <c r="E4" s="18">
        <v>120</v>
      </c>
    </row>
    <row r="5" spans="1:5" ht="21.75" thickBot="1" x14ac:dyDescent="0.3">
      <c r="A5" s="6" t="s">
        <v>23</v>
      </c>
      <c r="B5" s="7" t="s">
        <v>24</v>
      </c>
      <c r="C5" s="7" t="s">
        <v>25</v>
      </c>
      <c r="D5" s="18">
        <v>519.15</v>
      </c>
      <c r="E5" s="18">
        <v>530</v>
      </c>
    </row>
    <row r="6" spans="1:5" ht="21.75" thickBot="1" x14ac:dyDescent="0.3">
      <c r="A6" s="6" t="s">
        <v>9</v>
      </c>
      <c r="B6" s="7" t="s">
        <v>26</v>
      </c>
      <c r="C6" s="7" t="s">
        <v>27</v>
      </c>
      <c r="D6" s="18">
        <v>370.26666666666665</v>
      </c>
      <c r="E6" s="18">
        <v>380</v>
      </c>
    </row>
    <row r="7" spans="1:5" ht="21.75" thickBot="1" x14ac:dyDescent="0.3">
      <c r="A7" s="6" t="s">
        <v>28</v>
      </c>
      <c r="B7" s="7" t="s">
        <v>29</v>
      </c>
      <c r="C7" s="7">
        <v>11500</v>
      </c>
      <c r="D7" s="18">
        <v>355.05066666666664</v>
      </c>
      <c r="E7" s="18">
        <v>355</v>
      </c>
    </row>
    <row r="8" spans="1:5" ht="21.75" thickBot="1" x14ac:dyDescent="0.3">
      <c r="A8" s="6" t="s">
        <v>30</v>
      </c>
      <c r="B8" s="7" t="s">
        <v>31</v>
      </c>
      <c r="C8" s="7" t="s">
        <v>32</v>
      </c>
      <c r="D8" s="18">
        <v>353.65066666666667</v>
      </c>
      <c r="E8" s="18">
        <v>355</v>
      </c>
    </row>
    <row r="9" spans="1:5" ht="21.75" thickBot="1" x14ac:dyDescent="0.3">
      <c r="A9" s="6" t="s">
        <v>33</v>
      </c>
      <c r="B9" s="7" t="s">
        <v>34</v>
      </c>
      <c r="C9" s="7" t="s">
        <v>35</v>
      </c>
      <c r="D9" s="18">
        <v>476.34352941176468</v>
      </c>
      <c r="E9" s="18">
        <v>490</v>
      </c>
    </row>
    <row r="10" spans="1:5" ht="38.25" thickBot="1" x14ac:dyDescent="0.3">
      <c r="A10" s="6" t="s">
        <v>36</v>
      </c>
      <c r="B10" s="7" t="s">
        <v>37</v>
      </c>
      <c r="C10" s="7" t="s">
        <v>38</v>
      </c>
      <c r="D10" s="18">
        <v>320.83875</v>
      </c>
      <c r="E10" s="18">
        <v>325</v>
      </c>
    </row>
    <row r="11" spans="1:5" ht="21.75" thickBot="1" x14ac:dyDescent="0.3">
      <c r="A11" s="6" t="s">
        <v>39</v>
      </c>
      <c r="B11" s="7" t="s">
        <v>37</v>
      </c>
      <c r="C11" s="7" t="s">
        <v>40</v>
      </c>
      <c r="D11" s="18">
        <v>700.8</v>
      </c>
      <c r="E11" s="18">
        <v>700</v>
      </c>
    </row>
    <row r="12" spans="1:5" ht="21.75" thickBot="1" x14ac:dyDescent="0.3">
      <c r="A12" s="6" t="s">
        <v>41</v>
      </c>
      <c r="B12" s="7" t="s">
        <v>42</v>
      </c>
      <c r="C12" s="7" t="s">
        <v>43</v>
      </c>
      <c r="D12" s="18">
        <v>103.43625</v>
      </c>
      <c r="E12" s="18">
        <v>105</v>
      </c>
    </row>
    <row r="13" spans="1:5" ht="21.75" thickBot="1" x14ac:dyDescent="0.3">
      <c r="A13" s="6" t="s">
        <v>44</v>
      </c>
      <c r="B13" s="7" t="s">
        <v>34</v>
      </c>
      <c r="C13" s="7" t="s">
        <v>45</v>
      </c>
      <c r="D13" s="18">
        <v>235.32999999999998</v>
      </c>
      <c r="E13" s="18">
        <v>250</v>
      </c>
    </row>
    <row r="14" spans="1:5" ht="21.75" thickBot="1" x14ac:dyDescent="0.3">
      <c r="A14" s="6" t="s">
        <v>46</v>
      </c>
      <c r="B14" s="7" t="s">
        <v>47</v>
      </c>
      <c r="C14" s="7" t="s">
        <v>48</v>
      </c>
      <c r="D14" s="18">
        <v>37.119999999999997</v>
      </c>
      <c r="E14" s="18">
        <v>50</v>
      </c>
    </row>
    <row r="15" spans="1:5" ht="21.75" thickBot="1" x14ac:dyDescent="0.3">
      <c r="A15" s="6" t="s">
        <v>49</v>
      </c>
      <c r="B15" s="7" t="s">
        <v>50</v>
      </c>
      <c r="C15" s="7" t="s">
        <v>51</v>
      </c>
      <c r="D15" s="18">
        <v>33.770000000000003</v>
      </c>
      <c r="E15" s="18">
        <v>50</v>
      </c>
    </row>
    <row r="16" spans="1:5" ht="21.75" thickBot="1" x14ac:dyDescent="0.3">
      <c r="A16" s="6" t="s">
        <v>52</v>
      </c>
      <c r="B16" s="8" t="s">
        <v>53</v>
      </c>
      <c r="C16" s="8" t="s">
        <v>54</v>
      </c>
      <c r="D16" s="22">
        <v>4.7</v>
      </c>
      <c r="E16" s="19">
        <v>15</v>
      </c>
    </row>
    <row r="17" spans="1:5" ht="21.75" thickBot="1" x14ac:dyDescent="0.3">
      <c r="A17" s="6" t="s">
        <v>55</v>
      </c>
      <c r="B17" s="8" t="s">
        <v>56</v>
      </c>
      <c r="C17" s="8" t="s">
        <v>57</v>
      </c>
      <c r="D17" s="22">
        <f>13.8/5</f>
        <v>2.7600000000000002</v>
      </c>
      <c r="E17" s="19"/>
    </row>
    <row r="18" spans="1:5" ht="21.75" thickBot="1" x14ac:dyDescent="0.3">
      <c r="A18" s="6" t="s">
        <v>58</v>
      </c>
      <c r="B18" s="8" t="s">
        <v>59</v>
      </c>
      <c r="C18" s="8" t="s">
        <v>60</v>
      </c>
      <c r="D18" s="22">
        <v>18.75</v>
      </c>
      <c r="E18" s="19">
        <v>50</v>
      </c>
    </row>
    <row r="19" spans="1:5" ht="21.75" thickBot="1" x14ac:dyDescent="0.3">
      <c r="A19" s="6" t="s">
        <v>61</v>
      </c>
      <c r="B19" s="8" t="s">
        <v>62</v>
      </c>
      <c r="C19" s="8" t="s">
        <v>63</v>
      </c>
      <c r="D19" s="22">
        <v>14.37</v>
      </c>
      <c r="E19" s="19"/>
    </row>
    <row r="20" spans="1:5" ht="21.75" thickBot="1" x14ac:dyDescent="0.3">
      <c r="A20" s="6" t="s">
        <v>64</v>
      </c>
      <c r="B20" s="8" t="s">
        <v>65</v>
      </c>
      <c r="C20" s="8" t="s">
        <v>66</v>
      </c>
      <c r="D20" s="22">
        <v>12.1</v>
      </c>
      <c r="E20" s="18">
        <v>20</v>
      </c>
    </row>
    <row r="21" spans="1:5" ht="21.75" thickBot="1" x14ac:dyDescent="0.4">
      <c r="A21" s="15" t="s">
        <v>67</v>
      </c>
      <c r="B21" s="8" t="s">
        <v>68</v>
      </c>
      <c r="C21" s="8" t="s">
        <v>69</v>
      </c>
      <c r="D21" s="23">
        <v>38.93</v>
      </c>
      <c r="E21" s="18">
        <v>65</v>
      </c>
    </row>
    <row r="22" spans="1:5" ht="21.75" thickBot="1" x14ac:dyDescent="0.3">
      <c r="A22" s="15"/>
      <c r="B22" s="8" t="s">
        <v>70</v>
      </c>
      <c r="C22" s="8" t="s">
        <v>71</v>
      </c>
      <c r="D22" s="18">
        <v>44.46</v>
      </c>
      <c r="E22" s="18">
        <v>65</v>
      </c>
    </row>
    <row r="23" spans="1:5" ht="21.75" thickBot="1" x14ac:dyDescent="0.3">
      <c r="A23" s="15" t="s">
        <v>72</v>
      </c>
      <c r="B23" s="8" t="s">
        <v>73</v>
      </c>
      <c r="C23" s="8" t="s">
        <v>74</v>
      </c>
      <c r="D23" s="18">
        <v>47.67</v>
      </c>
      <c r="E23" s="18">
        <v>70</v>
      </c>
    </row>
    <row r="24" spans="1:5" ht="21.75" thickBot="1" x14ac:dyDescent="0.3">
      <c r="A24" s="15"/>
      <c r="B24" s="8" t="s">
        <v>73</v>
      </c>
      <c r="C24" s="8" t="s">
        <v>74</v>
      </c>
      <c r="D24" s="18">
        <v>46.79</v>
      </c>
      <c r="E24" s="18">
        <v>70</v>
      </c>
    </row>
    <row r="25" spans="1:5" ht="21.75" thickBot="1" x14ac:dyDescent="0.3">
      <c r="A25" s="15" t="s">
        <v>75</v>
      </c>
      <c r="B25" s="8" t="s">
        <v>73</v>
      </c>
      <c r="C25" s="8" t="s">
        <v>76</v>
      </c>
      <c r="D25" s="18">
        <v>48.38</v>
      </c>
      <c r="E25" s="18">
        <v>75</v>
      </c>
    </row>
    <row r="26" spans="1:5" ht="21.75" thickBot="1" x14ac:dyDescent="0.3">
      <c r="A26" s="15"/>
      <c r="B26" s="8" t="s">
        <v>73</v>
      </c>
      <c r="C26" s="8" t="s">
        <v>77</v>
      </c>
      <c r="D26" s="18">
        <v>47.5</v>
      </c>
      <c r="E26" s="18">
        <v>75</v>
      </c>
    </row>
    <row r="27" spans="1:5" ht="21.75" thickBot="1" x14ac:dyDescent="0.3">
      <c r="A27" s="6" t="s">
        <v>78</v>
      </c>
      <c r="B27" s="8" t="s">
        <v>70</v>
      </c>
      <c r="C27" s="8" t="s">
        <v>79</v>
      </c>
      <c r="D27" s="18">
        <v>370.31</v>
      </c>
      <c r="E27" s="18">
        <v>385</v>
      </c>
    </row>
    <row r="28" spans="1:5" ht="21.75" thickBot="1" x14ac:dyDescent="0.3">
      <c r="A28" s="6" t="s">
        <v>80</v>
      </c>
      <c r="B28" s="8" t="s">
        <v>73</v>
      </c>
      <c r="C28" s="8" t="s">
        <v>81</v>
      </c>
      <c r="D28" s="18">
        <v>353.86</v>
      </c>
      <c r="E28" s="18">
        <v>385</v>
      </c>
    </row>
    <row r="29" spans="1:5" ht="21.75" thickBot="1" x14ac:dyDescent="0.3">
      <c r="A29" s="6" t="s">
        <v>82</v>
      </c>
      <c r="B29" s="8" t="s">
        <v>73</v>
      </c>
      <c r="C29" s="8" t="s">
        <v>83</v>
      </c>
      <c r="D29" s="18">
        <v>385.62</v>
      </c>
      <c r="E29" s="18">
        <v>385</v>
      </c>
    </row>
    <row r="30" spans="1:5" ht="21.75" thickBot="1" x14ac:dyDescent="0.3">
      <c r="A30" s="6" t="s">
        <v>84</v>
      </c>
      <c r="B30" s="8" t="s">
        <v>85</v>
      </c>
      <c r="C30" s="8" t="s">
        <v>86</v>
      </c>
      <c r="D30" s="18">
        <v>195.81</v>
      </c>
      <c r="E30" s="18">
        <v>195</v>
      </c>
    </row>
    <row r="31" spans="1:5" ht="21.75" thickBot="1" x14ac:dyDescent="0.3">
      <c r="A31" s="6" t="s">
        <v>87</v>
      </c>
      <c r="B31" s="8" t="s">
        <v>88</v>
      </c>
      <c r="C31" s="8"/>
      <c r="D31" s="18">
        <v>22.88</v>
      </c>
      <c r="E31" s="18">
        <v>55</v>
      </c>
    </row>
    <row r="32" spans="1:5" ht="21" x14ac:dyDescent="0.25">
      <c r="A32" s="16" t="s">
        <v>89</v>
      </c>
      <c r="B32" s="11" t="s">
        <v>90</v>
      </c>
      <c r="C32" s="12" t="s">
        <v>91</v>
      </c>
      <c r="D32" s="20">
        <v>45.06</v>
      </c>
      <c r="E32" s="20">
        <v>55</v>
      </c>
    </row>
    <row r="33" spans="1:5" ht="21" x14ac:dyDescent="0.25">
      <c r="A33" s="17"/>
      <c r="B33" s="13"/>
      <c r="C33" s="13"/>
      <c r="D33" s="24">
        <f>SUM(D2:D32)</f>
        <v>5969.9805294117668</v>
      </c>
      <c r="E33" s="21">
        <f>SUM(E2:E32)</f>
        <v>6345</v>
      </c>
    </row>
    <row r="37" spans="1:5" ht="23.25" x14ac:dyDescent="0.35">
      <c r="A37" s="2" t="s">
        <v>5</v>
      </c>
      <c r="B37" s="3" t="s">
        <v>6</v>
      </c>
      <c r="C37" s="2" t="s">
        <v>92</v>
      </c>
      <c r="D37" s="9" t="s">
        <v>14</v>
      </c>
    </row>
    <row r="38" spans="1:5" ht="23.25" x14ac:dyDescent="0.35">
      <c r="A38" s="4" t="s">
        <v>0</v>
      </c>
      <c r="B38" s="1">
        <v>4</v>
      </c>
      <c r="C38" s="5">
        <v>238.05728070175439</v>
      </c>
      <c r="D38" s="9">
        <v>275</v>
      </c>
    </row>
    <row r="39" spans="1:5" ht="23.25" x14ac:dyDescent="0.35">
      <c r="A39" s="4" t="s">
        <v>7</v>
      </c>
      <c r="B39" s="1">
        <v>2</v>
      </c>
      <c r="C39" s="5">
        <v>189.10333333333332</v>
      </c>
      <c r="D39" s="9">
        <v>200</v>
      </c>
    </row>
    <row r="40" spans="1:5" ht="23.25" x14ac:dyDescent="0.35">
      <c r="A40" s="4" t="s">
        <v>3</v>
      </c>
      <c r="B40" s="1">
        <v>8</v>
      </c>
      <c r="C40" s="5">
        <v>160.38644736842105</v>
      </c>
      <c r="D40" s="9">
        <v>180</v>
      </c>
    </row>
    <row r="41" spans="1:5" ht="23.25" x14ac:dyDescent="0.35">
      <c r="A41" s="4" t="s">
        <v>2</v>
      </c>
      <c r="B41" s="1">
        <v>9</v>
      </c>
      <c r="C41" s="5">
        <v>155.99660818713448</v>
      </c>
      <c r="D41" s="9">
        <v>175</v>
      </c>
    </row>
    <row r="42" spans="1:5" ht="23.25" x14ac:dyDescent="0.35">
      <c r="A42" s="4" t="s">
        <v>8</v>
      </c>
      <c r="B42" s="1">
        <v>10</v>
      </c>
      <c r="C42" s="5">
        <v>147.80333333333334</v>
      </c>
      <c r="D42" s="9">
        <v>160</v>
      </c>
    </row>
    <row r="43" spans="1:5" ht="23.25" x14ac:dyDescent="0.35">
      <c r="A43" s="4" t="s">
        <v>9</v>
      </c>
      <c r="B43" s="1">
        <v>1</v>
      </c>
      <c r="C43" s="5">
        <v>189.1033333333333</v>
      </c>
      <c r="D43" s="9">
        <v>190</v>
      </c>
    </row>
    <row r="44" spans="1:5" ht="23.25" x14ac:dyDescent="0.35">
      <c r="A44" s="4" t="s">
        <v>1</v>
      </c>
      <c r="B44" s="1">
        <v>8</v>
      </c>
      <c r="C44" s="5">
        <v>144.43228070175439</v>
      </c>
      <c r="D44" s="9">
        <v>155</v>
      </c>
    </row>
    <row r="45" spans="1:5" ht="23.25" x14ac:dyDescent="0.35">
      <c r="A45" s="1" t="s">
        <v>4</v>
      </c>
      <c r="B45" s="1">
        <v>42</v>
      </c>
      <c r="C45" s="5">
        <v>1224.8826169590643</v>
      </c>
      <c r="D45" s="9">
        <f>SUM(D38:D44)</f>
        <v>1335</v>
      </c>
    </row>
    <row r="46" spans="1:5" x14ac:dyDescent="0.25">
      <c r="D46" s="10"/>
    </row>
  </sheetData>
  <mergeCells count="5">
    <mergeCell ref="E16:E17"/>
    <mergeCell ref="E18:E19"/>
    <mergeCell ref="A21:A22"/>
    <mergeCell ref="A23:A24"/>
    <mergeCell ref="A25:A26"/>
  </mergeCells>
  <conditionalFormatting sqref="A1:E33">
    <cfRule type="expression" dxfId="0" priority="1">
      <formula>MOD(ROW(),2)</formula>
    </cfRule>
  </conditionalFormatting>
  <pageMargins left="0.25" right="0.25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AFPA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31019-72-01</dc:creator>
  <cp:lastModifiedBy>31019-72-01</cp:lastModifiedBy>
  <cp:lastPrinted>2022-05-30T13:29:53Z</cp:lastPrinted>
  <dcterms:created xsi:type="dcterms:W3CDTF">2022-05-30T13:05:31Z</dcterms:created>
  <dcterms:modified xsi:type="dcterms:W3CDTF">2022-05-30T13:29:56Z</dcterms:modified>
</cp:coreProperties>
</file>