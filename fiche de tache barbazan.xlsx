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CDTTP - 21146 du 04_04_2022 au 24_02_2023\Documentation &amp; devoir\Création d'entreprise\CREATION ENTREPRISE\Giratoire BARBAZAN\a rendre\"/>
    </mc:Choice>
  </mc:AlternateContent>
  <bookViews>
    <workbookView minimized="1" xWindow="0" yWindow="0" windowWidth="25200" windowHeight="11250" tabRatio="879" firstSheet="24" activeTab="24"/>
  </bookViews>
  <sheets>
    <sheet name="5.arrchage arbre" sheetId="6" r:id="rId1"/>
    <sheet name="6.démo découpe chaussée" sheetId="7" r:id="rId2"/>
    <sheet name="7.sciage de chaussé" sheetId="8" r:id="rId3"/>
    <sheet name="8.rabottage" sheetId="9" r:id="rId4"/>
    <sheet name="9.démolition trottoir illot" sheetId="10" r:id="rId5"/>
    <sheet name="10.décapage terre végé" sheetId="11" r:id="rId6"/>
    <sheet name="11.remblai d'apport" sheetId="12" r:id="rId7"/>
    <sheet name="12.couche de reprofilage" sheetId="13" r:id="rId8"/>
    <sheet name="13.couche de fondation" sheetId="14" r:id="rId9"/>
    <sheet name="14.couche de réglage" sheetId="15" r:id="rId10"/>
    <sheet name="15.couche de roulement" sheetId="16" r:id="rId11"/>
    <sheet name="16.reprise terre végé" sheetId="17" r:id="rId12"/>
    <sheet name="17.bordure d'ilot type 1" sheetId="18" r:id="rId13"/>
    <sheet name="18.bordure d'ilot type 2" sheetId="19" r:id="rId14"/>
    <sheet name="20.trottoir" sheetId="21" r:id="rId15"/>
    <sheet name="19.CC1" sheetId="20" r:id="rId16"/>
    <sheet name="21.remplissage ilot béton" sheetId="22" r:id="rId17"/>
    <sheet name="22.confection galet giratoire" sheetId="23" r:id="rId18"/>
    <sheet name="23.ilot béton et galet garonne" sheetId="24" r:id="rId19"/>
    <sheet name="24.cunette" sheetId="25" r:id="rId20"/>
    <sheet name="25. regard 40x40" sheetId="26" r:id="rId21"/>
    <sheet name="26. gaine Ø110" sheetId="27" r:id="rId22"/>
    <sheet name="27. pvc Ø300" sheetId="4" r:id="rId23"/>
    <sheet name="28.glissire GS2" sheetId="28" r:id="rId24"/>
    <sheet name="Feuil1" sheetId="29" r:id="rId25"/>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9" i="29" l="1"/>
  <c r="N28" i="29"/>
  <c r="H4" i="28"/>
  <c r="B28" i="28"/>
  <c r="H27" i="4"/>
  <c r="H4" i="4"/>
  <c r="B23" i="27"/>
  <c r="H4" i="27"/>
  <c r="H4" i="26"/>
  <c r="H4" i="25"/>
  <c r="H26" i="25"/>
  <c r="H17" i="24"/>
  <c r="H21" i="24"/>
  <c r="H4" i="24"/>
  <c r="H21" i="23"/>
  <c r="H4" i="23"/>
  <c r="H23" i="22"/>
  <c r="H23" i="21"/>
  <c r="H4" i="20"/>
  <c r="H35" i="20"/>
  <c r="H36" i="20"/>
  <c r="H35" i="19"/>
  <c r="H4" i="19"/>
  <c r="H35" i="18"/>
  <c r="H4" i="18"/>
  <c r="E19" i="17"/>
  <c r="H4" i="17"/>
  <c r="B65" i="16"/>
  <c r="E65" i="16"/>
  <c r="E48" i="15" l="1"/>
  <c r="B48" i="15"/>
  <c r="B48" i="14"/>
  <c r="E48" i="14" s="1"/>
  <c r="E48" i="13"/>
  <c r="D48" i="13"/>
  <c r="B48" i="13"/>
  <c r="H40" i="15"/>
  <c r="H4" i="15"/>
  <c r="H4" i="14"/>
  <c r="H40" i="14"/>
  <c r="H38" i="13"/>
  <c r="H44" i="12"/>
  <c r="H42" i="12"/>
  <c r="H4" i="11"/>
  <c r="H22" i="11"/>
  <c r="H4" i="10"/>
  <c r="H18" i="10"/>
  <c r="H4" i="9"/>
  <c r="H4" i="8"/>
  <c r="B20" i="8"/>
  <c r="I29" i="29" l="1"/>
  <c r="J29" i="29"/>
  <c r="K29" i="29"/>
  <c r="L29" i="29"/>
  <c r="G4" i="29"/>
  <c r="H5" i="29"/>
  <c r="F4" i="29"/>
  <c r="E4" i="29"/>
  <c r="I10" i="29"/>
  <c r="J10" i="29" s="1"/>
  <c r="G16" i="29"/>
  <c r="H16" i="29" s="1"/>
  <c r="I25" i="29"/>
  <c r="H26" i="29"/>
  <c r="H19" i="29"/>
  <c r="G15" i="29"/>
  <c r="G5" i="29"/>
  <c r="G8" i="29"/>
  <c r="H8" i="29"/>
  <c r="E27" i="29"/>
  <c r="F27" i="29" s="1"/>
  <c r="F26" i="29"/>
  <c r="E26" i="29"/>
  <c r="D26" i="29"/>
  <c r="E25" i="29"/>
  <c r="F25" i="29" s="1"/>
  <c r="D25" i="29"/>
  <c r="E24" i="29"/>
  <c r="F24" i="29" s="1"/>
  <c r="D24" i="29"/>
  <c r="E23" i="29"/>
  <c r="F23" i="29" s="1"/>
  <c r="E22" i="29"/>
  <c r="F22" i="29" s="1"/>
  <c r="D22" i="29"/>
  <c r="E21" i="29"/>
  <c r="F21" i="29" s="1"/>
  <c r="D21" i="29"/>
  <c r="E20" i="29"/>
  <c r="F20" i="29" s="1"/>
  <c r="E19" i="29"/>
  <c r="F19" i="29" s="1"/>
  <c r="F18" i="29"/>
  <c r="E18" i="29"/>
  <c r="H18" i="29" s="1"/>
  <c r="D18" i="29"/>
  <c r="E17" i="29"/>
  <c r="F17" i="29" s="1"/>
  <c r="E16" i="29"/>
  <c r="F16" i="29" s="1"/>
  <c r="D16" i="29"/>
  <c r="E15" i="29"/>
  <c r="F15" i="29" s="1"/>
  <c r="E14" i="29"/>
  <c r="L14" i="29" s="1"/>
  <c r="E13" i="29"/>
  <c r="F13" i="29" s="1"/>
  <c r="D13" i="29"/>
  <c r="E12" i="29"/>
  <c r="F12" i="29" s="1"/>
  <c r="D12" i="29"/>
  <c r="E11" i="29"/>
  <c r="F11" i="29" s="1"/>
  <c r="D11" i="29"/>
  <c r="F10" i="29"/>
  <c r="E10" i="29"/>
  <c r="G10" i="29" s="1"/>
  <c r="D10" i="29"/>
  <c r="E9" i="29"/>
  <c r="F9" i="29" s="1"/>
  <c r="D9" i="29"/>
  <c r="E8" i="29"/>
  <c r="F8" i="29" s="1"/>
  <c r="D8" i="29"/>
  <c r="E7" i="29"/>
  <c r="J7" i="29" s="1"/>
  <c r="D7" i="29"/>
  <c r="E5" i="29"/>
  <c r="F5" i="29" s="1"/>
  <c r="D5" i="29"/>
  <c r="B20" i="27"/>
  <c r="B21" i="27"/>
  <c r="B22" i="27" s="1"/>
  <c r="H38" i="15"/>
  <c r="H38" i="14"/>
  <c r="H36" i="13"/>
  <c r="H37" i="13" s="1"/>
  <c r="B24" i="28"/>
  <c r="B26" i="28" s="1"/>
  <c r="B27" i="28" s="1"/>
  <c r="D27" i="29" s="1"/>
  <c r="B21" i="28"/>
  <c r="B21" i="4"/>
  <c r="B29" i="4"/>
  <c r="H25" i="4"/>
  <c r="B23" i="4"/>
  <c r="E22" i="4"/>
  <c r="B22" i="4"/>
  <c r="H18" i="4"/>
  <c r="H19" i="4" s="1"/>
  <c r="H20" i="4" s="1"/>
  <c r="E18" i="4"/>
  <c r="K12" i="29" l="1"/>
  <c r="I21" i="29"/>
  <c r="F7" i="29"/>
  <c r="F14" i="29"/>
  <c r="G9" i="29"/>
  <c r="H9" i="29" s="1"/>
  <c r="L27" i="29"/>
  <c r="L28" i="29" s="1"/>
  <c r="K11" i="29"/>
  <c r="J23" i="29"/>
  <c r="G22" i="29"/>
  <c r="H22" i="29" s="1"/>
  <c r="G20" i="29"/>
  <c r="H20" i="29" s="1"/>
  <c r="G17" i="29"/>
  <c r="H17" i="29" s="1"/>
  <c r="H24" i="29"/>
  <c r="K13" i="29"/>
  <c r="J28" i="29"/>
  <c r="H39" i="15"/>
  <c r="H39" i="14"/>
  <c r="B24" i="4"/>
  <c r="E19" i="4"/>
  <c r="E20" i="4" s="1"/>
  <c r="E23" i="4"/>
  <c r="E24" i="4" s="1"/>
  <c r="H24" i="4" s="1"/>
  <c r="H26" i="4" s="1"/>
  <c r="I22" i="29" l="1"/>
  <c r="I28" i="29" s="1"/>
  <c r="K28" i="29"/>
  <c r="E37" i="26"/>
  <c r="H23" i="25"/>
  <c r="B27" i="25"/>
  <c r="E26" i="25"/>
  <c r="E24" i="25"/>
  <c r="E22" i="25"/>
  <c r="E20" i="25"/>
  <c r="E18" i="25"/>
  <c r="B21" i="25"/>
  <c r="B22" i="25" s="1"/>
  <c r="B26" i="26"/>
  <c r="B21" i="26"/>
  <c r="E19" i="26"/>
  <c r="E22" i="26" s="1"/>
  <c r="B38" i="26" s="1"/>
  <c r="E38" i="26" s="1"/>
  <c r="B25" i="25" l="1"/>
  <c r="B26" i="25" s="1"/>
  <c r="B34" i="25" s="1"/>
  <c r="B33" i="25"/>
  <c r="E20" i="26"/>
  <c r="B28" i="25"/>
  <c r="B29" i="25" s="1"/>
  <c r="H22" i="25" s="1"/>
  <c r="H24" i="25" s="1"/>
  <c r="H25" i="25" s="1"/>
  <c r="D23" i="29" l="1"/>
  <c r="E29" i="24"/>
  <c r="E30" i="24" s="1"/>
  <c r="E27" i="24"/>
  <c r="B37" i="24" s="1"/>
  <c r="B25" i="24"/>
  <c r="E24" i="24"/>
  <c r="E23" i="24"/>
  <c r="E19" i="24"/>
  <c r="E20" i="24" s="1"/>
  <c r="B19" i="24"/>
  <c r="H18" i="24"/>
  <c r="B18" i="24"/>
  <c r="B20" i="24" s="1"/>
  <c r="B17" i="24"/>
  <c r="H18" i="23"/>
  <c r="H17" i="23"/>
  <c r="E30" i="23"/>
  <c r="E29" i="23"/>
  <c r="E24" i="23"/>
  <c r="E23" i="23"/>
  <c r="B25" i="23"/>
  <c r="B19" i="23"/>
  <c r="B18" i="23"/>
  <c r="E27" i="23" s="1"/>
  <c r="B37" i="23" s="1"/>
  <c r="B17" i="23"/>
  <c r="B27" i="22"/>
  <c r="H20" i="22"/>
  <c r="B20" i="22"/>
  <c r="E25" i="22" s="1"/>
  <c r="E26" i="22" s="1"/>
  <c r="B19" i="22"/>
  <c r="H20" i="21"/>
  <c r="B27" i="21"/>
  <c r="B38" i="20"/>
  <c r="B21" i="21"/>
  <c r="B19" i="21"/>
  <c r="B20" i="21"/>
  <c r="E21" i="21" s="1"/>
  <c r="E22" i="21" s="1"/>
  <c r="B34" i="20"/>
  <c r="B35" i="20"/>
  <c r="H20" i="19"/>
  <c r="B34" i="19"/>
  <c r="B35" i="19" s="1"/>
  <c r="B36" i="19" s="1"/>
  <c r="B60" i="20"/>
  <c r="E60" i="20" s="1"/>
  <c r="B57" i="20"/>
  <c r="B60" i="19"/>
  <c r="E60" i="19" s="1"/>
  <c r="B59" i="18"/>
  <c r="B24" i="18"/>
  <c r="B57" i="18" s="1"/>
  <c r="B34" i="18"/>
  <c r="B26" i="18" s="1"/>
  <c r="B27" i="19"/>
  <c r="B24" i="20"/>
  <c r="B31" i="20"/>
  <c r="B22" i="20"/>
  <c r="E25" i="20" s="1"/>
  <c r="E26" i="20" s="1"/>
  <c r="B22" i="19"/>
  <c r="H29" i="19" s="1"/>
  <c r="H30" i="19" s="1"/>
  <c r="B22" i="18"/>
  <c r="E61" i="20"/>
  <c r="D61" i="20"/>
  <c r="E57" i="20"/>
  <c r="E52" i="20"/>
  <c r="E49" i="20"/>
  <c r="E53" i="20" s="1"/>
  <c r="E39" i="20"/>
  <c r="E37" i="20"/>
  <c r="E40" i="20" s="1"/>
  <c r="H32" i="20"/>
  <c r="B32" i="20"/>
  <c r="B27" i="20"/>
  <c r="H24" i="20"/>
  <c r="H20" i="20"/>
  <c r="H22" i="20" s="1"/>
  <c r="H23" i="20" s="1"/>
  <c r="E61" i="19"/>
  <c r="D61" i="19"/>
  <c r="E52" i="19"/>
  <c r="E49" i="19"/>
  <c r="E53" i="19" s="1"/>
  <c r="E39" i="19"/>
  <c r="E37" i="19"/>
  <c r="H32" i="19"/>
  <c r="B31" i="19"/>
  <c r="B32" i="19" s="1"/>
  <c r="B33" i="19" s="1"/>
  <c r="E29" i="19"/>
  <c r="E30" i="19" s="1"/>
  <c r="E25" i="19"/>
  <c r="E26" i="19" s="1"/>
  <c r="H24" i="19"/>
  <c r="B24" i="19"/>
  <c r="B46" i="19" s="1"/>
  <c r="E34" i="19" s="1"/>
  <c r="E21" i="19"/>
  <c r="E22" i="19" s="1"/>
  <c r="H22" i="19"/>
  <c r="H23" i="19" s="1"/>
  <c r="E40" i="19" l="1"/>
  <c r="B26" i="19"/>
  <c r="B57" i="19"/>
  <c r="E57" i="19" s="1"/>
  <c r="B23" i="24"/>
  <c r="B24" i="24" s="1"/>
  <c r="B39" i="24" s="1"/>
  <c r="B38" i="24"/>
  <c r="E19" i="23"/>
  <c r="E20" i="23" s="1"/>
  <c r="B20" i="23"/>
  <c r="E21" i="22"/>
  <c r="E22" i="22" s="1"/>
  <c r="B22" i="22"/>
  <c r="E25" i="21"/>
  <c r="E26" i="21" s="1"/>
  <c r="B22" i="21"/>
  <c r="B28" i="19"/>
  <c r="B29" i="19" s="1"/>
  <c r="B39" i="19" s="1"/>
  <c r="B58" i="19" s="1"/>
  <c r="E29" i="20"/>
  <c r="E30" i="20" s="1"/>
  <c r="B36" i="20"/>
  <c r="E21" i="20"/>
  <c r="E22" i="20" s="1"/>
  <c r="H29" i="20"/>
  <c r="H30" i="20" s="1"/>
  <c r="E54" i="20"/>
  <c r="B33" i="20"/>
  <c r="E54" i="19"/>
  <c r="E41" i="19"/>
  <c r="B26" i="20"/>
  <c r="B28" i="20" s="1"/>
  <c r="H25" i="19"/>
  <c r="H26" i="19" s="1"/>
  <c r="E45" i="19"/>
  <c r="B25" i="21" l="1"/>
  <c r="B26" i="21" s="1"/>
  <c r="B35" i="21"/>
  <c r="B26" i="24"/>
  <c r="B27" i="24" s="1"/>
  <c r="H19" i="24" s="1"/>
  <c r="H20" i="24" s="1"/>
  <c r="B38" i="23"/>
  <c r="B23" i="23"/>
  <c r="B24" i="23" s="1"/>
  <c r="B25" i="22"/>
  <c r="B26" i="22" s="1"/>
  <c r="B32" i="22"/>
  <c r="B37" i="19"/>
  <c r="B38" i="19" s="1"/>
  <c r="B46" i="20"/>
  <c r="E45" i="20"/>
  <c r="H25" i="20"/>
  <c r="H26" i="20" s="1"/>
  <c r="H31" i="19"/>
  <c r="H33" i="19" s="1"/>
  <c r="B29" i="20"/>
  <c r="B39" i="20" s="1"/>
  <c r="B58" i="20" s="1"/>
  <c r="B37" i="20"/>
  <c r="B42" i="19"/>
  <c r="B59" i="19" s="1"/>
  <c r="E59" i="19" s="1"/>
  <c r="E58" i="19"/>
  <c r="B28" i="21" l="1"/>
  <c r="B29" i="21" s="1"/>
  <c r="H19" i="21" s="1"/>
  <c r="H21" i="21" s="1"/>
  <c r="B36" i="21"/>
  <c r="H34" i="19"/>
  <c r="D17" i="29"/>
  <c r="B43" i="19"/>
  <c r="B39" i="23"/>
  <c r="B26" i="23"/>
  <c r="B27" i="23" s="1"/>
  <c r="B33" i="22"/>
  <c r="B28" i="22"/>
  <c r="B29" i="22" s="1"/>
  <c r="H19" i="22" s="1"/>
  <c r="H21" i="22" s="1"/>
  <c r="E34" i="20"/>
  <c r="E41" i="20"/>
  <c r="B43" i="20"/>
  <c r="E58" i="20"/>
  <c r="B42" i="20"/>
  <c r="B59" i="20" s="1"/>
  <c r="E59" i="20" s="1"/>
  <c r="H22" i="22" l="1"/>
  <c r="H4" i="22"/>
  <c r="D20" i="29"/>
  <c r="H22" i="21"/>
  <c r="H4" i="21"/>
  <c r="D19" i="29"/>
  <c r="H19" i="23"/>
  <c r="H20" i="23" s="1"/>
  <c r="H31" i="20"/>
  <c r="H33" i="20" s="1"/>
  <c r="H34" i="20" s="1"/>
  <c r="E61" i="18" l="1"/>
  <c r="D61" i="18"/>
  <c r="B60" i="18"/>
  <c r="E60" i="18" s="1"/>
  <c r="E59" i="18"/>
  <c r="E57" i="18"/>
  <c r="E52" i="18"/>
  <c r="E49" i="18"/>
  <c r="E39" i="18"/>
  <c r="H32" i="18"/>
  <c r="E37" i="18"/>
  <c r="H29" i="18"/>
  <c r="H30" i="18" s="1"/>
  <c r="B35" i="18"/>
  <c r="B36" i="18" s="1"/>
  <c r="B31" i="18"/>
  <c r="B32" i="18" s="1"/>
  <c r="B33" i="18" s="1"/>
  <c r="H24" i="18"/>
  <c r="E29" i="18"/>
  <c r="E30" i="18" s="1"/>
  <c r="B27" i="18"/>
  <c r="H20" i="18"/>
  <c r="H22" i="18" s="1"/>
  <c r="H23" i="18" s="1"/>
  <c r="E25" i="18"/>
  <c r="E26" i="18" s="1"/>
  <c r="B46" i="18"/>
  <c r="E34" i="18" s="1"/>
  <c r="E21" i="18"/>
  <c r="E22" i="18" s="1"/>
  <c r="E45" i="18" l="1"/>
  <c r="B28" i="18"/>
  <c r="B37" i="18" s="1"/>
  <c r="E53" i="18"/>
  <c r="E54" i="18" s="1"/>
  <c r="E40" i="18"/>
  <c r="E41" i="18" s="1"/>
  <c r="H25" i="18"/>
  <c r="H26" i="18" s="1"/>
  <c r="H31" i="18" l="1"/>
  <c r="H33" i="18" s="1"/>
  <c r="H34" i="18" s="1"/>
  <c r="B29" i="18"/>
  <c r="B39" i="18" s="1"/>
  <c r="B38" i="18"/>
  <c r="B43" i="18"/>
  <c r="B42" i="18" l="1"/>
  <c r="B58" i="18"/>
  <c r="E58" i="18" s="1"/>
  <c r="B15" i="17"/>
  <c r="B43" i="16"/>
  <c r="E19" i="16" s="1"/>
  <c r="E21" i="16" s="1"/>
  <c r="B34" i="16"/>
  <c r="B64" i="16" l="1"/>
  <c r="H61" i="16" s="1"/>
  <c r="E40" i="16"/>
  <c r="H40" i="16"/>
  <c r="H41" i="16" s="1"/>
  <c r="H42" i="16" s="1"/>
  <c r="H37" i="16"/>
  <c r="H38" i="16" s="1"/>
  <c r="H52" i="16" s="1"/>
  <c r="H53" i="16" s="1"/>
  <c r="H49" i="16"/>
  <c r="H50" i="16" s="1"/>
  <c r="H51" i="16" s="1"/>
  <c r="H47" i="16"/>
  <c r="H24" i="16"/>
  <c r="B38" i="16"/>
  <c r="B39" i="16" s="1"/>
  <c r="B45" i="15"/>
  <c r="B23" i="15"/>
  <c r="B24" i="15" s="1"/>
  <c r="H55" i="16" l="1"/>
  <c r="H29" i="15"/>
  <c r="H27" i="15"/>
  <c r="H24" i="15"/>
  <c r="H27" i="14"/>
  <c r="B24" i="14"/>
  <c r="B23" i="14" s="1"/>
  <c r="H32" i="15" l="1"/>
  <c r="H33" i="15" s="1"/>
  <c r="H34" i="15" s="1"/>
  <c r="H36" i="15" s="1"/>
  <c r="E49" i="15"/>
  <c r="D49" i="15"/>
  <c r="B26" i="17"/>
  <c r="B25" i="17"/>
  <c r="B24" i="17"/>
  <c r="B18" i="17"/>
  <c r="B19" i="17" s="1"/>
  <c r="E60" i="16"/>
  <c r="E59" i="16"/>
  <c r="E56" i="16"/>
  <c r="E54" i="16"/>
  <c r="E46" i="16"/>
  <c r="B46" i="16"/>
  <c r="E44" i="16"/>
  <c r="B44" i="16"/>
  <c r="E23" i="16" s="1"/>
  <c r="E24" i="16" s="1"/>
  <c r="B40" i="16"/>
  <c r="B41" i="16" s="1"/>
  <c r="B42" i="16" s="1"/>
  <c r="E34" i="16"/>
  <c r="E32" i="16"/>
  <c r="H27" i="16"/>
  <c r="E27" i="16"/>
  <c r="E27" i="15"/>
  <c r="E26" i="15"/>
  <c r="B25" i="15"/>
  <c r="B27" i="15" s="1"/>
  <c r="E23" i="15"/>
  <c r="E22" i="15"/>
  <c r="B21" i="15"/>
  <c r="E20" i="15"/>
  <c r="E24" i="15" s="1"/>
  <c r="E25" i="15" s="1"/>
  <c r="H20" i="13"/>
  <c r="H24" i="13" s="1"/>
  <c r="H24" i="14"/>
  <c r="E49" i="14"/>
  <c r="D49" i="14"/>
  <c r="B45" i="14"/>
  <c r="E27" i="14"/>
  <c r="E26" i="14"/>
  <c r="B25" i="14"/>
  <c r="B27" i="14" s="1"/>
  <c r="B31" i="14" s="1"/>
  <c r="E23" i="14"/>
  <c r="E22" i="14"/>
  <c r="B21" i="14"/>
  <c r="E20" i="14"/>
  <c r="E24" i="14" s="1"/>
  <c r="H27" i="13"/>
  <c r="E29" i="15" l="1"/>
  <c r="H30" i="13"/>
  <c r="B27" i="17"/>
  <c r="B28" i="17" s="1"/>
  <c r="B29" i="17" s="1"/>
  <c r="H30" i="16"/>
  <c r="H31" i="16" s="1"/>
  <c r="H32" i="16" s="1"/>
  <c r="H34" i="16" s="1"/>
  <c r="E47" i="16"/>
  <c r="E50" i="16" s="1"/>
  <c r="E51" i="16" s="1"/>
  <c r="E52" i="16" s="1"/>
  <c r="E57" i="16" s="1"/>
  <c r="B47" i="16"/>
  <c r="B48" i="16" s="1"/>
  <c r="E26" i="16" s="1"/>
  <c r="E28" i="16" s="1"/>
  <c r="E25" i="14"/>
  <c r="E29" i="14" s="1"/>
  <c r="E33" i="16"/>
  <c r="E35" i="16" s="1"/>
  <c r="E36" i="16" s="1"/>
  <c r="E37" i="16" s="1"/>
  <c r="E38" i="16" s="1"/>
  <c r="E39" i="16" s="1"/>
  <c r="B35" i="15"/>
  <c r="E30" i="15"/>
  <c r="E32" i="15" s="1"/>
  <c r="E31" i="15"/>
  <c r="B31" i="15"/>
  <c r="B29" i="15"/>
  <c r="B32" i="15" s="1"/>
  <c r="H30" i="14"/>
  <c r="H31" i="14" s="1"/>
  <c r="H32" i="14" s="1"/>
  <c r="H34" i="14" s="1"/>
  <c r="H35" i="14" s="1"/>
  <c r="B35" i="14"/>
  <c r="B29" i="14"/>
  <c r="B32" i="14" s="1"/>
  <c r="B41" i="14" s="1"/>
  <c r="E33" i="15" l="1"/>
  <c r="E35" i="15" s="1"/>
  <c r="E37" i="15" s="1"/>
  <c r="B30" i="17"/>
  <c r="B31" i="17" s="1"/>
  <c r="B32" i="17" s="1"/>
  <c r="B33" i="17" s="1"/>
  <c r="E17" i="17" s="1"/>
  <c r="E61" i="16"/>
  <c r="H59" i="16" s="1"/>
  <c r="E31" i="14"/>
  <c r="E30" i="14"/>
  <c r="E32" i="14" s="1"/>
  <c r="E38" i="15"/>
  <c r="E36" i="15"/>
  <c r="B41" i="15"/>
  <c r="B42" i="15" s="1"/>
  <c r="B33" i="15"/>
  <c r="B34" i="15" s="1"/>
  <c r="B37" i="15" s="1"/>
  <c r="B38" i="15" s="1"/>
  <c r="B39" i="15" s="1"/>
  <c r="B42" i="14"/>
  <c r="B33" i="14"/>
  <c r="B34" i="14" s="1"/>
  <c r="B37" i="14" s="1"/>
  <c r="B38" i="14" s="1"/>
  <c r="B39" i="14" s="1"/>
  <c r="D15" i="29" l="1"/>
  <c r="E18" i="17"/>
  <c r="H4" i="16"/>
  <c r="D14" i="29"/>
  <c r="H60" i="16"/>
  <c r="E33" i="14"/>
  <c r="E35" i="14" l="1"/>
  <c r="E37" i="14" s="1"/>
  <c r="E40" i="14" l="1"/>
  <c r="E39" i="14"/>
  <c r="E36" i="14"/>
  <c r="E38" i="14" s="1"/>
  <c r="B45" i="13" l="1"/>
  <c r="H31" i="13" s="1"/>
  <c r="H32" i="13" s="1"/>
  <c r="H34" i="13" s="1"/>
  <c r="F29" i="12"/>
  <c r="B25" i="13"/>
  <c r="B27" i="13" s="1"/>
  <c r="E27" i="13"/>
  <c r="E26" i="13"/>
  <c r="E23" i="13"/>
  <c r="E22" i="13"/>
  <c r="E20" i="13"/>
  <c r="E24" i="13" s="1"/>
  <c r="E25" i="13" l="1"/>
  <c r="E29" i="13" s="1"/>
  <c r="E31" i="13" s="1"/>
  <c r="E30" i="13"/>
  <c r="E32" i="13" s="1"/>
  <c r="E33" i="13" s="1"/>
  <c r="E35" i="13" s="1"/>
  <c r="E36" i="13" l="1"/>
  <c r="B21" i="13" l="1"/>
  <c r="B24" i="13" l="1"/>
  <c r="B23" i="13" l="1"/>
  <c r="B23" i="12"/>
  <c r="H29" i="12"/>
  <c r="H40" i="12" s="1"/>
  <c r="H41" i="12" s="1"/>
  <c r="B48" i="12" s="1"/>
  <c r="E48" i="12" s="1"/>
  <c r="H31" i="12"/>
  <c r="H22" i="12"/>
  <c r="E37" i="13" l="1"/>
  <c r="E38" i="13"/>
  <c r="B35" i="13"/>
  <c r="B29" i="13"/>
  <c r="B31" i="13"/>
  <c r="B32" i="13" l="1"/>
  <c r="B41" i="13" s="1"/>
  <c r="B42" i="13" s="1"/>
  <c r="B33" i="13" l="1"/>
  <c r="B34" i="13" s="1"/>
  <c r="F40" i="12"/>
  <c r="F41" i="12" s="1"/>
  <c r="B49" i="12" s="1"/>
  <c r="F31" i="12"/>
  <c r="H26" i="12"/>
  <c r="H34" i="12" s="1"/>
  <c r="H35" i="12" s="1"/>
  <c r="F26" i="12"/>
  <c r="B38" i="13" l="1"/>
  <c r="B39" i="13" s="1"/>
  <c r="B37" i="13"/>
  <c r="F34" i="12"/>
  <c r="F35" i="12" s="1"/>
  <c r="H36" i="12"/>
  <c r="H38" i="12" s="1"/>
  <c r="F36" i="12" l="1"/>
  <c r="F38" i="12" s="1"/>
  <c r="D39" i="12" l="1"/>
  <c r="D38" i="12"/>
  <c r="D34" i="12"/>
  <c r="D30" i="12"/>
  <c r="D35" i="12" s="1"/>
  <c r="D31" i="12"/>
  <c r="D36" i="12" s="1"/>
  <c r="D25" i="12"/>
  <c r="D37" i="12" l="1"/>
  <c r="D40" i="12" s="1"/>
  <c r="D41" i="12" s="1"/>
  <c r="D42" i="12" s="1"/>
  <c r="D43" i="12" s="1"/>
  <c r="D44" i="12" s="1"/>
  <c r="B25" i="12"/>
  <c r="D45" i="12" l="1"/>
  <c r="B26" i="12"/>
  <c r="B28" i="12" s="1"/>
  <c r="B30" i="12" s="1"/>
  <c r="D22" i="12" l="1"/>
  <c r="B32" i="12"/>
  <c r="B36" i="12"/>
  <c r="B17" i="11"/>
  <c r="E27" i="11"/>
  <c r="E29" i="11" s="1"/>
  <c r="E31" i="11"/>
  <c r="E20" i="11"/>
  <c r="B30" i="11"/>
  <c r="B29" i="11"/>
  <c r="B28" i="11"/>
  <c r="B31" i="11" s="1"/>
  <c r="B32" i="11" s="1"/>
  <c r="B33" i="11" s="1"/>
  <c r="B22" i="11"/>
  <c r="B19" i="11"/>
  <c r="B43" i="11" s="1"/>
  <c r="E25" i="10"/>
  <c r="E27" i="10" s="1"/>
  <c r="E31" i="10" s="1"/>
  <c r="E20" i="10"/>
  <c r="B17" i="10"/>
  <c r="A5" i="10" s="1"/>
  <c r="B30" i="10"/>
  <c r="B29" i="10"/>
  <c r="B28" i="10"/>
  <c r="B22" i="10"/>
  <c r="E21" i="10" s="1"/>
  <c r="E22" i="10" s="1"/>
  <c r="B19" i="10"/>
  <c r="E39" i="10" s="1"/>
  <c r="B36" i="10" l="1"/>
  <c r="B43" i="10"/>
  <c r="E43" i="10" s="1"/>
  <c r="B23" i="11"/>
  <c r="B33" i="12"/>
  <c r="B34" i="12" s="1"/>
  <c r="E21" i="11"/>
  <c r="E22" i="11" s="1"/>
  <c r="E23" i="11" s="1"/>
  <c r="E24" i="11" s="1"/>
  <c r="E28" i="11" s="1"/>
  <c r="E32" i="11" s="1"/>
  <c r="E33" i="11" s="1"/>
  <c r="E34" i="11" s="1"/>
  <c r="E35" i="11" s="1"/>
  <c r="E36" i="11" s="1"/>
  <c r="E37" i="11" s="1"/>
  <c r="E38" i="11" s="1"/>
  <c r="E40" i="11" s="1"/>
  <c r="B34" i="11"/>
  <c r="B35" i="11" s="1"/>
  <c r="B36" i="11" s="1"/>
  <c r="B37" i="11" s="1"/>
  <c r="E39" i="11"/>
  <c r="B23" i="10"/>
  <c r="B31" i="10"/>
  <c r="B32" i="10" s="1"/>
  <c r="B33" i="10" s="1"/>
  <c r="B34" i="10" s="1"/>
  <c r="B35" i="10" s="1"/>
  <c r="E29" i="10"/>
  <c r="B37" i="10" l="1"/>
  <c r="B35" i="12"/>
  <c r="B37" i="12" s="1"/>
  <c r="B38" i="12" s="1"/>
  <c r="E23" i="10"/>
  <c r="E24" i="10" s="1"/>
  <c r="E28" i="10" s="1"/>
  <c r="E32" i="10" s="1"/>
  <c r="B39" i="12" l="1"/>
  <c r="E38" i="10"/>
  <c r="E40" i="10" s="1"/>
  <c r="E33" i="10"/>
  <c r="E34" i="10" s="1"/>
  <c r="B40" i="12" l="1"/>
  <c r="B41" i="12" s="1"/>
  <c r="E35" i="10"/>
  <c r="E36" i="10" s="1"/>
  <c r="E37" i="10" s="1"/>
  <c r="E18" i="9" l="1"/>
  <c r="B32" i="9"/>
  <c r="E20" i="7"/>
  <c r="B26" i="9"/>
  <c r="B27" i="9" s="1"/>
  <c r="B18" i="9"/>
  <c r="B29" i="9" l="1"/>
  <c r="B28" i="9"/>
  <c r="B35" i="9"/>
  <c r="B36" i="9" s="1"/>
  <c r="H43" i="12"/>
  <c r="E19" i="9"/>
  <c r="B20" i="9"/>
  <c r="B37" i="9" l="1"/>
  <c r="B33" i="9"/>
  <c r="B34" i="9" s="1"/>
  <c r="B22" i="9"/>
  <c r="B40" i="9" s="1"/>
  <c r="E40" i="9" s="1"/>
  <c r="B17" i="6" l="1"/>
  <c r="B20" i="6" s="1"/>
  <c r="E25" i="7"/>
  <c r="E27" i="7" s="1"/>
  <c r="E29" i="7" s="1"/>
  <c r="B19" i="7"/>
  <c r="B43" i="7" s="1"/>
  <c r="E43" i="7" s="1"/>
  <c r="B30" i="7"/>
  <c r="B29" i="7"/>
  <c r="B28" i="7"/>
  <c r="B31" i="7" s="1"/>
  <c r="B32" i="7" s="1"/>
  <c r="B22" i="7"/>
  <c r="E21" i="7" s="1"/>
  <c r="E22" i="7" s="1"/>
  <c r="E23" i="7" s="1"/>
  <c r="B17" i="7"/>
  <c r="B15" i="8"/>
  <c r="B18" i="8" s="1"/>
  <c r="B19" i="8" s="1"/>
  <c r="D6" i="29" s="1"/>
  <c r="E6" i="29" s="1"/>
  <c r="F6" i="29" l="1"/>
  <c r="H6" i="29"/>
  <c r="H28" i="29" s="1"/>
  <c r="H29" i="29" s="1"/>
  <c r="G6" i="29"/>
  <c r="G28" i="29" s="1"/>
  <c r="B23" i="7"/>
  <c r="B33" i="7"/>
  <c r="B34" i="7" s="1"/>
  <c r="E39" i="7"/>
  <c r="B23" i="6"/>
  <c r="B25" i="6" s="1"/>
  <c r="B26" i="6" s="1"/>
  <c r="D4" i="29" s="1"/>
  <c r="E24" i="7"/>
  <c r="E28" i="7" s="1"/>
  <c r="E31" i="7"/>
  <c r="B35" i="7"/>
  <c r="B36" i="7" s="1"/>
  <c r="B37" i="7" s="1"/>
  <c r="G29" i="29" l="1"/>
  <c r="E32" i="7"/>
  <c r="E38" i="7" l="1"/>
  <c r="E40" i="7" s="1"/>
  <c r="E33" i="7"/>
  <c r="E34" i="7" s="1"/>
  <c r="E35" i="7" s="1"/>
  <c r="E36" i="7" s="1"/>
  <c r="E37" i="7" s="1"/>
  <c r="E32" i="28"/>
  <c r="D32" i="28"/>
  <c r="E33" i="4"/>
  <c r="D33" i="4"/>
  <c r="E34" i="27"/>
  <c r="D34" i="27"/>
  <c r="E39" i="17"/>
  <c r="D39" i="17"/>
  <c r="E49" i="13"/>
  <c r="D49" i="13"/>
  <c r="E49" i="12"/>
  <c r="E44" i="11"/>
  <c r="D44" i="11"/>
  <c r="E44" i="10"/>
  <c r="D44" i="10"/>
  <c r="E41" i="9"/>
  <c r="D41" i="9"/>
  <c r="E28" i="8"/>
  <c r="D28" i="8"/>
  <c r="E44" i="7"/>
  <c r="D44" i="7"/>
  <c r="E31" i="6"/>
  <c r="D31" i="6"/>
</calcChain>
</file>

<file path=xl/sharedStrings.xml><?xml version="1.0" encoding="utf-8"?>
<sst xmlns="http://schemas.openxmlformats.org/spreadsheetml/2006/main" count="2274" uniqueCount="627">
  <si>
    <t>Chantier</t>
  </si>
  <si>
    <t>Tâche</t>
  </si>
  <si>
    <t>Tache immédiatement antécédante</t>
  </si>
  <si>
    <t>Quantité</t>
  </si>
  <si>
    <t>Unité</t>
  </si>
  <si>
    <t>Rendement</t>
  </si>
  <si>
    <t>durée</t>
  </si>
  <si>
    <t>m2</t>
  </si>
  <si>
    <t>Descriptif (source CCTP bordereau …)</t>
  </si>
  <si>
    <t>Matériel</t>
  </si>
  <si>
    <t>Main d'œuvre</t>
  </si>
  <si>
    <t>désignation</t>
  </si>
  <si>
    <t>Qté</t>
  </si>
  <si>
    <t>affectation tâche</t>
  </si>
  <si>
    <t>conducteur de pelle</t>
  </si>
  <si>
    <t>conduit la pelle</t>
  </si>
  <si>
    <t>Description du mode opératoire</t>
  </si>
  <si>
    <t>Calcul de rendement, métré de fourniture, calcul de temps de transport, nombre de tours</t>
  </si>
  <si>
    <t>Donnée</t>
  </si>
  <si>
    <t>Surface (m²)</t>
  </si>
  <si>
    <t>Transport</t>
  </si>
  <si>
    <t>Epaisseur (m)</t>
  </si>
  <si>
    <t>Capacité (T)</t>
  </si>
  <si>
    <t>Volume (m3)</t>
  </si>
  <si>
    <t>Densité</t>
  </si>
  <si>
    <t>Déblais Terre végétale</t>
  </si>
  <si>
    <t>Capacité (m3)</t>
  </si>
  <si>
    <t>Godet (L)</t>
  </si>
  <si>
    <t>nb cycle remplissage</t>
  </si>
  <si>
    <t>Godet (m3)</t>
  </si>
  <si>
    <t>Arrondi</t>
  </si>
  <si>
    <t>Nb cycle nécessaire</t>
  </si>
  <si>
    <t>Temps remplissage (s)</t>
  </si>
  <si>
    <t>T1 (s)</t>
  </si>
  <si>
    <t>temps en minutes</t>
  </si>
  <si>
    <t>T2 (s)</t>
  </si>
  <si>
    <t>Distance (Km)</t>
  </si>
  <si>
    <t>T3 (s)</t>
  </si>
  <si>
    <t>vitesse en (Km/h)</t>
  </si>
  <si>
    <t>T4 (s)</t>
  </si>
  <si>
    <t>Temps de voyage (min)</t>
  </si>
  <si>
    <t>Total 1 cycle (s)</t>
  </si>
  <si>
    <t>T1 (min)</t>
  </si>
  <si>
    <t>Efficience volume</t>
  </si>
  <si>
    <t>T2 (min)</t>
  </si>
  <si>
    <t>Efficience temps</t>
  </si>
  <si>
    <t>T3 (min)</t>
  </si>
  <si>
    <t>1cycle efficient (s)</t>
  </si>
  <si>
    <t>T4 (min)</t>
  </si>
  <si>
    <t>cycle / min</t>
  </si>
  <si>
    <t>Total 1 cycle (min)</t>
  </si>
  <si>
    <t>cycle / heure</t>
  </si>
  <si>
    <t>Nombre de camions saturation</t>
  </si>
  <si>
    <t>Volume / heure (m3)</t>
  </si>
  <si>
    <t>arrondi</t>
  </si>
  <si>
    <t>Volume / heure effecient (m3)</t>
  </si>
  <si>
    <t>volume total des camions (m3)</t>
  </si>
  <si>
    <t>Temps (h) d'activité décimale</t>
  </si>
  <si>
    <t>nombre de tour/camion</t>
  </si>
  <si>
    <t>Temps (h) d'activité sexagésimal</t>
  </si>
  <si>
    <t>Temps des camions (min)</t>
  </si>
  <si>
    <t xml:space="preserve"> Nombre de camion nécessaire</t>
  </si>
  <si>
    <t>Temps des camions (H)</t>
  </si>
  <si>
    <t>FOURNITURE &amp; SOUS-TRAITANCE</t>
  </si>
  <si>
    <t>Fournisseur</t>
  </si>
  <si>
    <t>P.U.</t>
  </si>
  <si>
    <t>Total</t>
  </si>
  <si>
    <t>Qui?</t>
  </si>
  <si>
    <t>Distance chantier</t>
  </si>
  <si>
    <t>Nbre de tours/jour</t>
  </si>
  <si>
    <t>BARBAZAN</t>
  </si>
  <si>
    <t>ARRACHAGE OU ABATTAGE ET DESSOUCHAGE D’ARBRES</t>
  </si>
  <si>
    <t>Ce prix rémunère à l'unité l'arrachage ou abattage et dessouchage d'arbres.Il comprend  l'arrachage ou abattage et dessouchage des arbres dont la circonférence mesurée à 1 m du sol est supérieure à 0.60 m ou leur abattage et l'extraction de leur souche - l'évacuation des produits après brûlage éventuel dans un dépôt agrée par le maître d'oeuvre.</t>
  </si>
  <si>
    <t>DEMOLITION DECOUPE CHAUSSEE A LA SCIE HYDRAULIQUE ( Y COMPRIS ÉVACUATION DES GRAVATS)</t>
  </si>
  <si>
    <t>Ce prix rémunère au mètre carré la découpe de la chaussée à la scie hydraulique et la démolition  sur 0.20 m de profondeur . Il comprend le chargement, le transport et le déchargement des produits au lieu de dépôt agréé par le maître d'œuvre.</t>
  </si>
  <si>
    <t xml:space="preserve">SCIAGE DE CHAUSSEE A LA SCIE HYDRAULIQUE </t>
  </si>
  <si>
    <t xml:space="preserve">Ce prix rémunère au mètre linéaire le sciage de chaussée à la scie hydraulique sur 0.20m de profondeur. 
Il comprend le sciage, le chargement, le transport et le déchargement des produits dans un dépôt proposé par l'entrepreneur et agréé par le maître d'oeuvre.
</t>
  </si>
  <si>
    <t xml:space="preserve">Ce prix rémunère au mètre carré de surface effective le rabotage de chaussée.
Il comprend le rabotage du revêtement existant sur une épaisseur jusqu'à 6 cm, l'extraction des matériaux, leur évacuation à la décharge ou la mise en dépôt provisoire.
</t>
  </si>
  <si>
    <t>RABOTAGE DE CHAUSSEE</t>
  </si>
  <si>
    <t>DEMOLITION DE TROTTOIRS OU D’ILOTS</t>
  </si>
  <si>
    <t>Ce prix rémunère au mètre carré les travaux de démolition aux engins mécaniques de trottoirs béton ou d'ilots  sur 0,20 m d'épaisseur, et l'évacuation des déblais.</t>
  </si>
  <si>
    <t>DECAPAGE TERRE VEGETALE</t>
  </si>
  <si>
    <t xml:space="preserve">Ce prix rémunère au mètre carré le décapage de terre végétale.
Il comprend :
- l'enlèvement de la terre végétale sur 0.30 m d'épaisseur,
- l'élimination des produits étrangers (grosses racines, pierres, déchets divers...),
- le chargement, le transport, le déchargement et la mise en dépôt soit sur le chantier pour son éventuel réemploi, soit dans un lieu agrée par le maître d'oeuvre.
</t>
  </si>
  <si>
    <t>REMBLAIS D’EMPRUNT</t>
  </si>
  <si>
    <t xml:space="preserve">COUCHE DE REPROFILAGE EN GRAVE BITUME CLASSE 2 </t>
  </si>
  <si>
    <t xml:space="preserve">Ce prix rémunère à la tonne mesurée en place, l'exécution d'une couche de reprofilage en grave bitume de classe 2.
Il comprend la fourniture, le chargement, le transport, le déchargement au lieu d'emploi, la mise en oeuvre, le réglage, le compactage et les essais d'atelier de compactage, définis au CCTP.
</t>
  </si>
  <si>
    <t>COUCHE DE FONDATION EN GRAVE BITUME CLASSE 3 EP=12 CM</t>
  </si>
  <si>
    <t xml:space="preserve">Ce prix rémunère à la tonne mesurée en place, l'exécution d'une couche de fondation en grave bitume de classe 3.
Il comprend la fourniture, le chargement, le transport, le déchargement au lieu d'emploi, la mise en oeuvre, le réglage, le compactage et les essais d'atelier de compactage, définis au CCTP.
</t>
  </si>
  <si>
    <t>COUCHE DE REGLAGE GRAVES CONCASSEES 0/20 EP. 10 CM</t>
  </si>
  <si>
    <t xml:space="preserve">
Ce prix rémunère au mètre cube mesuré en place, l'exécution d'une couche de réglage en graves concassées 0/20 de 0.10 m moyen.
Il comprend la fourniture des matériaux, le chargement, le transport, la mise en oeuvre, le réglage, le compactage, les essais de l'atelier de compactage, la fourniture et le transport de l'eau d'arrosage et l'arrosage.
</t>
  </si>
  <si>
    <t>COUCHE DE ROULEMENT EN BETON BITUMINEUX SEMI GRENU 0/14 DE CLASSE 3</t>
  </si>
  <si>
    <t xml:space="preserve">Ce prix rémunère à la tonne mesurée en place, la réalisation d'une couche roulement en béton bitumineux semi grenu 0/14 de classe 3, dans les conditions fixées au C.C.T.P.
Il comprend la fourniture, le transport, la mise en oeuvre, le réglage, le compactage, les essais d'atelier de compactage, ainsi que la réalisation si nécessaire du raccordement à la chaussée existante.
</t>
  </si>
  <si>
    <t>REPRISE DE TERRE VEGETALE SUR DEPOT</t>
  </si>
  <si>
    <t xml:space="preserve">Ce prix rémunère au mètre cube, la reprise de terre végétale sur dépôt.
Il comprend le chargement des matériaux depuis le lieu de dépôt, le transport, la mise en oeuvre, le réglage, le compactage, la fourniture, le transport de l'eau d'arrosage, et l'arrosage.
</t>
  </si>
  <si>
    <t>BORDURES D’ILOTS DE TYPE I1</t>
  </si>
  <si>
    <t xml:space="preserve">
Ce prix rémunère au mètre linéaire la fourniture et la pose de bordures d'îlots en béton de type I1. 
Il comprend la fourniture et la mise en place des bordures préfabriquées posées sur socle de 0,15 m d'épaisseur de béton  B16/20 y compris le béton de calage à l'arrière de la bordure, les terrassements tous terrains, y compris chaussées, façon des joints et nivellement.
</t>
  </si>
  <si>
    <t xml:space="preserve">BORDURES D’ILOTS DE TYPE I2 </t>
  </si>
  <si>
    <t xml:space="preserve">Ce prix rémunère au mètre linéaire la fourniture et la pose de bordures d'îlots en béton de type I2. 
Il comprend la fourniture et la mise en place des bordures préfabriquées posées sur socle de 0,15 m d'épaisseur dosé à 250 kgs/m3 y compris le béton de calage à l'arrière de la bordure, les terrassements tous terrains, y compris chaussées, façon des joints et nivellement.
</t>
  </si>
  <si>
    <t>BORDURES CANIVEAUX DE TYPE CC1</t>
  </si>
  <si>
    <t xml:space="preserve">Ce prix rémunère au mètre linéaire, la fourniture et la pose de bordures caniveaux en béton de type CC1.
Il comprend la fourniture et la mise en place des bordures préfabriquées posées sur socle de 0,15 m d'épaisseur de béton  B16/20 y compris le béton de calage à l'arrière de la bordure, les terrassements tous terrains, y compris chaussées, le béton de pose sur fondation de 0,15 m en grave concassée 0/31.5, façon des joints et nivellement.
</t>
  </si>
  <si>
    <t>CONFECTION DE TROTTOIR EN GRAVE 0/20 + BI-COUCHE</t>
  </si>
  <si>
    <t xml:space="preserve">Ce prix rémunère au mètre carré la réalisation d'un trottoir, suivant les épaisseurs et prescriptions définies au CCTP . 
- grave 0/20 sur 20 cm d'épaisseur 
- revêtement bicouche
Il comprend la fourniture, le transport, le stockage et la mise en oeuvre de l'émulsion de bitume et des gravillons, et le compactage, définis au CCTP.
</t>
  </si>
  <si>
    <t>REMPLISSAGE D’ILOTS EN BETON C20/25</t>
  </si>
  <si>
    <t xml:space="preserve">Ce prix rémunère au mètre carré, le remplissage d'îlots en béton C20/25, à l'intérieur des bordures I, suivant les épaisseurs et descriptions définies au C.C.T.P.
Il comprend la fourniture, le transport et la mise en œuvre des matériaux, ainsi que le réglage des pentes et le lissage avec une finition balayée.
</t>
  </si>
  <si>
    <t>CONFECTION DE SURFACES EN GALETS MACONNES EN SURLARGEUR DU GIRATOIRE</t>
  </si>
  <si>
    <t xml:space="preserve">Ce prix rémunère au mètre carré la confection de surfaces en galets maçonnés.
Il comprend la préparation du support, la fourniture, la mise en oeuvre des galets et du béton C20/25, y compris le liant, les granulats, la confection des joints, le brossage, le nettoyage soigné ainsi que le coffrage soigné en arc de cercle calé au niveau de profil en long tels que défini au CCTP.
</t>
  </si>
  <si>
    <t>ILOTS EN BETON ET GALETS DE GARONNE</t>
  </si>
  <si>
    <t xml:space="preserve">Ce prix rémunère au mètre carré la réalisation de l'intérieur des îlots séparateurs en béton et galets de Garonne.
Il comprend la fourniture et la mise en oeuvre de:
- béton C20/25  sur 0.20m d'épaisseur,
- galets de Garonne de dimension comprise entre 80 et 200 mm agencés soigneusement et rejointoyés.
</t>
  </si>
  <si>
    <t>CONSTRUCTION DE CUNETTE BETONNEE</t>
  </si>
  <si>
    <t xml:space="preserve">Ce prix rémunère au mètre linéaire la construction de la  cunette bétonnée. Il comprend :
- le décapage et l'évacuation de la terre végétale,
- la dérivation ou l'épuisement des eaux éventelles
- le dressage des berges,
- le réglage du fond du lit en grave 0/20
- les coffrages plans ordinaires 
- la fourniture et la mise en oeuvre du béton C20/25 et des armatures.
</t>
  </si>
  <si>
    <t>REGARD 40X40 AVEC GRILLE</t>
  </si>
  <si>
    <t xml:space="preserve">Ce prix rémunère à l'unité la fourniture et la pose de regard à grille de 40 X 40 préfabriqué ou coulé en place de quelque hauteur que ce soit.
Il comprend :
- la fouille et l'évacuation des déblais excédentaires au dépôt définitif,
- le boisage ou étaiement éventuellement nécessaires,
- les épuissements ou détournements des eaux éventuelles y compris celles en provenance de la nappe phréatique,
- le béton de propreté,
- l'exécution du radier, de la cheminée,
- la fourniture et la mise en oeuvre du cadre de grille en fonte ductile ainsi que leur calage,
- les sujetions de perçages et de raccordement aux collecteurs et autres ouvrages, de réglage de fil d'eau.
</t>
  </si>
  <si>
    <t>FOURNITURE ET POSE GAINE TYPE JANOLENE Ø  110</t>
  </si>
  <si>
    <t xml:space="preserve">Ce prix rémunère au métre linéaire la fourniture et la mise en œuvre de fourreau Ø  110 type janolène, pré-équipé d'une aiguille de tirage de câble.
Il comprend toutes sujétions de terrassement (fouilles et recouvrement, de raccordement éventuel) et de mise en place sous accotement, y compris remise en forme de l'accotement.
</t>
  </si>
  <si>
    <t>TUYAUX PVC Ø 300 CLASSE 41 (CR4)</t>
  </si>
  <si>
    <t xml:space="preserve">Ce prix rémunère au mètre linéaire les traversées sous chaussée de tuyaux en PVC Ø 300 de classe CR4.
Il comprend notamment :
- l'ouverture de tranchée sous chaussée et évacuation des déblais à la décharge,
- la fourniture et l'épandage de sable pour lit de pose,
- la fourniture et la pose de fourreaux PVC,
- la fourniture et la pose de grillage avertisseur,
- la fourniture et le compactage pour fermeture de la tranchée en grave concassée 0/20,
- l'épuisement dû éventuellement à la présence d'eau dans la tranchée et aux réseaux existants.
</t>
  </si>
  <si>
    <t>DEPOSE DE GLISSIERES DE SECURITE GS2</t>
  </si>
  <si>
    <t xml:space="preserve">Ce prix rémunère au mètre linéaire la dépose, l'enlèvement , le transport et le stockage au lieu de dépôt défini par le maître d'oeuvre.
Il comprend notamment : 
- le démontage de la glissière,
- l'arrachage des supports, la récupération de la boulonnerie et des accessoires,
- l'enlèvement et le transport de l'ensemble jusqu'au lieu de dépôt,
- la mise en dépôt dans de bonnes conditions.
</t>
  </si>
  <si>
    <t>m3</t>
  </si>
  <si>
    <t>T</t>
  </si>
  <si>
    <t>M3</t>
  </si>
  <si>
    <t>ML</t>
  </si>
  <si>
    <t>M2</t>
  </si>
  <si>
    <t>Metre linéraire</t>
  </si>
  <si>
    <t>Scie à sol</t>
  </si>
  <si>
    <t>Vitesse (m/min)</t>
  </si>
  <si>
    <t>Temps de découpe (min)</t>
  </si>
  <si>
    <t>manœuvre</t>
  </si>
  <si>
    <t>utilise la scie à sol</t>
  </si>
  <si>
    <t>Surface</t>
  </si>
  <si>
    <t>Décroutage chaussée</t>
  </si>
  <si>
    <t>Nb godet nécessaire</t>
  </si>
  <si>
    <t>Temps d'activité décimale</t>
  </si>
  <si>
    <t>Temps d'activité sexagésimal</t>
  </si>
  <si>
    <t>epaisseur</t>
  </si>
  <si>
    <t>volume</t>
  </si>
  <si>
    <t>centre de recyclage</t>
  </si>
  <si>
    <t>PSI? 570 RUE DE PEYRHITTE 65300 LANNEMEZAN</t>
  </si>
  <si>
    <t>37min08s</t>
  </si>
  <si>
    <t>72,32m3/h</t>
  </si>
  <si>
    <t>scie à sol</t>
  </si>
  <si>
    <t>découpe l'ancienne chaussée</t>
  </si>
  <si>
    <t>un homme utilise la scie à sol pour découper la chaussée sur 20cm de profondeur sur les endroits choisis.</t>
  </si>
  <si>
    <t>camion 25t</t>
  </si>
  <si>
    <t>évacuation déchet</t>
  </si>
  <si>
    <t>pelle</t>
  </si>
  <si>
    <t>décroute et transfert au camion les déchets</t>
  </si>
  <si>
    <t>Nombre d'arbre</t>
  </si>
  <si>
    <t>Temps (min)/arbre</t>
  </si>
  <si>
    <t>Tronçonnage</t>
  </si>
  <si>
    <t>Dessouchage</t>
  </si>
  <si>
    <t>Temps total (min)</t>
  </si>
  <si>
    <t>Temps TOTAL (min)</t>
  </si>
  <si>
    <t>1h44min</t>
  </si>
  <si>
    <t>13min/u</t>
  </si>
  <si>
    <t>dessouchage &amp; transport</t>
  </si>
  <si>
    <t>OHQ</t>
  </si>
  <si>
    <t>tronçonneuse</t>
  </si>
  <si>
    <t>découpe arbre</t>
  </si>
  <si>
    <t>conducteur pelle</t>
  </si>
  <si>
    <t>Un homme utilise la tronçonneuse pour découper et faire tomber si possible les arbres en toute sécurité. Un homme conduit la pelle, il creuse autour des souches pour faire sauter les racines, puis la souche. Il évacue les déchets dans la benne prévu pour.</t>
  </si>
  <si>
    <t>raboteuse</t>
  </si>
  <si>
    <t>vitesse (m/min)</t>
  </si>
  <si>
    <t>largeur de fraisage (m)</t>
  </si>
  <si>
    <t>dimension chaussée</t>
  </si>
  <si>
    <t>surface</t>
  </si>
  <si>
    <t>ep</t>
  </si>
  <si>
    <t>Rdmt (m2/min)</t>
  </si>
  <si>
    <t>Fraiseuse à froid 200 i</t>
  </si>
  <si>
    <t>rabote l'ancienne chaussée</t>
  </si>
  <si>
    <t>m3/min</t>
  </si>
  <si>
    <t>densité</t>
  </si>
  <si>
    <t>Tonne</t>
  </si>
  <si>
    <t>temps rabotage (min)</t>
  </si>
  <si>
    <t>Camion</t>
  </si>
  <si>
    <t>capacité (t)</t>
  </si>
  <si>
    <t>en m3</t>
  </si>
  <si>
    <t>nombre de camion nec</t>
  </si>
  <si>
    <t>temps changement de camion (min)</t>
  </si>
  <si>
    <t>temps total</t>
  </si>
  <si>
    <t>suit rabotteuse + évacuation</t>
  </si>
  <si>
    <t>Temps remplissage camion N°1</t>
  </si>
  <si>
    <t>Temps remplissage camion N°2</t>
  </si>
  <si>
    <t>La fraiseuse à froid va rabotter la zone définie, un camion sera devant pour récupérer les déchets par la rampe. Une fois remplie, le camion plein par pour la déchetterie, et un autre prend sa place.</t>
  </si>
  <si>
    <t>10m2/min</t>
  </si>
  <si>
    <t>Centre de recyclage inertes</t>
  </si>
  <si>
    <t xml:space="preserve">COMMINGES METAUX SERVICES, 38 avenue de Saint Gaudens BP 29 - 31210 MONTREJEAU
</t>
  </si>
  <si>
    <t>La pelle décroute la chaussée préalablement découpé, puis transfert les déchets dans le camion. Le camion une fois remplis, part pour évacuer les déchets en centre de recyclage.</t>
  </si>
  <si>
    <t>La pelle démolit les trottoirs et ilots présents sur l'emprise, puis transfert les déchets dans le camion. Le camion une fois remplis, part pour évacuer les déchets en centre de recyclage.</t>
  </si>
  <si>
    <t>stockage sur place</t>
  </si>
  <si>
    <t>t</t>
  </si>
  <si>
    <t>décapage et tranfert</t>
  </si>
  <si>
    <t>La pelle décape les zones identifiées sur 0,30 m de profondeur. Elle met en stockage sur place la terre végétale pour une tache utlérieur.</t>
  </si>
  <si>
    <t>Sablières de Saléchan - ABCVL
La Gerle, Gouasquet, 65370 Saléchan
05 62 99 39 80</t>
  </si>
  <si>
    <t>GNT 0/20</t>
  </si>
  <si>
    <t>GNT 0/80</t>
  </si>
  <si>
    <t>IDEM</t>
  </si>
  <si>
    <t>Surface (m2)</t>
  </si>
  <si>
    <t>T1 (min) (remplissage)</t>
  </si>
  <si>
    <t>T2 (min) (allez)</t>
  </si>
  <si>
    <t>T3 (min) (pose)</t>
  </si>
  <si>
    <t>T4 (min) (retour)</t>
  </si>
  <si>
    <t>Mise en place granulat</t>
  </si>
  <si>
    <t>Largeur de travail (m2)</t>
  </si>
  <si>
    <t>longueur de bras (m)</t>
  </si>
  <si>
    <t>largeur de bras (m)</t>
  </si>
  <si>
    <t>réglage</t>
  </si>
  <si>
    <t>2 temps de réglage</t>
  </si>
  <si>
    <t>T1 réglage grossier (s)</t>
  </si>
  <si>
    <t>T1 réglage fin (s)</t>
  </si>
  <si>
    <t>T2 retour (s)</t>
  </si>
  <si>
    <t>Total grossier</t>
  </si>
  <si>
    <t>total fin</t>
  </si>
  <si>
    <t>nb réglage grossier</t>
  </si>
  <si>
    <t>nb réglage fin</t>
  </si>
  <si>
    <t>nb total réglage</t>
  </si>
  <si>
    <t>temps total grossier</t>
  </si>
  <si>
    <t>temps total fin</t>
  </si>
  <si>
    <t>efficience temps</t>
  </si>
  <si>
    <t>coefficient difficulté</t>
  </si>
  <si>
    <t>temps réglage eff (s/largeur de travail m2)</t>
  </si>
  <si>
    <t>temps réglage coef</t>
  </si>
  <si>
    <t>temps réglage total terrain (s)</t>
  </si>
  <si>
    <t>rendement (s/m2)</t>
  </si>
  <si>
    <t>Compactage</t>
  </si>
  <si>
    <t>mise en place des remblais</t>
  </si>
  <si>
    <t>Hauteur (m)</t>
  </si>
  <si>
    <t>nombre de couche</t>
  </si>
  <si>
    <t>Compacteur</t>
  </si>
  <si>
    <t>Largeur compacteur (m)</t>
  </si>
  <si>
    <t>compactage</t>
  </si>
  <si>
    <t>Nombre de passage compacteur</t>
  </si>
  <si>
    <t>nombre de metre linéaire</t>
  </si>
  <si>
    <t>temps de passage</t>
  </si>
  <si>
    <t>Facteur de difficulté</t>
  </si>
  <si>
    <t>Temps de passage efficient</t>
  </si>
  <si>
    <t>TV 0/80 D3 epaisseur</t>
  </si>
  <si>
    <t>TV 0/80 D3  nb de passe</t>
  </si>
  <si>
    <t>TV 0/80 D3   vitesse</t>
  </si>
  <si>
    <t>Nombre de passage/largeur</t>
  </si>
  <si>
    <t>GNT 0/20 D3 epaisseur</t>
  </si>
  <si>
    <t>GNT 0/20  D3  nb de passe</t>
  </si>
  <si>
    <t>GNT 0/20  D3   vitesse</t>
  </si>
  <si>
    <t>Q3</t>
  </si>
  <si>
    <t>temps total (s)</t>
  </si>
  <si>
    <t>(h)</t>
  </si>
  <si>
    <t>Donnée2</t>
  </si>
  <si>
    <t>Quantité3</t>
  </si>
  <si>
    <t>Quantité33</t>
  </si>
  <si>
    <t>Donnée3</t>
  </si>
  <si>
    <t>0/80</t>
  </si>
  <si>
    <t>0/20</t>
  </si>
  <si>
    <t xml:space="preserve">longueur </t>
  </si>
  <si>
    <t>largeur moy</t>
  </si>
  <si>
    <t xml:space="preserve">Temps total </t>
  </si>
  <si>
    <t>nb jours</t>
  </si>
  <si>
    <t>camion</t>
  </si>
  <si>
    <t>compacteur</t>
  </si>
  <si>
    <t>apport matériau</t>
  </si>
  <si>
    <t>chauffeur d'engin</t>
  </si>
  <si>
    <t>chauffeur camion</t>
  </si>
  <si>
    <t>chef de chantier</t>
  </si>
  <si>
    <t>conduit l'atelier</t>
  </si>
  <si>
    <t>allez retour pour matériaux</t>
  </si>
  <si>
    <t>conduit pellet et compacteur</t>
  </si>
  <si>
    <t>Un camion arrive sur chantier avec les matériaux, et déverse sur la zone indiqué. La pelle répartie et règle les matériaux. Le compacteur viens compacter le sol. une première couche de 0/80 est à mettre pincipalement sur les accotements (environ 0,40m) et une autre couche de 0/20 est à répartir entre la chaussée (0,10m), la chaussée en giratoire (0,10m), les trottoirs (0,80m) et les ilots (0,15m).</t>
  </si>
  <si>
    <t xml:space="preserve">
Ce prix rémunère le mètre cube en oeuvre de remblais d'emprunt ayant un coefficient de frottement interne phi au moins égal à 35 degrés.
Il comprend, conformément au CCTP, la fourniture et le transport du matériau, le réglage en couches d'épaisseur conforme aux exigences du marché, l'arrosage et la scarification dans les conditions définies dans le marché, le compactage jusqu'à obtention des exigences prévues au C.C.T.P., le réglage de la plate-forme et des talus au profil définitif y compris l'évacuation des terres excédentaires, la protection de la plate-forme et des talus contre les eaux de ruissellement y compris l'exécution et l'entretien des ouvrages correspondants.
Comprend les deux couches de GNT (0/20 et 0/80).</t>
  </si>
  <si>
    <t>tonne</t>
  </si>
  <si>
    <t>volume 0/20</t>
  </si>
  <si>
    <t>Volume 0/80</t>
  </si>
  <si>
    <t>rendement atelier</t>
  </si>
  <si>
    <t>17,45m3/h</t>
  </si>
  <si>
    <t>85h56min25s</t>
  </si>
  <si>
    <t>Tonnage (T)</t>
  </si>
  <si>
    <t>Niveleuse</t>
  </si>
  <si>
    <t>Largeur de lame (m)</t>
  </si>
  <si>
    <t>largeur de travail (m)</t>
  </si>
  <si>
    <t>Degré de rotation de lame (°)</t>
  </si>
  <si>
    <t>Vitesse de travail (m/h)</t>
  </si>
  <si>
    <t>Vitesse de recul (m/h)</t>
  </si>
  <si>
    <t>nb total bande</t>
  </si>
  <si>
    <t>metre linéaire total</t>
  </si>
  <si>
    <t>Efficience</t>
  </si>
  <si>
    <t>réglage  grossier</t>
  </si>
  <si>
    <t>réglagle fin</t>
  </si>
  <si>
    <t>Mètre linéaire marche avant</t>
  </si>
  <si>
    <t>Mètre linéaire marche arrière</t>
  </si>
  <si>
    <t>temps de travail (h)</t>
  </si>
  <si>
    <t>temps de recul (h)</t>
  </si>
  <si>
    <t>Temps de travail efficient (h)</t>
  </si>
  <si>
    <t>coeffficient de difficulté</t>
  </si>
  <si>
    <t>temps avec coef difficulté (h)</t>
  </si>
  <si>
    <t>rendement à l'heure (m²/h)</t>
  </si>
  <si>
    <t>rendement à l'heure (s/m²)</t>
  </si>
  <si>
    <t>Enrobés Toulouse
356-355, Cédé, 31800 Villeneuve-de-Rivière
0561953331</t>
  </si>
  <si>
    <t>dimension</t>
  </si>
  <si>
    <t>longueur</t>
  </si>
  <si>
    <t>Nombre de camion choisi</t>
  </si>
  <si>
    <t>choisi</t>
  </si>
  <si>
    <t>D3 epaisseur</t>
  </si>
  <si>
    <t>D3   vitesse</t>
  </si>
  <si>
    <t>D3  nb de passe</t>
  </si>
  <si>
    <t>Finisseur</t>
  </si>
  <si>
    <t>largeur de table</t>
  </si>
  <si>
    <t>Nombre de départ</t>
  </si>
  <si>
    <t>epaisseur enrobé</t>
  </si>
  <si>
    <t>Temps par départ (s)</t>
  </si>
  <si>
    <t>vitesse (m/min) avant</t>
  </si>
  <si>
    <t>Total temps des départs (s)</t>
  </si>
  <si>
    <t>Enrobé bb 0/10 epaisseur</t>
  </si>
  <si>
    <t>vitesse (m/min) arriere</t>
  </si>
  <si>
    <t>Nombre de marche arriere</t>
  </si>
  <si>
    <t>Enrobé bb 0/10  nb de passe</t>
  </si>
  <si>
    <t>distance marche arriere</t>
  </si>
  <si>
    <t>Enrobé bb 0/10   vitesse</t>
  </si>
  <si>
    <t>Semi contenance en T</t>
  </si>
  <si>
    <t xml:space="preserve">temps total de recul </t>
  </si>
  <si>
    <t>vitesse du semi (km/h)</t>
  </si>
  <si>
    <t>Dimension du terrain</t>
  </si>
  <si>
    <t>Temps Total pour finisseur</t>
  </si>
  <si>
    <t>Largeur</t>
  </si>
  <si>
    <t>Longueur</t>
  </si>
  <si>
    <t>Temps Total pour finisseur efficient</t>
  </si>
  <si>
    <t>Zone préparer à la main pour niveau</t>
  </si>
  <si>
    <t>Approvisionnement du finisseur</t>
  </si>
  <si>
    <t>distance chantier/central (km)</t>
  </si>
  <si>
    <t>T1 - chargement central</t>
  </si>
  <si>
    <t>largeur pour finisseur</t>
  </si>
  <si>
    <t>T2 - aller sur chantier</t>
  </si>
  <si>
    <t>Enrobé</t>
  </si>
  <si>
    <t>T3 - déchargement</t>
  </si>
  <si>
    <t xml:space="preserve">Volume total </t>
  </si>
  <si>
    <t>T4 - retour à la central</t>
  </si>
  <si>
    <t>temps pour un cycle</t>
  </si>
  <si>
    <t>Bouille</t>
  </si>
  <si>
    <t>Nombre de camion saturation</t>
  </si>
  <si>
    <t>Couche d'accroche émulsion</t>
  </si>
  <si>
    <t>Consommation des enrobés</t>
  </si>
  <si>
    <t>m3 pour un ml</t>
  </si>
  <si>
    <t>en Kg</t>
  </si>
  <si>
    <t>Tonnage/ml</t>
  </si>
  <si>
    <t>en tonne</t>
  </si>
  <si>
    <t>tonnage par min</t>
  </si>
  <si>
    <t>Nombre de camion réel</t>
  </si>
  <si>
    <t>Largeur bouille (m)</t>
  </si>
  <si>
    <t>temps de consomation pour un semi</t>
  </si>
  <si>
    <t>Manuel</t>
  </si>
  <si>
    <t>Nombre de passage</t>
  </si>
  <si>
    <t>Nombre ml réalisable</t>
  </si>
  <si>
    <t>chargeuse</t>
  </si>
  <si>
    <t>Contenance (Tonne)</t>
  </si>
  <si>
    <t>Nombre de bande finisseur</t>
  </si>
  <si>
    <t>contenance en litre</t>
  </si>
  <si>
    <t>en Litre</t>
  </si>
  <si>
    <t>ml à faire par bande</t>
  </si>
  <si>
    <t>Capacité en m2</t>
  </si>
  <si>
    <t>Nombre de bande main</t>
  </si>
  <si>
    <t>dimension raclette (cm)</t>
  </si>
  <si>
    <t>Capacité en ml</t>
  </si>
  <si>
    <t>ml bande à la main</t>
  </si>
  <si>
    <t>Tonne godet chargeuse</t>
  </si>
  <si>
    <t>Nombre de cycle bouille</t>
  </si>
  <si>
    <t>Nombre ml à faire</t>
  </si>
  <si>
    <t>m2 par godet</t>
  </si>
  <si>
    <t>Temps pour les bandes</t>
  </si>
  <si>
    <t>temps remplir chargeuse (min)</t>
  </si>
  <si>
    <t>Vitesse de répandage (m/h)</t>
  </si>
  <si>
    <t>temps vidée chargeuse (min)</t>
  </si>
  <si>
    <t>temps de répandage</t>
  </si>
  <si>
    <t xml:space="preserve">nombre de godet </t>
  </si>
  <si>
    <t>temps total chargeuse</t>
  </si>
  <si>
    <t>temps remplir pelle (s)</t>
  </si>
  <si>
    <t>temps total pelle</t>
  </si>
  <si>
    <t>vitesse raclette (s/m2)</t>
  </si>
  <si>
    <t>temps total raclette</t>
  </si>
  <si>
    <t>temps total chargeuse + raclette + pelle</t>
  </si>
  <si>
    <t>dernier coup de godet</t>
  </si>
  <si>
    <t>Temps de travail</t>
  </si>
  <si>
    <t>temps pelle</t>
  </si>
  <si>
    <t>Temps travaillé par jours (h)</t>
  </si>
  <si>
    <t>temps raclette</t>
  </si>
  <si>
    <t>Total de temps de chantier h</t>
  </si>
  <si>
    <t>temps jours</t>
  </si>
  <si>
    <t>Epaulement terre végétale</t>
  </si>
  <si>
    <t>temps pour les deux couches</t>
  </si>
  <si>
    <t>temps pour les 2 couches</t>
  </si>
  <si>
    <t>couche gravillon (L/m2)</t>
  </si>
  <si>
    <t>couche liant (Kg/m2)</t>
  </si>
  <si>
    <t>bb0/10</t>
  </si>
  <si>
    <t>mise en place béton</t>
  </si>
  <si>
    <t>hauteur haute</t>
  </si>
  <si>
    <t>vitesse de mise en place (s/ml)</t>
  </si>
  <si>
    <t>largeur longue</t>
  </si>
  <si>
    <t>temps en seconde</t>
  </si>
  <si>
    <t>Longueur à mettre (ml)</t>
  </si>
  <si>
    <t>temps en minute</t>
  </si>
  <si>
    <t>longueur d'une bordure</t>
  </si>
  <si>
    <t>eclatage béton</t>
  </si>
  <si>
    <t>Nombre de bordure</t>
  </si>
  <si>
    <t>vitesse mep à la pelle (s/ml)</t>
  </si>
  <si>
    <t>Semelle Béton</t>
  </si>
  <si>
    <t>confection mortier</t>
  </si>
  <si>
    <t>Largeur semelle béton</t>
  </si>
  <si>
    <t>temps</t>
  </si>
  <si>
    <t>Surface bordure (m²)</t>
  </si>
  <si>
    <t>Hauteur semelle béton</t>
  </si>
  <si>
    <t>Règlage béton</t>
  </si>
  <si>
    <t>epaisseur joint (m)</t>
  </si>
  <si>
    <t>Surface semelle béton</t>
  </si>
  <si>
    <t>vitesse (s/ml)</t>
  </si>
  <si>
    <t>volume joint (m3)</t>
  </si>
  <si>
    <t xml:space="preserve">Volume semelle béton </t>
  </si>
  <si>
    <t>volume en litre / joint</t>
  </si>
  <si>
    <t>Epaulement Béton</t>
  </si>
  <si>
    <t>temps (min) / 35L</t>
  </si>
  <si>
    <t>Hauteur épaulement trottoire</t>
  </si>
  <si>
    <t>Approvisionnement bordures</t>
  </si>
  <si>
    <t>volume en litre total</t>
  </si>
  <si>
    <t>Surface épaulement trottoire</t>
  </si>
  <si>
    <t>1 palette + pince (s)</t>
  </si>
  <si>
    <t>Volume épaulement trottoire</t>
  </si>
  <si>
    <t xml:space="preserve">trajet (s) </t>
  </si>
  <si>
    <t>confection joint</t>
  </si>
  <si>
    <t xml:space="preserve"> </t>
  </si>
  <si>
    <t>Hauteur épaulement chaussée</t>
  </si>
  <si>
    <t xml:space="preserve">temps total </t>
  </si>
  <si>
    <t>temps par joint (s)</t>
  </si>
  <si>
    <t>Surface épaulement chaussée</t>
  </si>
  <si>
    <t>mise en place bordures</t>
  </si>
  <si>
    <t>nombre de joint</t>
  </si>
  <si>
    <t>Volume épaulement chaussée</t>
  </si>
  <si>
    <t>Temps de bardage / 1 ml  (s)</t>
  </si>
  <si>
    <t>Volume Totale béton pour 1 ml</t>
  </si>
  <si>
    <t>Temps total</t>
  </si>
  <si>
    <t>Convertion en Litre</t>
  </si>
  <si>
    <t>temps mep cordo / 1ml (s)</t>
  </si>
  <si>
    <t>Volume total béton (m3)</t>
  </si>
  <si>
    <t>Temps total efficient</t>
  </si>
  <si>
    <t>Toupie Béton</t>
  </si>
  <si>
    <t>Temps mep bordure / 1ml</t>
  </si>
  <si>
    <t>Nombre de jours travaillé</t>
  </si>
  <si>
    <t>Contenance d'une Toupie (m3)</t>
  </si>
  <si>
    <t>Temps Total</t>
  </si>
  <si>
    <t>Nombre de Toupie necessaire</t>
  </si>
  <si>
    <t>Reglage Bordure</t>
  </si>
  <si>
    <t xml:space="preserve">ml réalisable par Toupie </t>
  </si>
  <si>
    <t>réglage d'une bordure (nb coups)</t>
  </si>
  <si>
    <t>Palette de bordure</t>
  </si>
  <si>
    <t>temps pour une bordure (s)</t>
  </si>
  <si>
    <t>Nombre de bordure par palette</t>
  </si>
  <si>
    <t>Nombre de palette necessaie</t>
  </si>
  <si>
    <t>Epaulement bordure</t>
  </si>
  <si>
    <t>mep béton devant &amp; derriere (coup de pelle)</t>
  </si>
  <si>
    <t>temps par coups (s)</t>
  </si>
  <si>
    <t>temps (s)</t>
  </si>
  <si>
    <t>Nb llissage à la pelle (devant et derriere)</t>
  </si>
  <si>
    <t>temps par lissage (s)</t>
  </si>
  <si>
    <t>temps epaulement pour 1 ml (s)</t>
  </si>
  <si>
    <t xml:space="preserve">temps epaulement Total </t>
  </si>
  <si>
    <t>U</t>
  </si>
  <si>
    <t>Béton C25/30</t>
  </si>
  <si>
    <t>Toupie 6m3</t>
  </si>
  <si>
    <t>Voyage</t>
  </si>
  <si>
    <t>mortier 25kg</t>
  </si>
  <si>
    <t>u</t>
  </si>
  <si>
    <t>BORDURES I1</t>
  </si>
  <si>
    <t>BORDURES I2</t>
  </si>
  <si>
    <t>BORDURES CC1</t>
  </si>
  <si>
    <t>Bordure Dimension</t>
  </si>
  <si>
    <t xml:space="preserve">Dimension </t>
  </si>
  <si>
    <t>épaisseur</t>
  </si>
  <si>
    <t>Volume</t>
  </si>
  <si>
    <t>Temps coulage par toupie (s)</t>
  </si>
  <si>
    <t>Lissage</t>
  </si>
  <si>
    <t>coup de balaye</t>
  </si>
  <si>
    <t>vitesse balaye (s/m²)</t>
  </si>
  <si>
    <t>vitesse lissage (s/²)</t>
  </si>
  <si>
    <t>toupie</t>
  </si>
  <si>
    <t>béton c25/30</t>
  </si>
  <si>
    <t>voyage</t>
  </si>
  <si>
    <t>Sablières de Saléchan - ABCVL
La Gerle, Gouasquet, 65370 Saléchan</t>
  </si>
  <si>
    <t>réglagle</t>
  </si>
  <si>
    <t>vitesse lissage (s/m²)</t>
  </si>
  <si>
    <t>pose de galet</t>
  </si>
  <si>
    <t>total</t>
  </si>
  <si>
    <t>vitesse  (s/m²)</t>
  </si>
  <si>
    <t>Jointage</t>
  </si>
  <si>
    <t>mortier</t>
  </si>
  <si>
    <t>terassement regard</t>
  </si>
  <si>
    <t>L’enduit fin des
 parois et du radier</t>
  </si>
  <si>
    <t>hauteur total regard</t>
  </si>
  <si>
    <t>nettoyage</t>
  </si>
  <si>
    <t>m2 radier</t>
  </si>
  <si>
    <t>temps/sec</t>
  </si>
  <si>
    <t>ep radier</t>
  </si>
  <si>
    <t>total béton m3</t>
  </si>
  <si>
    <t>béton radier m3</t>
  </si>
  <si>
    <t>efficience</t>
  </si>
  <si>
    <t>5/6</t>
  </si>
  <si>
    <t>coulage radier sec</t>
  </si>
  <si>
    <t>temps total/s</t>
  </si>
  <si>
    <t>circonférence parois</t>
  </si>
  <si>
    <t>ep parois</t>
  </si>
  <si>
    <t>hauteur cunette</t>
  </si>
  <si>
    <t>béton parois m3</t>
  </si>
  <si>
    <t>coulage parois sec</t>
  </si>
  <si>
    <t>ep dalle réductice</t>
  </si>
  <si>
    <t>pose dalle réductrice</t>
  </si>
  <si>
    <t>mise a la cote</t>
  </si>
  <si>
    <t>nb joint</t>
  </si>
  <si>
    <t>temps sec pose joint</t>
  </si>
  <si>
    <t>térrassement et
 réglage fond nettoyage</t>
  </si>
  <si>
    <t>fourgon benne</t>
  </si>
  <si>
    <t>transport du béton</t>
  </si>
  <si>
    <t>macon</t>
  </si>
  <si>
    <t>pose regard béton 
et coulage cunette finition et mise a la cote</t>
  </si>
  <si>
    <t>implante</t>
  </si>
  <si>
    <r>
      <t xml:space="preserve"> </t>
    </r>
    <r>
      <rPr>
        <sz val="10"/>
        <color theme="1"/>
        <rFont val="Arial"/>
        <family val="2"/>
      </rPr>
      <t>On terrasse le fond a la main ;avec l'aide de la pelle ont pose les éléments de regard en inserent un joint entre chacun d'eux. les macon réalisent les finitions d'enduit interieur; nettoyage puis selle le tampon a la cote définitive</t>
    </r>
  </si>
  <si>
    <r>
      <t>pose élémen</t>
    </r>
    <r>
      <rPr>
        <sz val="11"/>
        <rFont val="Times New Roman"/>
        <family val="1"/>
      </rPr>
      <t>t regard</t>
    </r>
  </si>
  <si>
    <t>décapage</t>
  </si>
  <si>
    <t>évacuation</t>
  </si>
  <si>
    <t>dressage des berges</t>
  </si>
  <si>
    <t>réglage du lit de fond</t>
  </si>
  <si>
    <t>coffrage</t>
  </si>
  <si>
    <t>largeur</t>
  </si>
  <si>
    <t>dalle reductrice</t>
  </si>
  <si>
    <t xml:space="preserve"> béton C25/30</t>
  </si>
  <si>
    <t>longueur (m)</t>
  </si>
  <si>
    <t>diamètre (mm)</t>
  </si>
  <si>
    <t>fourreau</t>
  </si>
  <si>
    <t>ml</t>
  </si>
  <si>
    <t>mep lit de pose</t>
  </si>
  <si>
    <t>Remblai</t>
  </si>
  <si>
    <t>Temps s/m2</t>
  </si>
  <si>
    <t>vitesse s/ml</t>
  </si>
  <si>
    <t>Lit de pose</t>
  </si>
  <si>
    <t>Efficient</t>
  </si>
  <si>
    <t xml:space="preserve"> réglage</t>
  </si>
  <si>
    <t>vitesse s/m2</t>
  </si>
  <si>
    <t>terrassement</t>
  </si>
  <si>
    <t>chauffeur de pelle</t>
  </si>
  <si>
    <t>transport sable</t>
  </si>
  <si>
    <t>pose</t>
  </si>
  <si>
    <t>aide pose</t>
  </si>
  <si>
    <t>démontage</t>
  </si>
  <si>
    <t>temps/m</t>
  </si>
  <si>
    <t>arrachage,récupération divers</t>
  </si>
  <si>
    <t>temps (s)/m</t>
  </si>
  <si>
    <t>temps total opération</t>
  </si>
  <si>
    <t>12h</t>
  </si>
  <si>
    <t>phasage</t>
  </si>
  <si>
    <t>DEMOLITION DECOUPE CHAUSSEE A LA SCIE HYDRAULIQUE ( y compris évacuation des gravats)</t>
  </si>
  <si>
    <t>M²</t>
  </si>
  <si>
    <t>Ml</t>
  </si>
  <si>
    <t>DEMOLITION DE TROTTOIRS OU D'ILOTS</t>
  </si>
  <si>
    <t>REMBLAIS D'EMPRUNT</t>
  </si>
  <si>
    <t>M³</t>
  </si>
  <si>
    <t>COUCHE DE ROULEMENT EN BETON BITUMINEUX semi grenu 0/14 de classe 3</t>
  </si>
  <si>
    <t>BORDURES D'ILOTS DE TYPE I1</t>
  </si>
  <si>
    <t xml:space="preserve">BORDURES D'ILOTS DE TYPE I2 </t>
  </si>
  <si>
    <t>CONFECTION DE TROTTOIR EN GRAVE 0/20 + bi-couche</t>
  </si>
  <si>
    <t>REMPLISSAGE D'ILOTS EN BETON C20/25</t>
  </si>
  <si>
    <t>CONFECTION DE SURFACES EN GALETS MACONNES en surlargeur du giratoire</t>
  </si>
  <si>
    <t>REGARD 40x40 AVEC GRILLE</t>
  </si>
  <si>
    <t xml:space="preserve">DEPOSE DE GLISSIERES DE SECURITE GS2 </t>
  </si>
  <si>
    <t>droite</t>
  </si>
  <si>
    <t>gauche</t>
  </si>
  <si>
    <t>rd pt</t>
  </si>
  <si>
    <t>rabottage</t>
  </si>
  <si>
    <t>couche 1+2</t>
  </si>
  <si>
    <t>roulable</t>
  </si>
  <si>
    <t>ARRACHAGE OU ABATTAGE ET DESSOUCHAGE D'ARBRES</t>
  </si>
  <si>
    <t>jours</t>
  </si>
  <si>
    <t>tot</t>
  </si>
  <si>
    <t>rdm</t>
  </si>
  <si>
    <t>60ml/h</t>
  </si>
  <si>
    <t>289m2/h</t>
  </si>
  <si>
    <t>241m2/h</t>
  </si>
  <si>
    <t>24T/H</t>
  </si>
  <si>
    <t>niveleuse</t>
  </si>
  <si>
    <t>conducteur d'engin</t>
  </si>
  <si>
    <t>Un camion arrive et déverse la grave bitume sur la zone indiqué. La niveleuse met à niveau la GB. Le compacteur compacte de la façon attendu.</t>
  </si>
  <si>
    <t>10,35m3/h</t>
  </si>
  <si>
    <t>grave bitume classe 2</t>
  </si>
  <si>
    <t>grave bitume classe 3</t>
  </si>
  <si>
    <t>20,21T/h</t>
  </si>
  <si>
    <t>finisseur</t>
  </si>
  <si>
    <t>place l'enrobé au sol</t>
  </si>
  <si>
    <t>conducteur finisseur</t>
  </si>
  <si>
    <t>conduit finisseur</t>
  </si>
  <si>
    <t>bouille</t>
  </si>
  <si>
    <t>dispose une couche d'accroche au sol</t>
  </si>
  <si>
    <t>conducteur épendeuse</t>
  </si>
  <si>
    <t>conduit épendeuse</t>
  </si>
  <si>
    <t>compacteur tandem</t>
  </si>
  <si>
    <t>compacte l'enrobé</t>
  </si>
  <si>
    <t>conducteur compacteur</t>
  </si>
  <si>
    <t>conduit compacteur</t>
  </si>
  <si>
    <t>effectue des transferts d'enrobé</t>
  </si>
  <si>
    <t>conducteur chargeuse</t>
  </si>
  <si>
    <t>conduit chargeuse</t>
  </si>
  <si>
    <t>camion d'enrobée</t>
  </si>
  <si>
    <t>livre l'enrobé</t>
  </si>
  <si>
    <t>tire les bandes manuels le long des bords</t>
  </si>
  <si>
    <t xml:space="preserve">Le camion arrive avec l'enrobé ont prépare une petite partit a la main afin de donné une base de départ au finisheur ensuite le camion se place a l'arriere du finnisheur et benne l'enrobé tout en suivant son avancé; le finisheur étale de manière régulière l'enrobé puis le compacteur passe plusieur fois afin de compacté et éffacé les traces.													</t>
  </si>
  <si>
    <t>Emulsion 65%</t>
  </si>
  <si>
    <t>la pelle transporte la terre végétale du dépôt sur place, aux endroits choisis.</t>
  </si>
  <si>
    <t>72,3m3/h</t>
  </si>
  <si>
    <t>14,75ml/h</t>
  </si>
  <si>
    <t>transport des palletes &amp; bordures</t>
  </si>
  <si>
    <t>Maçon</t>
  </si>
  <si>
    <t>mise en place des bordures, béton &amp; joints</t>
  </si>
  <si>
    <t>Le camion apporte les fournitures sur site. La pelle positionne les palletes le longs de la zone choisi. La toupie coule le béton le long de la zone où les bordures doivent être placé. Les manoeuvres régle le béton à la hauteur voulu. Un homme positionne la pince à bordure pour soulever les bordures. La pelle positionne au plus proche la bordure. Les manoeuvres placent la bordure le long du cordeau, puis le maçon règle la bordure. Une fois que la bordure est positionné, les manoeuvres positionnent l'épaulement (devant et derrière la bordure). Dès que la pose de bordure est fini, le maçon commenceça la jointure.</t>
  </si>
  <si>
    <t>13ml/h</t>
  </si>
  <si>
    <t>10ml/h</t>
  </si>
  <si>
    <t>71,5m2/h</t>
  </si>
  <si>
    <t>mise en place  béton</t>
  </si>
  <si>
    <t>une toupie vient déposer le béton, les hommes lissent le béton.</t>
  </si>
  <si>
    <t xml:space="preserve">rdmt </t>
  </si>
  <si>
    <t>80,25m2/h</t>
  </si>
  <si>
    <t>4,4m2/h</t>
  </si>
  <si>
    <t>4m2/h</t>
  </si>
  <si>
    <t>8,2ml/h</t>
  </si>
  <si>
    <t>32min/u</t>
  </si>
  <si>
    <t>drm</t>
  </si>
  <si>
    <t>15ml/h</t>
  </si>
  <si>
    <t>29,7ml/h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</si>
</sst>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 #,##0.00\ &quot;€&quot;_-;\-* #,##0.00\ &quot;€&quot;_-;_-* &quot;-&quot;??\ &quot;€&quot;_-;_-@_-"/>
    <numFmt numFmtId="164" formatCode="[$-F400]h:mm:ss\ AM/PM"/>
    <numFmt numFmtId="165" formatCode="0.0000"/>
    <numFmt numFmtId="166" formatCode="0.0"/>
    <numFmt numFmtId="167" formatCode="[h]:mm;@"/>
  </numFmts>
  <fonts count="39" x14ac:knownFonts="1">
    <font>
      <sz val="11"/>
      <color theme="1"/>
      <name val="Calibri"/>
      <family val="2"/>
      <scheme val="minor"/>
    </font>
    <font>
      <b/>
      <sz val="11"/>
      <color theme="1"/>
      <name val="Calibri"/>
      <family val="2"/>
      <scheme val="minor"/>
    </font>
    <font>
      <b/>
      <sz val="12"/>
      <name val="Arial"/>
      <family val="2"/>
    </font>
    <font>
      <sz val="10"/>
      <name val="Arial"/>
      <family val="2"/>
    </font>
    <font>
      <b/>
      <sz val="8"/>
      <name val="Times New Roman"/>
      <family val="1"/>
    </font>
    <font>
      <b/>
      <sz val="10"/>
      <name val="Times New Roman"/>
      <family val="1"/>
    </font>
    <font>
      <sz val="10"/>
      <name val="Times New Roman"/>
      <family val="1"/>
    </font>
    <font>
      <sz val="12"/>
      <name val="Times New Roman"/>
      <family val="1"/>
    </font>
    <font>
      <b/>
      <sz val="10"/>
      <name val="Arial"/>
      <family val="2"/>
    </font>
    <font>
      <b/>
      <sz val="11"/>
      <name val="Times New Roman"/>
      <family val="1"/>
    </font>
    <font>
      <b/>
      <sz val="10"/>
      <color theme="1"/>
      <name val="Arial"/>
      <family val="2"/>
    </font>
    <font>
      <sz val="10"/>
      <color theme="1"/>
      <name val="Arial"/>
      <family val="2"/>
    </font>
    <font>
      <b/>
      <sz val="11"/>
      <color rgb="FFFF0000"/>
      <name val="Arial"/>
      <family val="2"/>
    </font>
    <font>
      <sz val="10"/>
      <color rgb="FFFF0000"/>
      <name val="Arial"/>
      <family val="2"/>
    </font>
    <font>
      <sz val="12"/>
      <name val="Arial"/>
      <family val="2"/>
    </font>
    <font>
      <sz val="8"/>
      <name val="Arial"/>
      <family val="2"/>
    </font>
    <font>
      <sz val="9"/>
      <color theme="1"/>
      <name val="Calibri"/>
      <family val="2"/>
      <scheme val="minor"/>
    </font>
    <font>
      <sz val="10"/>
      <name val="Arial"/>
    </font>
    <font>
      <sz val="11"/>
      <color theme="1"/>
      <name val="Calibri"/>
      <family val="2"/>
      <scheme val="minor"/>
    </font>
    <font>
      <sz val="10"/>
      <color theme="1"/>
      <name val="Times New Roman"/>
      <family val="1"/>
    </font>
    <font>
      <sz val="12"/>
      <color theme="1"/>
      <name val="Times New Roman"/>
      <family val="1"/>
    </font>
    <font>
      <b/>
      <sz val="10"/>
      <color theme="1"/>
      <name val="Times New Roman"/>
      <family val="1"/>
    </font>
    <font>
      <b/>
      <sz val="10"/>
      <color rgb="FFFF0000"/>
      <name val="Arial"/>
      <family val="2"/>
    </font>
    <font>
      <i/>
      <sz val="10"/>
      <color theme="1"/>
      <name val="Arial"/>
      <family val="2"/>
    </font>
    <font>
      <sz val="11"/>
      <color rgb="FFFF0000"/>
      <name val="Calibri"/>
      <family val="2"/>
      <scheme val="minor"/>
    </font>
    <font>
      <b/>
      <sz val="12"/>
      <color rgb="FFFF0000"/>
      <name val="Arial"/>
      <family val="2"/>
    </font>
    <font>
      <b/>
      <sz val="11"/>
      <name val="Arial"/>
      <family val="2"/>
    </font>
    <font>
      <b/>
      <sz val="11"/>
      <color rgb="FFFF0000"/>
      <name val="Calibri"/>
      <family val="2"/>
      <scheme val="minor"/>
    </font>
    <font>
      <sz val="11"/>
      <name val="Calibri"/>
      <family val="2"/>
      <scheme val="minor"/>
    </font>
    <font>
      <b/>
      <sz val="11"/>
      <name val="Calibri"/>
      <family val="2"/>
      <scheme val="minor"/>
    </font>
    <font>
      <b/>
      <sz val="12"/>
      <color rgb="FFFF0000"/>
      <name val="Calibri"/>
      <family val="2"/>
      <scheme val="minor"/>
    </font>
    <font>
      <b/>
      <i/>
      <sz val="10"/>
      <name val="Arial"/>
      <family val="2"/>
    </font>
    <font>
      <sz val="11"/>
      <name val="Times New Roman"/>
      <family val="1"/>
    </font>
    <font>
      <b/>
      <sz val="9"/>
      <color rgb="FFFF0000"/>
      <name val="Tahoma-Bold"/>
    </font>
    <font>
      <b/>
      <sz val="9"/>
      <color theme="1"/>
      <name val="Calibri Light"/>
      <family val="1"/>
      <scheme val="major"/>
    </font>
    <font>
      <sz val="9"/>
      <color theme="1"/>
      <name val="Calibri Light"/>
      <family val="1"/>
      <scheme val="major"/>
    </font>
    <font>
      <sz val="8"/>
      <color theme="1"/>
      <name val="Calibri"/>
      <family val="2"/>
      <scheme val="minor"/>
    </font>
    <font>
      <b/>
      <sz val="14"/>
      <color theme="1"/>
      <name val="Calibri"/>
      <family val="2"/>
      <scheme val="minor"/>
    </font>
    <font>
      <sz val="9"/>
      <name val="Calibri Light"/>
      <family val="2"/>
      <scheme val="major"/>
    </font>
  </fonts>
  <fills count="8">
    <fill>
      <patternFill patternType="none"/>
    </fill>
    <fill>
      <patternFill patternType="gray125"/>
    </fill>
    <fill>
      <patternFill patternType="solid">
        <fgColor indexed="22"/>
        <bgColor indexed="64"/>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9"/>
        <bgColor theme="9"/>
      </patternFill>
    </fill>
    <fill>
      <patternFill patternType="solid">
        <fgColor theme="0"/>
        <bgColor theme="9" tint="0.79998168889431442"/>
      </patternFill>
    </fill>
    <fill>
      <patternFill patternType="solid">
        <fgColor theme="0"/>
        <bgColor indexed="64"/>
      </patternFill>
    </fill>
  </fills>
  <borders count="11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hair">
        <color auto="1"/>
      </bottom>
      <diagonal/>
    </border>
    <border>
      <left/>
      <right/>
      <top style="thin">
        <color indexed="64"/>
      </top>
      <bottom style="hair">
        <color auto="1"/>
      </bottom>
      <diagonal/>
    </border>
    <border>
      <left/>
      <right style="medium">
        <color indexed="64"/>
      </right>
      <top style="thin">
        <color indexed="64"/>
      </top>
      <bottom style="hair">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right/>
      <top style="hair">
        <color auto="1"/>
      </top>
      <bottom style="hair">
        <color auto="1"/>
      </bottom>
      <diagonal/>
    </border>
    <border>
      <left/>
      <right style="medium">
        <color indexed="64"/>
      </right>
      <top style="hair">
        <color auto="1"/>
      </top>
      <bottom style="hair">
        <color auto="1"/>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hair">
        <color auto="1"/>
      </bottom>
      <diagonal/>
    </border>
    <border>
      <left/>
      <right/>
      <top/>
      <bottom style="hair">
        <color auto="1"/>
      </bottom>
      <diagonal/>
    </border>
    <border>
      <left/>
      <right style="medium">
        <color indexed="64"/>
      </right>
      <top/>
      <bottom style="hair">
        <color auto="1"/>
      </bottom>
      <diagonal/>
    </border>
    <border>
      <left style="medium">
        <color indexed="64"/>
      </left>
      <right/>
      <top style="hair">
        <color auto="1"/>
      </top>
      <bottom style="hair">
        <color auto="1"/>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style="hair">
        <color auto="1"/>
      </top>
      <bottom style="thin">
        <color indexed="64"/>
      </bottom>
      <diagonal/>
    </border>
    <border>
      <left/>
      <right style="medium">
        <color indexed="64"/>
      </right>
      <top style="hair">
        <color auto="1"/>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rgb="FF000000"/>
      </right>
      <top style="thin">
        <color indexed="64"/>
      </top>
      <bottom style="thin">
        <color theme="9" tint="0.39997558519241921"/>
      </bottom>
      <diagonal/>
    </border>
    <border>
      <left style="thin">
        <color rgb="FF000000"/>
      </left>
      <right style="thin">
        <color indexed="64"/>
      </right>
      <top style="medium">
        <color indexed="64"/>
      </top>
      <bottom style="thin">
        <color theme="9" tint="0.39997558519241921"/>
      </bottom>
      <diagonal/>
    </border>
    <border>
      <left style="thin">
        <color indexed="64"/>
      </left>
      <right style="thin">
        <color rgb="FF000000"/>
      </right>
      <top style="medium">
        <color indexed="64"/>
      </top>
      <bottom style="thin">
        <color indexed="64"/>
      </bottom>
      <diagonal/>
    </border>
    <border>
      <left style="thin">
        <color rgb="FF000000"/>
      </left>
      <right style="thin">
        <color indexed="64"/>
      </right>
      <top style="medium">
        <color indexed="64"/>
      </top>
      <bottom style="medium">
        <color indexed="64"/>
      </bottom>
      <diagonal/>
    </border>
    <border>
      <left style="thin">
        <color indexed="64"/>
      </left>
      <right style="thin">
        <color rgb="FF000000"/>
      </right>
      <top style="medium">
        <color indexed="64"/>
      </top>
      <bottom style="medium">
        <color indexed="64"/>
      </bottom>
      <diagonal/>
    </border>
    <border>
      <left style="thin">
        <color indexed="64"/>
      </left>
      <right style="thin">
        <color rgb="FF000000"/>
      </right>
      <top style="medium">
        <color indexed="64"/>
      </top>
      <bottom style="thin">
        <color theme="9" tint="0.39997558519241921"/>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style="thin">
        <color theme="9" tint="0.39997558519241921"/>
      </bottom>
      <diagonal/>
    </border>
    <border>
      <left style="thin">
        <color indexed="64"/>
      </left>
      <right style="thin">
        <color indexed="64"/>
      </right>
      <top style="medium">
        <color indexed="64"/>
      </top>
      <bottom style="thin">
        <color theme="9" tint="0.39997558519241921"/>
      </bottom>
      <diagonal/>
    </border>
    <border>
      <left/>
      <right style="thin">
        <color indexed="64"/>
      </right>
      <top style="medium">
        <color indexed="64"/>
      </top>
      <bottom style="thin">
        <color theme="9" tint="0.39997558519241921"/>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medium">
        <color indexed="64"/>
      </top>
      <bottom style="medium">
        <color indexed="64"/>
      </bottom>
      <diagonal/>
    </border>
    <border>
      <left/>
      <right/>
      <top style="medium">
        <color indexed="64"/>
      </top>
      <bottom style="hair">
        <color auto="1"/>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thin">
        <color theme="9" tint="0.39997558519241921"/>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theme="9" tint="0.39997558519241921"/>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style="thin">
        <color theme="9" tint="0.39997558519241921"/>
      </bottom>
      <diagonal/>
    </border>
    <border>
      <left style="thin">
        <color indexed="64"/>
      </left>
      <right style="medium">
        <color indexed="64"/>
      </right>
      <top/>
      <bottom style="medium">
        <color indexed="64"/>
      </bottom>
      <diagonal/>
    </border>
    <border>
      <left style="thin">
        <color indexed="64"/>
      </left>
      <right style="thin">
        <color rgb="FF000000"/>
      </right>
      <top style="thin">
        <color indexed="64"/>
      </top>
      <bottom/>
      <diagonal/>
    </border>
    <border>
      <left style="thin">
        <color indexed="64"/>
      </left>
      <right/>
      <top style="thin">
        <color theme="9" tint="0.39997558519241921"/>
      </top>
      <bottom style="thin">
        <color indexed="64"/>
      </bottom>
      <diagonal/>
    </border>
    <border>
      <left style="thin">
        <color indexed="64"/>
      </left>
      <right/>
      <top style="thin">
        <color indexed="64"/>
      </top>
      <bottom style="thin">
        <color theme="9" tint="0.39997558519241921"/>
      </bottom>
      <diagonal/>
    </border>
    <border>
      <left/>
      <right style="thin">
        <color indexed="64"/>
      </right>
      <top style="thin">
        <color theme="9" tint="0.39997558519241921"/>
      </top>
      <bottom style="thin">
        <color indexed="64"/>
      </bottom>
      <diagonal/>
    </border>
    <border>
      <left/>
      <right style="thin">
        <color indexed="64"/>
      </right>
      <top style="thin">
        <color indexed="64"/>
      </top>
      <bottom style="medium">
        <color indexed="64"/>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thin">
        <color rgb="FF000000"/>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medium">
        <color indexed="64"/>
      </bottom>
      <diagonal/>
    </border>
    <border>
      <left style="thin">
        <color indexed="64"/>
      </left>
      <right/>
      <top/>
      <bottom style="hair">
        <color auto="1"/>
      </bottom>
      <diagonal/>
    </border>
    <border>
      <left/>
      <right style="thin">
        <color indexed="64"/>
      </right>
      <top/>
      <bottom style="hair">
        <color auto="1"/>
      </bottom>
      <diagonal/>
    </border>
    <border>
      <left/>
      <right style="thin">
        <color indexed="64"/>
      </right>
      <top style="hair">
        <color auto="1"/>
      </top>
      <bottom style="thin">
        <color indexed="64"/>
      </bottom>
      <diagonal/>
    </border>
  </borders>
  <cellStyleXfs count="4">
    <xf numFmtId="0" fontId="0" fillId="0" borderId="0"/>
    <xf numFmtId="0" fontId="18" fillId="0" borderId="0"/>
    <xf numFmtId="44" fontId="18" fillId="0" borderId="0" applyFont="0" applyFill="0" applyBorder="0" applyAlignment="0" applyProtection="0"/>
    <xf numFmtId="44" fontId="3" fillId="0" borderId="0" applyFont="0" applyFill="0" applyBorder="0" applyAlignment="0" applyProtection="0"/>
  </cellStyleXfs>
  <cellXfs count="768">
    <xf numFmtId="0" fontId="0" fillId="0" borderId="0" xfId="0"/>
    <xf numFmtId="0" fontId="6" fillId="0" borderId="14" xfId="0" applyFont="1" applyBorder="1" applyAlignment="1">
      <alignment horizontal="center"/>
    </xf>
    <xf numFmtId="0" fontId="6" fillId="0" borderId="15" xfId="0" applyFont="1" applyBorder="1" applyAlignment="1">
      <alignment horizontal="center"/>
    </xf>
    <xf numFmtId="2" fontId="7" fillId="0" borderId="20" xfId="0" applyNumberFormat="1" applyFont="1" applyBorder="1" applyAlignment="1">
      <alignment vertical="center"/>
    </xf>
    <xf numFmtId="0" fontId="7" fillId="0" borderId="21" xfId="0" applyFont="1" applyBorder="1" applyAlignment="1">
      <alignment vertical="center"/>
    </xf>
    <xf numFmtId="0" fontId="7" fillId="0" borderId="27" xfId="0" applyFont="1" applyBorder="1" applyAlignment="1">
      <alignment horizontal="center"/>
    </xf>
    <xf numFmtId="0" fontId="7" fillId="0" borderId="28" xfId="0" applyFont="1" applyBorder="1" applyAlignment="1">
      <alignment horizontal="center"/>
    </xf>
    <xf numFmtId="0" fontId="7" fillId="0" borderId="30" xfId="0" applyFont="1" applyBorder="1" applyAlignment="1">
      <alignment horizontal="center"/>
    </xf>
    <xf numFmtId="2" fontId="6" fillId="0" borderId="27" xfId="0" applyNumberFormat="1" applyFont="1" applyBorder="1" applyAlignment="1">
      <alignment horizontal="center"/>
    </xf>
    <xf numFmtId="2" fontId="6" fillId="0" borderId="28" xfId="0" applyNumberFormat="1" applyFont="1" applyBorder="1" applyAlignment="1">
      <alignment horizontal="center"/>
    </xf>
    <xf numFmtId="2" fontId="6" fillId="0" borderId="6" xfId="0" applyNumberFormat="1" applyFont="1" applyBorder="1" applyAlignment="1">
      <alignment vertical="center" wrapText="1"/>
    </xf>
    <xf numFmtId="0" fontId="0" fillId="0" borderId="34" xfId="0" applyBorder="1"/>
    <xf numFmtId="0" fontId="9" fillId="2" borderId="37" xfId="0" applyFont="1" applyFill="1" applyBorder="1"/>
    <xf numFmtId="0" fontId="6" fillId="2" borderId="38" xfId="0" applyFont="1" applyFill="1" applyBorder="1"/>
    <xf numFmtId="0" fontId="6" fillId="2" borderId="39" xfId="0" applyFont="1" applyFill="1" applyBorder="1"/>
    <xf numFmtId="0" fontId="3" fillId="0" borderId="40" xfId="0" applyFont="1" applyBorder="1"/>
    <xf numFmtId="0" fontId="0" fillId="0" borderId="41" xfId="0" applyBorder="1"/>
    <xf numFmtId="0" fontId="0" fillId="0" borderId="42" xfId="0" applyBorder="1"/>
    <xf numFmtId="0" fontId="3" fillId="0" borderId="43" xfId="0" applyFont="1" applyBorder="1"/>
    <xf numFmtId="0" fontId="0" fillId="0" borderId="33" xfId="0" applyBorder="1"/>
    <xf numFmtId="0" fontId="0" fillId="0" borderId="43" xfId="0" applyBorder="1"/>
    <xf numFmtId="0" fontId="0" fillId="2" borderId="38" xfId="0" applyFill="1" applyBorder="1"/>
    <xf numFmtId="0" fontId="0" fillId="2" borderId="39" xfId="0" applyFill="1" applyBorder="1"/>
    <xf numFmtId="0" fontId="8" fillId="0" borderId="44" xfId="0" applyFont="1" applyBorder="1"/>
    <xf numFmtId="0" fontId="8" fillId="0" borderId="45" xfId="0" applyFont="1" applyBorder="1"/>
    <xf numFmtId="0" fontId="0" fillId="0" borderId="46" xfId="0" applyBorder="1"/>
    <xf numFmtId="0" fontId="3" fillId="0" borderId="30" xfId="0" applyFont="1" applyBorder="1"/>
    <xf numFmtId="0" fontId="3" fillId="0" borderId="30" xfId="0" applyFont="1" applyBorder="1" applyAlignment="1">
      <alignment wrapText="1"/>
    </xf>
    <xf numFmtId="0" fontId="3" fillId="0" borderId="28" xfId="0" applyFont="1" applyBorder="1"/>
    <xf numFmtId="0" fontId="0" fillId="0" borderId="28" xfId="0" applyBorder="1"/>
    <xf numFmtId="0" fontId="0" fillId="0" borderId="46" xfId="0" applyBorder="1" applyAlignment="1">
      <alignment wrapText="1"/>
    </xf>
    <xf numFmtId="0" fontId="3" fillId="0" borderId="46" xfId="0" applyFont="1" applyBorder="1" applyAlignment="1"/>
    <xf numFmtId="0" fontId="3" fillId="0" borderId="46" xfId="0" applyFont="1" applyBorder="1"/>
    <xf numFmtId="165" fontId="0" fillId="0" borderId="46" xfId="0" applyNumberFormat="1" applyBorder="1"/>
    <xf numFmtId="166" fontId="0" fillId="0" borderId="46" xfId="0" applyNumberFormat="1" applyBorder="1"/>
    <xf numFmtId="0" fontId="0" fillId="0" borderId="7" xfId="0" applyBorder="1"/>
    <xf numFmtId="164" fontId="13" fillId="0" borderId="7" xfId="0" applyNumberFormat="1" applyFont="1" applyBorder="1"/>
    <xf numFmtId="0" fontId="11" fillId="0" borderId="28" xfId="0" applyFont="1" applyBorder="1"/>
    <xf numFmtId="0" fontId="5" fillId="2" borderId="37" xfId="0" applyFont="1" applyFill="1" applyBorder="1" applyAlignment="1"/>
    <xf numFmtId="0" fontId="5" fillId="2" borderId="38" xfId="0" applyFont="1" applyFill="1" applyBorder="1" applyAlignment="1"/>
    <xf numFmtId="0" fontId="6" fillId="0" borderId="50" xfId="0" applyFont="1" applyBorder="1" applyAlignment="1">
      <alignment horizontal="center" vertical="center"/>
    </xf>
    <xf numFmtId="0" fontId="6" fillId="0" borderId="14" xfId="0" applyFont="1" applyBorder="1" applyAlignment="1">
      <alignment horizontal="center" vertical="center"/>
    </xf>
    <xf numFmtId="0" fontId="6" fillId="0" borderId="45" xfId="0" applyFont="1" applyBorder="1" applyAlignment="1">
      <alignment horizontal="center" vertical="center"/>
    </xf>
    <xf numFmtId="0" fontId="6" fillId="0" borderId="28" xfId="0" applyFont="1" applyFill="1" applyBorder="1" applyAlignment="1">
      <alignment horizontal="center" vertical="center" wrapText="1"/>
    </xf>
    <xf numFmtId="0" fontId="6" fillId="0" borderId="29" xfId="0" applyFont="1" applyFill="1" applyBorder="1" applyAlignment="1">
      <alignment horizontal="center" vertical="center" wrapText="1"/>
    </xf>
    <xf numFmtId="0" fontId="6" fillId="0" borderId="27" xfId="0" applyNumberFormat="1" applyFont="1" applyBorder="1" applyAlignment="1">
      <alignment horizontal="center"/>
    </xf>
    <xf numFmtId="0" fontId="6" fillId="0" borderId="28" xfId="0" applyFont="1" applyBorder="1" applyAlignment="1">
      <alignment horizontal="center"/>
    </xf>
    <xf numFmtId="2" fontId="6" fillId="0" borderId="46" xfId="0" applyNumberFormat="1" applyFont="1" applyBorder="1" applyAlignment="1">
      <alignment horizontal="center"/>
    </xf>
    <xf numFmtId="0" fontId="0" fillId="0" borderId="29" xfId="0" applyBorder="1"/>
    <xf numFmtId="49" fontId="6" fillId="0" borderId="16" xfId="0" applyNumberFormat="1" applyFont="1" applyBorder="1" applyAlignment="1">
      <alignment horizontal="center"/>
    </xf>
    <xf numFmtId="2" fontId="6" fillId="0" borderId="20" xfId="0" applyNumberFormat="1" applyFont="1" applyBorder="1" applyAlignment="1">
      <alignment horizontal="center"/>
    </xf>
    <xf numFmtId="0" fontId="6" fillId="0" borderId="20" xfId="0" applyFont="1" applyBorder="1" applyAlignment="1">
      <alignment horizontal="center"/>
    </xf>
    <xf numFmtId="2" fontId="6" fillId="0" borderId="51" xfId="0" applyNumberFormat="1" applyFont="1" applyBorder="1" applyAlignment="1">
      <alignment horizontal="center"/>
    </xf>
    <xf numFmtId="0" fontId="0" fillId="0" borderId="20" xfId="0" applyBorder="1"/>
    <xf numFmtId="0" fontId="0" fillId="0" borderId="21" xfId="0" applyBorder="1"/>
    <xf numFmtId="0" fontId="0" fillId="0" borderId="30" xfId="0" applyNumberFormat="1" applyBorder="1"/>
    <xf numFmtId="0" fontId="0" fillId="0" borderId="46" xfId="0" applyNumberFormat="1" applyBorder="1"/>
    <xf numFmtId="0" fontId="0" fillId="0" borderId="41" xfId="0" applyNumberFormat="1" applyBorder="1"/>
    <xf numFmtId="0" fontId="8" fillId="0" borderId="30" xfId="0" applyNumberFormat="1" applyFont="1" applyBorder="1"/>
    <xf numFmtId="0" fontId="3" fillId="0" borderId="41" xfId="0" applyNumberFormat="1" applyFont="1" applyBorder="1"/>
    <xf numFmtId="0" fontId="0" fillId="0" borderId="42" xfId="0" applyNumberFormat="1" applyBorder="1"/>
    <xf numFmtId="0" fontId="0" fillId="0" borderId="30" xfId="0" applyNumberFormat="1" applyFont="1" applyFill="1" applyBorder="1"/>
    <xf numFmtId="0" fontId="0" fillId="0" borderId="33" xfId="0" applyNumberFormat="1" applyBorder="1"/>
    <xf numFmtId="0" fontId="3" fillId="0" borderId="30" xfId="0" applyNumberFormat="1" applyFont="1" applyBorder="1"/>
    <xf numFmtId="0" fontId="0" fillId="0" borderId="34" xfId="0" applyNumberFormat="1" applyBorder="1"/>
    <xf numFmtId="0" fontId="3" fillId="0" borderId="30" xfId="0" applyNumberFormat="1" applyFont="1" applyBorder="1" applyAlignment="1">
      <alignment wrapText="1"/>
    </xf>
    <xf numFmtId="0" fontId="3" fillId="0" borderId="30" xfId="0" applyNumberFormat="1" applyFont="1" applyBorder="1" applyAlignment="1">
      <alignment horizontal="right"/>
    </xf>
    <xf numFmtId="0" fontId="10" fillId="0" borderId="47" xfId="0" applyNumberFormat="1" applyFont="1" applyBorder="1" applyAlignment="1">
      <alignment wrapText="1"/>
    </xf>
    <xf numFmtId="0" fontId="11" fillId="0" borderId="48" xfId="0" applyNumberFormat="1" applyFont="1" applyBorder="1"/>
    <xf numFmtId="0" fontId="3" fillId="0" borderId="28" xfId="0" applyNumberFormat="1" applyFont="1" applyBorder="1"/>
    <xf numFmtId="0" fontId="0" fillId="0" borderId="28" xfId="0" applyNumberFormat="1" applyBorder="1"/>
    <xf numFmtId="0" fontId="11" fillId="3" borderId="47" xfId="0" applyNumberFormat="1" applyFont="1" applyFill="1" applyBorder="1"/>
    <xf numFmtId="0" fontId="11" fillId="3" borderId="48" xfId="0" applyNumberFormat="1" applyFont="1" applyFill="1" applyBorder="1"/>
    <xf numFmtId="0" fontId="12" fillId="3" borderId="48" xfId="0" applyNumberFormat="1" applyFont="1" applyFill="1" applyBorder="1"/>
    <xf numFmtId="0" fontId="0" fillId="0" borderId="46" xfId="0" applyNumberFormat="1" applyBorder="1" applyAlignment="1">
      <alignment wrapText="1"/>
    </xf>
    <xf numFmtId="0" fontId="11" fillId="3" borderId="47" xfId="0" applyNumberFormat="1" applyFont="1" applyFill="1" applyBorder="1" applyAlignment="1">
      <alignment wrapText="1"/>
    </xf>
    <xf numFmtId="0" fontId="13" fillId="3" borderId="48" xfId="0" applyNumberFormat="1" applyFont="1" applyFill="1" applyBorder="1"/>
    <xf numFmtId="0" fontId="3" fillId="0" borderId="46" xfId="0" applyNumberFormat="1" applyFont="1" applyBorder="1"/>
    <xf numFmtId="0" fontId="3" fillId="0" borderId="49" xfId="0" applyNumberFormat="1" applyFont="1" applyBorder="1"/>
    <xf numFmtId="0" fontId="0" fillId="0" borderId="7" xfId="0" applyNumberFormat="1" applyBorder="1"/>
    <xf numFmtId="0" fontId="13" fillId="0" borderId="7" xfId="0" applyNumberFormat="1" applyFont="1" applyBorder="1"/>
    <xf numFmtId="0" fontId="0" fillId="0" borderId="0" xfId="0" applyNumberFormat="1"/>
    <xf numFmtId="0" fontId="0" fillId="0" borderId="43" xfId="0" applyNumberFormat="1" applyBorder="1"/>
    <xf numFmtId="0" fontId="11" fillId="0" borderId="28" xfId="0" applyNumberFormat="1" applyFont="1" applyBorder="1"/>
    <xf numFmtId="0" fontId="3" fillId="0" borderId="49" xfId="0" applyNumberFormat="1" applyFont="1" applyFill="1" applyBorder="1"/>
    <xf numFmtId="0" fontId="14" fillId="0" borderId="20" xfId="0" applyFont="1" applyBorder="1" applyAlignment="1">
      <alignment vertical="center"/>
    </xf>
    <xf numFmtId="0" fontId="8" fillId="0" borderId="30" xfId="0" applyFont="1" applyBorder="1" applyAlignment="1">
      <alignment wrapText="1"/>
    </xf>
    <xf numFmtId="2" fontId="0" fillId="0" borderId="46" xfId="0" applyNumberFormat="1" applyBorder="1"/>
    <xf numFmtId="0" fontId="3" fillId="4" borderId="30" xfId="0" applyNumberFormat="1" applyFont="1" applyFill="1" applyBorder="1"/>
    <xf numFmtId="0" fontId="3" fillId="0" borderId="44" xfId="0" applyNumberFormat="1" applyFont="1" applyBorder="1"/>
    <xf numFmtId="0" fontId="0" fillId="4" borderId="46" xfId="0" applyNumberFormat="1" applyFill="1" applyBorder="1"/>
    <xf numFmtId="0" fontId="0" fillId="0" borderId="45" xfId="0" applyNumberFormat="1" applyBorder="1"/>
    <xf numFmtId="2" fontId="0" fillId="0" borderId="45" xfId="0" applyNumberFormat="1" applyBorder="1"/>
    <xf numFmtId="0" fontId="8" fillId="4" borderId="30" xfId="0" applyFont="1" applyFill="1" applyBorder="1"/>
    <xf numFmtId="0" fontId="0" fillId="4" borderId="46" xfId="0" applyFill="1" applyBorder="1"/>
    <xf numFmtId="0" fontId="3" fillId="0" borderId="30" xfId="0" applyFont="1" applyFill="1" applyBorder="1" applyAlignment="1">
      <alignment wrapText="1"/>
    </xf>
    <xf numFmtId="0" fontId="3" fillId="0" borderId="49" xfId="0" applyFont="1" applyBorder="1" applyAlignment="1">
      <alignment wrapText="1"/>
    </xf>
    <xf numFmtId="0" fontId="3" fillId="0" borderId="30" xfId="0" applyFont="1" applyBorder="1" applyAlignment="1">
      <alignment horizontal="right" wrapText="1"/>
    </xf>
    <xf numFmtId="0" fontId="11" fillId="0" borderId="28" xfId="0" applyFont="1" applyBorder="1" applyAlignment="1">
      <alignment wrapText="1"/>
    </xf>
    <xf numFmtId="0" fontId="3" fillId="0" borderId="49" xfId="0" applyFont="1" applyFill="1" applyBorder="1" applyAlignment="1">
      <alignment wrapText="1"/>
    </xf>
    <xf numFmtId="0" fontId="0" fillId="0" borderId="28" xfId="0" applyBorder="1" applyAlignment="1">
      <alignment wrapText="1"/>
    </xf>
    <xf numFmtId="164" fontId="0" fillId="0" borderId="0" xfId="0" applyNumberFormat="1"/>
    <xf numFmtId="0" fontId="0" fillId="0" borderId="30" xfId="0" applyNumberFormat="1" applyBorder="1" applyAlignment="1">
      <alignment wrapText="1"/>
    </xf>
    <xf numFmtId="0" fontId="0" fillId="0" borderId="30" xfId="0" applyNumberFormat="1" applyFont="1" applyFill="1" applyBorder="1" applyAlignment="1">
      <alignment wrapText="1"/>
    </xf>
    <xf numFmtId="0" fontId="3" fillId="0" borderId="30" xfId="0" applyNumberFormat="1" applyFont="1" applyFill="1" applyBorder="1" applyAlignment="1">
      <alignment wrapText="1"/>
    </xf>
    <xf numFmtId="0" fontId="1" fillId="4" borderId="30" xfId="0" applyNumberFormat="1" applyFont="1" applyFill="1" applyBorder="1" applyAlignment="1">
      <alignment wrapText="1"/>
    </xf>
    <xf numFmtId="0" fontId="1" fillId="0" borderId="28" xfId="0" applyNumberFormat="1" applyFont="1" applyBorder="1"/>
    <xf numFmtId="0" fontId="1" fillId="0" borderId="46" xfId="0" applyNumberFormat="1" applyFont="1" applyBorder="1"/>
    <xf numFmtId="0" fontId="8" fillId="4" borderId="30" xfId="0" applyNumberFormat="1" applyFont="1" applyFill="1" applyBorder="1" applyAlignment="1">
      <alignment wrapText="1"/>
    </xf>
    <xf numFmtId="0" fontId="3" fillId="4" borderId="30" xfId="0" applyNumberFormat="1" applyFont="1" applyFill="1" applyBorder="1" applyAlignment="1">
      <alignment wrapText="1"/>
    </xf>
    <xf numFmtId="0" fontId="3" fillId="4" borderId="49" xfId="0" applyFont="1" applyFill="1" applyBorder="1" applyAlignment="1">
      <alignment wrapText="1"/>
    </xf>
    <xf numFmtId="164" fontId="13" fillId="4" borderId="7" xfId="0" applyNumberFormat="1" applyFont="1" applyFill="1" applyBorder="1"/>
    <xf numFmtId="0" fontId="8" fillId="4" borderId="30" xfId="0" applyFont="1" applyFill="1" applyBorder="1" applyAlignment="1">
      <alignment wrapText="1"/>
    </xf>
    <xf numFmtId="46" fontId="0" fillId="4" borderId="46" xfId="0" applyNumberFormat="1" applyFill="1" applyBorder="1"/>
    <xf numFmtId="0" fontId="1" fillId="4" borderId="46" xfId="0" applyNumberFormat="1" applyFont="1" applyFill="1" applyBorder="1"/>
    <xf numFmtId="46" fontId="1" fillId="0" borderId="46" xfId="0" applyNumberFormat="1" applyFont="1" applyBorder="1"/>
    <xf numFmtId="0" fontId="3" fillId="0" borderId="49" xfId="0" applyNumberFormat="1" applyFont="1" applyBorder="1" applyAlignment="1">
      <alignment wrapText="1"/>
    </xf>
    <xf numFmtId="0" fontId="8" fillId="0" borderId="7" xfId="0" applyNumberFormat="1" applyFont="1" applyBorder="1"/>
    <xf numFmtId="46" fontId="1" fillId="0" borderId="7" xfId="0" applyNumberFormat="1" applyFont="1" applyBorder="1"/>
    <xf numFmtId="0" fontId="8" fillId="4" borderId="56" xfId="0" applyNumberFormat="1" applyFont="1" applyFill="1" applyBorder="1"/>
    <xf numFmtId="46" fontId="1" fillId="4" borderId="67" xfId="0" applyNumberFormat="1" applyFont="1" applyFill="1" applyBorder="1"/>
    <xf numFmtId="0" fontId="3" fillId="0" borderId="44" xfId="0" applyNumberFormat="1" applyFont="1" applyFill="1" applyBorder="1"/>
    <xf numFmtId="0" fontId="3" fillId="0" borderId="45" xfId="0" applyNumberFormat="1" applyFont="1" applyBorder="1"/>
    <xf numFmtId="0" fontId="8" fillId="4" borderId="57" xfId="0" applyNumberFormat="1" applyFont="1" applyFill="1" applyBorder="1"/>
    <xf numFmtId="0" fontId="8" fillId="4" borderId="58" xfId="0" applyNumberFormat="1" applyFont="1" applyFill="1" applyBorder="1" applyAlignment="1"/>
    <xf numFmtId="0" fontId="0" fillId="0" borderId="44" xfId="0" applyNumberFormat="1" applyFont="1" applyFill="1" applyBorder="1"/>
    <xf numFmtId="0" fontId="1" fillId="4" borderId="57" xfId="0" applyNumberFormat="1" applyFont="1" applyFill="1" applyBorder="1"/>
    <xf numFmtId="0" fontId="1" fillId="4" borderId="58" xfId="0" applyNumberFormat="1" applyFont="1" applyFill="1" applyBorder="1"/>
    <xf numFmtId="0" fontId="8" fillId="0" borderId="53" xfId="0" applyFont="1" applyBorder="1"/>
    <xf numFmtId="0" fontId="8" fillId="0" borderId="52" xfId="0" applyFont="1" applyBorder="1"/>
    <xf numFmtId="0" fontId="0" fillId="4" borderId="58" xfId="0" applyNumberFormat="1" applyFill="1" applyBorder="1"/>
    <xf numFmtId="2" fontId="0" fillId="0" borderId="46" xfId="0" applyNumberFormat="1" applyBorder="1" applyAlignment="1">
      <alignment wrapText="1"/>
    </xf>
    <xf numFmtId="0" fontId="0" fillId="0" borderId="41" xfId="0" applyNumberFormat="1" applyBorder="1" applyAlignment="1">
      <alignment wrapText="1"/>
    </xf>
    <xf numFmtId="0" fontId="0" fillId="4" borderId="46" xfId="0" applyFill="1" applyBorder="1" applyAlignment="1">
      <alignment wrapText="1"/>
    </xf>
    <xf numFmtId="0" fontId="3" fillId="0" borderId="41" xfId="0" applyNumberFormat="1" applyFont="1" applyBorder="1" applyAlignment="1">
      <alignment wrapText="1"/>
    </xf>
    <xf numFmtId="0" fontId="0" fillId="0" borderId="42" xfId="0" applyNumberFormat="1" applyBorder="1" applyAlignment="1">
      <alignment wrapText="1"/>
    </xf>
    <xf numFmtId="0" fontId="0" fillId="0" borderId="33" xfId="0" applyNumberFormat="1" applyBorder="1" applyAlignment="1">
      <alignment wrapText="1"/>
    </xf>
    <xf numFmtId="0" fontId="0" fillId="0" borderId="34" xfId="0" applyNumberFormat="1" applyBorder="1" applyAlignment="1">
      <alignment wrapText="1"/>
    </xf>
    <xf numFmtId="0" fontId="3" fillId="0" borderId="46" xfId="0" applyFont="1" applyBorder="1" applyAlignment="1">
      <alignment wrapText="1"/>
    </xf>
    <xf numFmtId="165" fontId="0" fillId="0" borderId="46" xfId="0" applyNumberFormat="1" applyBorder="1" applyAlignment="1">
      <alignment wrapText="1"/>
    </xf>
    <xf numFmtId="166" fontId="0" fillId="0" borderId="46" xfId="0" applyNumberFormat="1" applyBorder="1" applyAlignment="1">
      <alignment wrapText="1"/>
    </xf>
    <xf numFmtId="0" fontId="0" fillId="0" borderId="7" xfId="0" applyBorder="1" applyAlignment="1">
      <alignment wrapText="1"/>
    </xf>
    <xf numFmtId="164" fontId="13" fillId="4" borderId="7" xfId="0" applyNumberFormat="1" applyFont="1" applyFill="1" applyBorder="1" applyAlignment="1">
      <alignment wrapText="1"/>
    </xf>
    <xf numFmtId="0" fontId="0" fillId="0" borderId="0" xfId="0" applyNumberFormat="1" applyAlignment="1">
      <alignment wrapText="1"/>
    </xf>
    <xf numFmtId="0" fontId="0" fillId="0" borderId="43" xfId="0" applyNumberFormat="1" applyBorder="1" applyAlignment="1">
      <alignment wrapText="1"/>
    </xf>
    <xf numFmtId="164" fontId="13" fillId="0" borderId="7" xfId="0" applyNumberFormat="1" applyFont="1" applyBorder="1" applyAlignment="1">
      <alignment wrapText="1"/>
    </xf>
    <xf numFmtId="0" fontId="16" fillId="0" borderId="28" xfId="0" applyFont="1" applyBorder="1" applyAlignment="1">
      <alignment horizontal="center" wrapText="1"/>
    </xf>
    <xf numFmtId="0" fontId="3" fillId="0" borderId="28" xfId="0" applyFont="1" applyBorder="1" applyAlignment="1">
      <alignment horizontal="center"/>
    </xf>
    <xf numFmtId="0" fontId="0" fillId="0" borderId="29" xfId="0" applyBorder="1" applyAlignment="1">
      <alignment horizontal="center"/>
    </xf>
    <xf numFmtId="0" fontId="6" fillId="0" borderId="27" xfId="0" applyNumberFormat="1" applyFont="1" applyBorder="1" applyAlignment="1">
      <alignment horizontal="center" vertical="center"/>
    </xf>
    <xf numFmtId="2" fontId="0" fillId="0" borderId="0" xfId="0" applyNumberFormat="1"/>
    <xf numFmtId="0" fontId="0" fillId="0" borderId="30" xfId="0" applyBorder="1" applyAlignment="1">
      <alignment wrapText="1"/>
    </xf>
    <xf numFmtId="0" fontId="0" fillId="0" borderId="30" xfId="0" applyFont="1" applyFill="1" applyBorder="1" applyAlignment="1">
      <alignment wrapText="1"/>
    </xf>
    <xf numFmtId="0" fontId="3" fillId="0" borderId="28" xfId="0" applyFont="1" applyBorder="1" applyAlignment="1">
      <alignment wrapText="1"/>
    </xf>
    <xf numFmtId="0" fontId="5" fillId="2" borderId="38" xfId="0" applyFont="1" applyFill="1" applyBorder="1" applyAlignment="1">
      <alignment horizontal="center"/>
    </xf>
    <xf numFmtId="0" fontId="5" fillId="2" borderId="39" xfId="0" applyFont="1" applyFill="1" applyBorder="1" applyAlignment="1">
      <alignment horizontal="center"/>
    </xf>
    <xf numFmtId="0" fontId="0" fillId="0" borderId="0" xfId="0" applyNumberFormat="1" applyBorder="1"/>
    <xf numFmtId="0" fontId="17" fillId="0" borderId="30" xfId="0" applyNumberFormat="1" applyFont="1" applyFill="1" applyBorder="1" applyAlignment="1">
      <alignment wrapText="1"/>
    </xf>
    <xf numFmtId="0" fontId="13" fillId="0" borderId="46" xfId="0" applyNumberFormat="1" applyFont="1" applyBorder="1" applyAlignment="1">
      <alignment wrapText="1"/>
    </xf>
    <xf numFmtId="0" fontId="3" fillId="0" borderId="46" xfId="0" applyNumberFormat="1" applyFont="1" applyBorder="1" applyAlignment="1">
      <alignment wrapText="1"/>
    </xf>
    <xf numFmtId="2" fontId="3" fillId="0" borderId="46" xfId="0" applyNumberFormat="1" applyFont="1" applyBorder="1" applyAlignment="1">
      <alignment wrapText="1"/>
    </xf>
    <xf numFmtId="0" fontId="6" fillId="0" borderId="28" xfId="0" applyFont="1" applyBorder="1" applyAlignment="1">
      <alignment horizontal="center"/>
    </xf>
    <xf numFmtId="0" fontId="5" fillId="2" borderId="38" xfId="0" applyFont="1" applyFill="1" applyBorder="1" applyAlignment="1">
      <alignment horizontal="center"/>
    </xf>
    <xf numFmtId="0" fontId="0" fillId="0" borderId="28" xfId="0" applyFont="1" applyBorder="1" applyAlignment="1">
      <alignment wrapText="1"/>
    </xf>
    <xf numFmtId="0" fontId="11" fillId="3" borderId="28" xfId="0" applyNumberFormat="1" applyFont="1" applyFill="1" applyBorder="1"/>
    <xf numFmtId="0" fontId="8" fillId="0" borderId="30" xfId="0" applyFont="1" applyBorder="1" applyAlignment="1">
      <alignment horizontal="right" wrapText="1"/>
    </xf>
    <xf numFmtId="0" fontId="19" fillId="0" borderId="14" xfId="0" applyFont="1" applyBorder="1" applyAlignment="1">
      <alignment horizontal="center"/>
    </xf>
    <xf numFmtId="2" fontId="20" fillId="0" borderId="20" xfId="0" applyNumberFormat="1" applyFont="1" applyBorder="1" applyAlignment="1">
      <alignment vertical="center"/>
    </xf>
    <xf numFmtId="0" fontId="20" fillId="0" borderId="30" xfId="0" applyFont="1" applyBorder="1" applyAlignment="1">
      <alignment horizontal="center"/>
    </xf>
    <xf numFmtId="2" fontId="19" fillId="0" borderId="6" xfId="0" applyNumberFormat="1" applyFont="1" applyBorder="1" applyAlignment="1">
      <alignment vertical="center" wrapText="1"/>
    </xf>
    <xf numFmtId="0" fontId="19" fillId="2" borderId="38" xfId="0" applyFont="1" applyFill="1" applyBorder="1"/>
    <xf numFmtId="0" fontId="0" fillId="2" borderId="38" xfId="0" applyFont="1" applyFill="1" applyBorder="1"/>
    <xf numFmtId="0" fontId="10" fillId="0" borderId="45" xfId="0" applyFont="1" applyBorder="1"/>
    <xf numFmtId="0" fontId="21" fillId="2" borderId="38" xfId="0" applyFont="1" applyFill="1" applyBorder="1" applyAlignment="1"/>
    <xf numFmtId="0" fontId="19" fillId="0" borderId="45" xfId="0" applyFont="1" applyBorder="1" applyAlignment="1">
      <alignment horizontal="center" vertical="center"/>
    </xf>
    <xf numFmtId="0" fontId="0" fillId="0" borderId="0" xfId="0" applyFont="1"/>
    <xf numFmtId="0" fontId="0" fillId="0" borderId="28" xfId="0" applyNumberFormat="1" applyFont="1" applyBorder="1"/>
    <xf numFmtId="0" fontId="11" fillId="0" borderId="28" xfId="0" applyNumberFormat="1" applyFont="1" applyBorder="1" applyAlignment="1">
      <alignment horizontal="center"/>
    </xf>
    <xf numFmtId="0" fontId="0" fillId="0" borderId="0" xfId="0" applyNumberFormat="1" applyFont="1"/>
    <xf numFmtId="46" fontId="22" fillId="0" borderId="28" xfId="0" applyNumberFormat="1" applyFont="1" applyBorder="1"/>
    <xf numFmtId="46" fontId="22" fillId="0" borderId="7" xfId="0" applyNumberFormat="1" applyFont="1" applyBorder="1" applyAlignment="1">
      <alignment wrapText="1"/>
    </xf>
    <xf numFmtId="0" fontId="10" fillId="3" borderId="69" xfId="1" applyNumberFormat="1" applyFont="1" applyFill="1" applyBorder="1" applyAlignment="1">
      <alignment horizontal="center"/>
    </xf>
    <xf numFmtId="0" fontId="10" fillId="0" borderId="71" xfId="1" applyNumberFormat="1" applyFont="1" applyBorder="1" applyAlignment="1"/>
    <xf numFmtId="0" fontId="11" fillId="0" borderId="72" xfId="1" applyNumberFormat="1" applyFont="1" applyBorder="1" applyAlignment="1"/>
    <xf numFmtId="0" fontId="11" fillId="3" borderId="70" xfId="1" applyNumberFormat="1" applyFont="1" applyFill="1" applyBorder="1" applyAlignment="1"/>
    <xf numFmtId="0" fontId="11" fillId="3" borderId="2" xfId="0" applyNumberFormat="1" applyFont="1" applyFill="1" applyBorder="1"/>
    <xf numFmtId="0" fontId="11" fillId="3" borderId="75" xfId="0" applyNumberFormat="1" applyFont="1" applyFill="1" applyBorder="1"/>
    <xf numFmtId="0" fontId="11" fillId="3" borderId="28" xfId="0" applyNumberFormat="1" applyFont="1" applyFill="1" applyBorder="1" applyAlignment="1">
      <alignment wrapText="1"/>
    </xf>
    <xf numFmtId="0" fontId="11" fillId="3" borderId="70" xfId="0" applyNumberFormat="1" applyFont="1" applyFill="1" applyBorder="1"/>
    <xf numFmtId="0" fontId="11" fillId="3" borderId="68" xfId="0" applyNumberFormat="1" applyFont="1" applyFill="1" applyBorder="1"/>
    <xf numFmtId="0" fontId="11" fillId="3" borderId="48" xfId="0" applyNumberFormat="1" applyFont="1" applyFill="1" applyBorder="1" applyAlignment="1">
      <alignment wrapText="1"/>
    </xf>
    <xf numFmtId="0" fontId="8" fillId="0" borderId="28" xfId="0" applyNumberFormat="1" applyFont="1" applyBorder="1" applyAlignment="1">
      <alignment horizontal="right" wrapText="1"/>
    </xf>
    <xf numFmtId="0" fontId="3" fillId="0" borderId="28" xfId="0" applyNumberFormat="1" applyFont="1" applyBorder="1" applyAlignment="1">
      <alignment wrapText="1"/>
    </xf>
    <xf numFmtId="0" fontId="3" fillId="0" borderId="28" xfId="0" applyNumberFormat="1" applyFont="1" applyFill="1" applyBorder="1" applyAlignment="1">
      <alignment wrapText="1"/>
    </xf>
    <xf numFmtId="0" fontId="11" fillId="0" borderId="28" xfId="0" applyNumberFormat="1" applyFont="1" applyBorder="1" applyAlignment="1">
      <alignment wrapText="1"/>
    </xf>
    <xf numFmtId="0" fontId="3" fillId="0" borderId="28" xfId="0" applyNumberFormat="1" applyFont="1" applyFill="1" applyBorder="1" applyAlignment="1">
      <alignment horizontal="center" wrapText="1"/>
    </xf>
    <xf numFmtId="0" fontId="23" fillId="3" borderId="2" xfId="0" applyNumberFormat="1" applyFont="1" applyFill="1" applyBorder="1"/>
    <xf numFmtId="0" fontId="10" fillId="3" borderId="28" xfId="0" applyNumberFormat="1" applyFont="1" applyFill="1" applyBorder="1"/>
    <xf numFmtId="0" fontId="10" fillId="3" borderId="75" xfId="0" applyNumberFormat="1" applyFont="1" applyFill="1" applyBorder="1" applyAlignment="1">
      <alignment horizontal="center"/>
    </xf>
    <xf numFmtId="0" fontId="10" fillId="3" borderId="76" xfId="0" applyNumberFormat="1" applyFont="1" applyFill="1" applyBorder="1"/>
    <xf numFmtId="0" fontId="11" fillId="3" borderId="76" xfId="0" applyNumberFormat="1" applyFont="1" applyFill="1" applyBorder="1"/>
    <xf numFmtId="0" fontId="11" fillId="3" borderId="28" xfId="0" applyNumberFormat="1" applyFont="1" applyFill="1" applyBorder="1" applyAlignment="1">
      <alignment horizontal="left"/>
    </xf>
    <xf numFmtId="0" fontId="8" fillId="5" borderId="74" xfId="0" applyFont="1" applyFill="1" applyBorder="1"/>
    <xf numFmtId="0" fontId="10" fillId="3" borderId="77" xfId="0" applyNumberFormat="1" applyFont="1" applyFill="1" applyBorder="1"/>
    <xf numFmtId="0" fontId="11" fillId="3" borderId="73" xfId="0" applyNumberFormat="1" applyFont="1" applyFill="1" applyBorder="1"/>
    <xf numFmtId="0" fontId="11" fillId="3" borderId="30" xfId="0" applyNumberFormat="1" applyFont="1" applyFill="1" applyBorder="1" applyAlignment="1">
      <alignment horizontal="left"/>
    </xf>
    <xf numFmtId="0" fontId="11" fillId="3" borderId="30" xfId="0" applyNumberFormat="1" applyFont="1" applyFill="1" applyBorder="1" applyAlignment="1">
      <alignment wrapText="1"/>
    </xf>
    <xf numFmtId="0" fontId="1" fillId="0" borderId="0" xfId="0" applyNumberFormat="1" applyFont="1"/>
    <xf numFmtId="46" fontId="1" fillId="0" borderId="0" xfId="0" applyNumberFormat="1" applyFont="1"/>
    <xf numFmtId="0" fontId="20" fillId="0" borderId="49" xfId="0" applyFont="1" applyBorder="1" applyAlignment="1">
      <alignment horizontal="center"/>
    </xf>
    <xf numFmtId="2" fontId="6" fillId="0" borderId="28" xfId="0" applyNumberFormat="1" applyFont="1" applyBorder="1" applyAlignment="1">
      <alignment horizontal="center" vertical="center"/>
    </xf>
    <xf numFmtId="0" fontId="6" fillId="0" borderId="28" xfId="0" applyNumberFormat="1" applyFont="1" applyBorder="1" applyAlignment="1">
      <alignment horizontal="center" vertical="center"/>
    </xf>
    <xf numFmtId="0" fontId="6" fillId="0" borderId="28" xfId="0" applyFont="1" applyBorder="1" applyAlignment="1">
      <alignment horizontal="center" vertical="center"/>
    </xf>
    <xf numFmtId="2" fontId="19" fillId="0" borderId="28" xfId="0" applyNumberFormat="1" applyFont="1" applyBorder="1" applyAlignment="1">
      <alignment horizontal="center" vertical="center"/>
    </xf>
    <xf numFmtId="49" fontId="6" fillId="0" borderId="78" xfId="0" applyNumberFormat="1" applyFont="1" applyBorder="1" applyAlignment="1">
      <alignment horizontal="center" vertical="center"/>
    </xf>
    <xf numFmtId="2" fontId="6" fillId="0" borderId="79" xfId="0" applyNumberFormat="1" applyFont="1" applyBorder="1" applyAlignment="1">
      <alignment horizontal="center" vertical="center"/>
    </xf>
    <xf numFmtId="0" fontId="6" fillId="0" borderId="79" xfId="0" applyFont="1" applyBorder="1" applyAlignment="1">
      <alignment horizontal="center" vertical="center"/>
    </xf>
    <xf numFmtId="2" fontId="19" fillId="0" borderId="17" xfId="0" applyNumberFormat="1" applyFont="1" applyBorder="1" applyAlignment="1">
      <alignment horizontal="center" vertical="center"/>
    </xf>
    <xf numFmtId="0" fontId="3" fillId="0" borderId="28" xfId="0" applyFont="1"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wrapText="1"/>
    </xf>
    <xf numFmtId="0" fontId="0" fillId="0" borderId="79" xfId="0" applyBorder="1" applyAlignment="1">
      <alignment horizontal="center" vertical="center"/>
    </xf>
    <xf numFmtId="0" fontId="0" fillId="0" borderId="21" xfId="0"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3" fillId="0" borderId="30" xfId="0" applyNumberFormat="1" applyFont="1" applyBorder="1" applyAlignment="1">
      <alignment horizontal="right" wrapText="1"/>
    </xf>
    <xf numFmtId="0" fontId="3" fillId="0" borderId="49" xfId="0" applyNumberFormat="1" applyFont="1" applyFill="1" applyBorder="1" applyAlignment="1">
      <alignment wrapText="1"/>
    </xf>
    <xf numFmtId="0" fontId="11" fillId="0" borderId="46" xfId="0" applyNumberFormat="1" applyFont="1" applyBorder="1" applyAlignment="1">
      <alignment wrapText="1"/>
    </xf>
    <xf numFmtId="0" fontId="0" fillId="0" borderId="7" xfId="0" applyNumberFormat="1" applyBorder="1" applyAlignment="1">
      <alignment wrapText="1"/>
    </xf>
    <xf numFmtId="0" fontId="8" fillId="0" borderId="28" xfId="0" applyFont="1" applyBorder="1"/>
    <xf numFmtId="0" fontId="3" fillId="0" borderId="27" xfId="0" applyFont="1" applyBorder="1" applyAlignment="1">
      <alignment wrapText="1"/>
    </xf>
    <xf numFmtId="0" fontId="3" fillId="0" borderId="28" xfId="0" applyNumberFormat="1" applyFont="1" applyBorder="1" applyAlignment="1"/>
    <xf numFmtId="0" fontId="13" fillId="0" borderId="28" xfId="0" applyNumberFormat="1" applyFont="1" applyBorder="1"/>
    <xf numFmtId="164" fontId="25" fillId="0" borderId="28" xfId="0" applyNumberFormat="1" applyFont="1" applyBorder="1"/>
    <xf numFmtId="0" fontId="8" fillId="0" borderId="27" xfId="0" applyFont="1" applyBorder="1" applyAlignment="1">
      <alignment horizontal="center" wrapText="1"/>
    </xf>
    <xf numFmtId="0" fontId="3" fillId="0" borderId="27" xfId="0" applyFont="1" applyFill="1" applyBorder="1" applyAlignment="1">
      <alignment wrapText="1"/>
    </xf>
    <xf numFmtId="46" fontId="22" fillId="3" borderId="28" xfId="0" applyNumberFormat="1" applyFont="1" applyFill="1" applyBorder="1"/>
    <xf numFmtId="0" fontId="8" fillId="0" borderId="49" xfId="0" applyNumberFormat="1" applyFont="1" applyBorder="1" applyAlignment="1">
      <alignment horizontal="center" vertical="center"/>
    </xf>
    <xf numFmtId="0" fontId="8" fillId="0" borderId="49" xfId="0" applyNumberFormat="1" applyFont="1" applyBorder="1" applyAlignment="1">
      <alignment wrapText="1"/>
    </xf>
    <xf numFmtId="0" fontId="1" fillId="0" borderId="7" xfId="0" applyNumberFormat="1" applyFont="1" applyBorder="1"/>
    <xf numFmtId="0" fontId="8" fillId="0" borderId="49" xfId="0" applyNumberFormat="1" applyFont="1" applyBorder="1" applyAlignment="1">
      <alignment horizontal="right"/>
    </xf>
    <xf numFmtId="0" fontId="8" fillId="0" borderId="49" xfId="0" applyFont="1" applyFill="1" applyBorder="1" applyAlignment="1">
      <alignment wrapText="1"/>
    </xf>
    <xf numFmtId="0" fontId="10" fillId="3" borderId="69" xfId="1" applyNumberFormat="1" applyFont="1" applyFill="1" applyBorder="1" applyAlignment="1">
      <alignment horizontal="center" wrapText="1"/>
    </xf>
    <xf numFmtId="0" fontId="10" fillId="0" borderId="71" xfId="1" applyNumberFormat="1" applyFont="1" applyBorder="1" applyAlignment="1">
      <alignment wrapText="1"/>
    </xf>
    <xf numFmtId="0" fontId="23" fillId="3" borderId="2" xfId="0" applyNumberFormat="1" applyFont="1" applyFill="1" applyBorder="1" applyAlignment="1">
      <alignment wrapText="1"/>
    </xf>
    <xf numFmtId="0" fontId="10" fillId="3" borderId="28" xfId="0" applyNumberFormat="1" applyFont="1" applyFill="1" applyBorder="1" applyAlignment="1">
      <alignment wrapText="1"/>
    </xf>
    <xf numFmtId="0" fontId="10" fillId="3" borderId="75" xfId="0" applyNumberFormat="1" applyFont="1" applyFill="1" applyBorder="1" applyAlignment="1">
      <alignment horizontal="center" wrapText="1"/>
    </xf>
    <xf numFmtId="0" fontId="10" fillId="3" borderId="76" xfId="0" applyNumberFormat="1" applyFont="1" applyFill="1" applyBorder="1" applyAlignment="1">
      <alignment wrapText="1"/>
    </xf>
    <xf numFmtId="0" fontId="11" fillId="3" borderId="28" xfId="0" applyNumberFormat="1" applyFont="1" applyFill="1" applyBorder="1" applyAlignment="1">
      <alignment horizontal="left" wrapText="1"/>
    </xf>
    <xf numFmtId="0" fontId="8" fillId="5" borderId="80" xfId="0" applyFont="1" applyFill="1" applyBorder="1"/>
    <xf numFmtId="0" fontId="8" fillId="5" borderId="81" xfId="0" applyFont="1" applyFill="1" applyBorder="1"/>
    <xf numFmtId="0" fontId="5" fillId="2" borderId="37" xfId="0" applyFont="1" applyFill="1" applyBorder="1" applyAlignment="1">
      <alignment horizontal="center"/>
    </xf>
    <xf numFmtId="0" fontId="8" fillId="0" borderId="28" xfId="0" applyFont="1" applyBorder="1" applyAlignment="1">
      <alignment wrapText="1"/>
    </xf>
    <xf numFmtId="0" fontId="11" fillId="3" borderId="70" xfId="1" applyNumberFormat="1" applyFont="1" applyFill="1" applyBorder="1" applyAlignment="1">
      <alignment wrapText="1"/>
    </xf>
    <xf numFmtId="0" fontId="0" fillId="0" borderId="28" xfId="0" applyNumberFormat="1" applyBorder="1" applyAlignment="1">
      <alignment wrapText="1"/>
    </xf>
    <xf numFmtId="0" fontId="11" fillId="0" borderId="72" xfId="1" applyNumberFormat="1" applyFont="1" applyBorder="1" applyAlignment="1">
      <alignment wrapText="1"/>
    </xf>
    <xf numFmtId="0" fontId="11" fillId="3" borderId="2" xfId="0" applyNumberFormat="1" applyFont="1" applyFill="1" applyBorder="1" applyAlignment="1">
      <alignment wrapText="1"/>
    </xf>
    <xf numFmtId="0" fontId="11" fillId="3" borderId="75" xfId="0" applyNumberFormat="1" applyFont="1" applyFill="1" applyBorder="1" applyAlignment="1">
      <alignment wrapText="1"/>
    </xf>
    <xf numFmtId="0" fontId="11" fillId="3" borderId="76" xfId="0" applyNumberFormat="1" applyFont="1" applyFill="1" applyBorder="1" applyAlignment="1">
      <alignment wrapText="1"/>
    </xf>
    <xf numFmtId="46" fontId="22" fillId="3" borderId="28" xfId="0" applyNumberFormat="1" applyFont="1" applyFill="1" applyBorder="1" applyAlignment="1">
      <alignment wrapText="1"/>
    </xf>
    <xf numFmtId="0" fontId="13" fillId="0" borderId="28" xfId="0" applyNumberFormat="1" applyFont="1" applyBorder="1" applyAlignment="1">
      <alignment wrapText="1"/>
    </xf>
    <xf numFmtId="0" fontId="1" fillId="0" borderId="7" xfId="0" applyNumberFormat="1" applyFont="1" applyBorder="1" applyAlignment="1">
      <alignment wrapText="1"/>
    </xf>
    <xf numFmtId="164" fontId="25" fillId="0" borderId="28" xfId="0" applyNumberFormat="1" applyFont="1" applyBorder="1" applyAlignment="1">
      <alignment wrapText="1"/>
    </xf>
    <xf numFmtId="0" fontId="8" fillId="0" borderId="49" xfId="0" applyNumberFormat="1" applyFont="1" applyBorder="1" applyAlignment="1">
      <alignment horizontal="right" wrapText="1"/>
    </xf>
    <xf numFmtId="0" fontId="0" fillId="0" borderId="0" xfId="0" applyAlignment="1">
      <alignment wrapText="1"/>
    </xf>
    <xf numFmtId="0" fontId="8" fillId="0" borderId="49" xfId="0" applyNumberFormat="1" applyFont="1" applyBorder="1" applyAlignment="1">
      <alignment horizontal="center" vertical="center" wrapText="1"/>
    </xf>
    <xf numFmtId="0" fontId="3" fillId="0" borderId="50" xfId="1" applyFont="1" applyBorder="1" applyAlignment="1">
      <alignment wrapText="1"/>
    </xf>
    <xf numFmtId="0" fontId="11" fillId="0" borderId="29" xfId="1" applyFont="1" applyBorder="1"/>
    <xf numFmtId="0" fontId="11" fillId="3" borderId="28" xfId="1" applyFont="1" applyFill="1" applyBorder="1"/>
    <xf numFmtId="0" fontId="18" fillId="0" borderId="29" xfId="1" applyNumberFormat="1" applyBorder="1"/>
    <xf numFmtId="0" fontId="3" fillId="0" borderId="28" xfId="1" applyFont="1" applyBorder="1" applyAlignment="1">
      <alignment wrapText="1"/>
    </xf>
    <xf numFmtId="0" fontId="11" fillId="3" borderId="29" xfId="1" applyFont="1" applyFill="1" applyBorder="1"/>
    <xf numFmtId="0" fontId="11" fillId="0" borderId="30" xfId="1" applyFont="1" applyBorder="1" applyAlignment="1">
      <alignment wrapText="1"/>
    </xf>
    <xf numFmtId="0" fontId="11" fillId="0" borderId="29" xfId="1" applyFont="1" applyBorder="1" applyAlignment="1">
      <alignment wrapText="1"/>
    </xf>
    <xf numFmtId="0" fontId="11" fillId="3" borderId="30" xfId="1" applyFont="1" applyFill="1" applyBorder="1" applyAlignment="1">
      <alignment wrapText="1"/>
    </xf>
    <xf numFmtId="164" fontId="11" fillId="3" borderId="29" xfId="1" applyNumberFormat="1" applyFont="1" applyFill="1" applyBorder="1" applyAlignment="1">
      <alignment wrapText="1"/>
    </xf>
    <xf numFmtId="0" fontId="11" fillId="0" borderId="29" xfId="1" applyNumberFormat="1" applyFont="1" applyBorder="1" applyAlignment="1">
      <alignment wrapText="1"/>
    </xf>
    <xf numFmtId="0" fontId="1" fillId="0" borderId="56" xfId="1" applyFont="1" applyBorder="1" applyAlignment="1">
      <alignment horizontal="center"/>
    </xf>
    <xf numFmtId="0" fontId="18" fillId="0" borderId="67" xfId="1" applyBorder="1"/>
    <xf numFmtId="0" fontId="1" fillId="0" borderId="91" xfId="1" applyFont="1" applyBorder="1" applyAlignment="1">
      <alignment horizontal="center" vertical="center"/>
    </xf>
    <xf numFmtId="9" fontId="1" fillId="0" borderId="56" xfId="1" applyNumberFormat="1" applyFont="1" applyBorder="1" applyAlignment="1">
      <alignment horizontal="center" vertical="center"/>
    </xf>
    <xf numFmtId="0" fontId="3" fillId="0" borderId="57" xfId="1" applyFont="1" applyBorder="1" applyAlignment="1">
      <alignment horizontal="center" wrapText="1"/>
    </xf>
    <xf numFmtId="0" fontId="18" fillId="0" borderId="58" xfId="1" applyNumberFormat="1" applyBorder="1"/>
    <xf numFmtId="0" fontId="3" fillId="0" borderId="27" xfId="1" applyFont="1" applyBorder="1" applyAlignment="1">
      <alignment horizontal="right"/>
    </xf>
    <xf numFmtId="0" fontId="3" fillId="0" borderId="57" xfId="1" applyFont="1" applyBorder="1" applyAlignment="1">
      <alignment horizontal="right"/>
    </xf>
    <xf numFmtId="0" fontId="3" fillId="0" borderId="0" xfId="1" applyFont="1" applyBorder="1" applyAlignment="1">
      <alignment horizontal="center"/>
    </xf>
    <xf numFmtId="0" fontId="18" fillId="0" borderId="52" xfId="1" applyNumberFormat="1" applyBorder="1"/>
    <xf numFmtId="0" fontId="3" fillId="0" borderId="5" xfId="1" applyFont="1" applyBorder="1" applyAlignment="1">
      <alignment wrapText="1"/>
    </xf>
    <xf numFmtId="0" fontId="3" fillId="3" borderId="0" xfId="1" applyFont="1" applyFill="1" applyBorder="1" applyAlignment="1">
      <alignment horizontal="center"/>
    </xf>
    <xf numFmtId="0" fontId="18" fillId="0" borderId="52" xfId="1" applyNumberFormat="1" applyFont="1" applyBorder="1"/>
    <xf numFmtId="0" fontId="3" fillId="6" borderId="94" xfId="1" applyFont="1" applyFill="1" applyBorder="1" applyAlignment="1">
      <alignment wrapText="1"/>
    </xf>
    <xf numFmtId="0" fontId="8" fillId="0" borderId="30" xfId="1" applyFont="1" applyBorder="1"/>
    <xf numFmtId="0" fontId="3" fillId="0" borderId="86" xfId="1" applyFont="1" applyBorder="1" applyAlignment="1">
      <alignment horizontal="right"/>
    </xf>
    <xf numFmtId="0" fontId="3" fillId="0" borderId="0" xfId="1" applyFont="1"/>
    <xf numFmtId="3" fontId="18" fillId="0" borderId="0" xfId="1" applyNumberFormat="1"/>
    <xf numFmtId="46" fontId="30" fillId="0" borderId="0" xfId="1" applyNumberFormat="1" applyFont="1"/>
    <xf numFmtId="0" fontId="18" fillId="0" borderId="0" xfId="1"/>
    <xf numFmtId="0" fontId="3" fillId="0" borderId="16" xfId="1" applyFont="1" applyBorder="1" applyAlignment="1">
      <alignment wrapText="1"/>
    </xf>
    <xf numFmtId="0" fontId="26" fillId="0" borderId="78" xfId="1" applyFont="1" applyBorder="1" applyAlignment="1">
      <alignment horizontal="center" wrapText="1"/>
    </xf>
    <xf numFmtId="0" fontId="10" fillId="0" borderId="28" xfId="1" applyFont="1" applyBorder="1" applyAlignment="1">
      <alignment wrapText="1"/>
    </xf>
    <xf numFmtId="0" fontId="11" fillId="3" borderId="28" xfId="1" applyFont="1" applyFill="1" applyBorder="1" applyAlignment="1">
      <alignment wrapText="1"/>
    </xf>
    <xf numFmtId="167" fontId="12" fillId="3" borderId="29" xfId="1" applyNumberFormat="1" applyFont="1" applyFill="1" applyBorder="1"/>
    <xf numFmtId="0" fontId="8" fillId="0" borderId="1" xfId="1" applyFont="1" applyBorder="1" applyAlignment="1">
      <alignment wrapText="1"/>
    </xf>
    <xf numFmtId="0" fontId="8" fillId="0" borderId="3" xfId="1" applyFont="1" applyBorder="1" applyAlignment="1">
      <alignment wrapText="1"/>
    </xf>
    <xf numFmtId="0" fontId="18" fillId="0" borderId="83" xfId="1" applyBorder="1" applyAlignment="1">
      <alignment wrapText="1"/>
    </xf>
    <xf numFmtId="0" fontId="8" fillId="5" borderId="84" xfId="1" applyFont="1" applyFill="1" applyBorder="1" applyAlignment="1">
      <alignment wrapText="1"/>
    </xf>
    <xf numFmtId="0" fontId="8" fillId="5" borderId="3" xfId="1" applyFont="1" applyFill="1" applyBorder="1" applyAlignment="1">
      <alignment wrapText="1"/>
    </xf>
    <xf numFmtId="0" fontId="8" fillId="0" borderId="84" xfId="1" applyFont="1" applyBorder="1" applyAlignment="1">
      <alignment wrapText="1"/>
    </xf>
    <xf numFmtId="0" fontId="8" fillId="0" borderId="4" xfId="1" applyFont="1" applyBorder="1" applyAlignment="1">
      <alignment wrapText="1"/>
    </xf>
    <xf numFmtId="0" fontId="8" fillId="0" borderId="57" xfId="1" applyFont="1" applyBorder="1" applyAlignment="1">
      <alignment horizontal="center" wrapText="1"/>
    </xf>
    <xf numFmtId="0" fontId="18" fillId="0" borderId="85" xfId="1" applyBorder="1" applyAlignment="1">
      <alignment wrapText="1"/>
    </xf>
    <xf numFmtId="0" fontId="18" fillId="0" borderId="41" xfId="1" applyBorder="1" applyAlignment="1">
      <alignment wrapText="1"/>
    </xf>
    <xf numFmtId="0" fontId="26" fillId="3" borderId="13" xfId="1" applyFont="1" applyFill="1" applyBorder="1" applyAlignment="1">
      <alignment horizontal="center" vertical="center" wrapText="1"/>
    </xf>
    <xf numFmtId="0" fontId="18" fillId="0" borderId="45" xfId="1" applyNumberFormat="1" applyBorder="1" applyAlignment="1">
      <alignment wrapText="1"/>
    </xf>
    <xf numFmtId="0" fontId="10" fillId="3" borderId="77" xfId="1" applyFont="1" applyFill="1" applyBorder="1" applyAlignment="1">
      <alignment horizontal="center" wrapText="1"/>
    </xf>
    <xf numFmtId="164" fontId="11" fillId="0" borderId="4" xfId="1" applyNumberFormat="1" applyFont="1" applyBorder="1" applyAlignment="1">
      <alignment wrapText="1"/>
    </xf>
    <xf numFmtId="0" fontId="18" fillId="0" borderId="33" xfId="1" applyBorder="1" applyAlignment="1">
      <alignment wrapText="1"/>
    </xf>
    <xf numFmtId="0" fontId="3" fillId="0" borderId="86" xfId="1" applyFont="1" applyBorder="1" applyAlignment="1">
      <alignment horizontal="center" wrapText="1"/>
    </xf>
    <xf numFmtId="0" fontId="18" fillId="0" borderId="85" xfId="1" applyNumberFormat="1" applyFont="1" applyBorder="1" applyAlignment="1">
      <alignment wrapText="1"/>
    </xf>
    <xf numFmtId="0" fontId="10" fillId="0" borderId="87" xfId="1" applyFont="1" applyBorder="1" applyAlignment="1">
      <alignment wrapText="1"/>
    </xf>
    <xf numFmtId="0" fontId="11" fillId="0" borderId="58" xfId="1" applyFont="1" applyBorder="1" applyAlignment="1">
      <alignment wrapText="1"/>
    </xf>
    <xf numFmtId="0" fontId="18" fillId="0" borderId="51" xfId="1" applyNumberFormat="1" applyBorder="1" applyAlignment="1">
      <alignment wrapText="1"/>
    </xf>
    <xf numFmtId="0" fontId="23" fillId="3" borderId="2" xfId="1" applyFont="1" applyFill="1" applyBorder="1" applyAlignment="1">
      <alignment wrapText="1"/>
    </xf>
    <xf numFmtId="0" fontId="11" fillId="3" borderId="4" xfId="1" applyNumberFormat="1" applyFont="1" applyFill="1" applyBorder="1" applyAlignment="1">
      <alignment wrapText="1"/>
    </xf>
    <xf numFmtId="0" fontId="3" fillId="0" borderId="27" xfId="1" applyFont="1" applyBorder="1" applyAlignment="1">
      <alignment wrapText="1"/>
    </xf>
    <xf numFmtId="0" fontId="18" fillId="0" borderId="46" xfId="1" applyNumberFormat="1" applyBorder="1" applyAlignment="1">
      <alignment wrapText="1"/>
    </xf>
    <xf numFmtId="164" fontId="27" fillId="0" borderId="28" xfId="1" applyNumberFormat="1" applyFont="1" applyBorder="1" applyAlignment="1">
      <alignment wrapText="1"/>
    </xf>
    <xf numFmtId="0" fontId="11" fillId="0" borderId="28" xfId="1" applyFont="1" applyBorder="1" applyAlignment="1">
      <alignment wrapText="1"/>
    </xf>
    <xf numFmtId="0" fontId="3" fillId="0" borderId="30" xfId="1" applyFont="1" applyBorder="1" applyAlignment="1">
      <alignment wrapText="1"/>
    </xf>
    <xf numFmtId="0" fontId="18" fillId="0" borderId="28" xfId="1" applyBorder="1" applyAlignment="1">
      <alignment wrapText="1"/>
    </xf>
    <xf numFmtId="0" fontId="11" fillId="3" borderId="88" xfId="1" applyNumberFormat="1" applyFont="1" applyFill="1" applyBorder="1" applyAlignment="1">
      <alignment wrapText="1"/>
    </xf>
    <xf numFmtId="0" fontId="11" fillId="0" borderId="88" xfId="1" applyNumberFormat="1" applyFont="1" applyBorder="1" applyAlignment="1">
      <alignment wrapText="1"/>
    </xf>
    <xf numFmtId="0" fontId="11" fillId="3" borderId="6" xfId="1" applyFont="1" applyFill="1" applyBorder="1" applyAlignment="1">
      <alignment wrapText="1"/>
    </xf>
    <xf numFmtId="0" fontId="11" fillId="3" borderId="89" xfId="1" applyNumberFormat="1" applyFont="1" applyFill="1" applyBorder="1" applyAlignment="1">
      <alignment wrapText="1"/>
    </xf>
    <xf numFmtId="0" fontId="3" fillId="0" borderId="29" xfId="1" applyNumberFormat="1" applyFont="1" applyBorder="1" applyAlignment="1">
      <alignment wrapText="1"/>
    </xf>
    <xf numFmtId="0" fontId="10" fillId="3" borderId="57" xfId="1" applyFont="1" applyFill="1" applyBorder="1" applyAlignment="1">
      <alignment wrapText="1"/>
    </xf>
    <xf numFmtId="0" fontId="11" fillId="3" borderId="58" xfId="1" applyFont="1" applyFill="1" applyBorder="1" applyAlignment="1">
      <alignment wrapText="1"/>
    </xf>
    <xf numFmtId="0" fontId="8" fillId="0" borderId="27" xfId="1" applyFont="1" applyBorder="1" applyAlignment="1">
      <alignment wrapText="1"/>
    </xf>
    <xf numFmtId="0" fontId="18" fillId="0" borderId="29" xfId="1" applyNumberFormat="1" applyBorder="1" applyAlignment="1">
      <alignment wrapText="1"/>
    </xf>
    <xf numFmtId="0" fontId="11" fillId="3" borderId="14" xfId="1" applyFont="1" applyFill="1" applyBorder="1" applyAlignment="1">
      <alignment wrapText="1"/>
    </xf>
    <xf numFmtId="0" fontId="11" fillId="3" borderId="15" xfId="1" applyFont="1" applyFill="1" applyBorder="1" applyAlignment="1">
      <alignment wrapText="1"/>
    </xf>
    <xf numFmtId="0" fontId="18" fillId="0" borderId="15" xfId="1" applyNumberFormat="1" applyBorder="1" applyAlignment="1">
      <alignment wrapText="1"/>
    </xf>
    <xf numFmtId="0" fontId="28" fillId="0" borderId="29" xfId="1" applyNumberFormat="1" applyFont="1" applyBorder="1" applyAlignment="1">
      <alignment wrapText="1"/>
    </xf>
    <xf numFmtId="0" fontId="10" fillId="3" borderId="75" xfId="1" applyFont="1" applyFill="1" applyBorder="1" applyAlignment="1">
      <alignment horizontal="center" wrapText="1"/>
    </xf>
    <xf numFmtId="0" fontId="11" fillId="3" borderId="88" xfId="1" applyFont="1" applyFill="1" applyBorder="1" applyAlignment="1">
      <alignment wrapText="1"/>
    </xf>
    <xf numFmtId="0" fontId="8" fillId="0" borderId="28" xfId="1" applyFont="1" applyBorder="1" applyAlignment="1">
      <alignment horizontal="center" vertical="center" wrapText="1"/>
    </xf>
    <xf numFmtId="0" fontId="10" fillId="0" borderId="77" xfId="1" applyFont="1" applyBorder="1" applyAlignment="1">
      <alignment wrapText="1"/>
    </xf>
    <xf numFmtId="0" fontId="11" fillId="0" borderId="90" xfId="1" applyFont="1" applyBorder="1" applyAlignment="1">
      <alignment wrapText="1"/>
    </xf>
    <xf numFmtId="0" fontId="11" fillId="3" borderId="30" xfId="1" applyFont="1" applyFill="1" applyBorder="1" applyAlignment="1">
      <alignment horizontal="left" wrapText="1"/>
    </xf>
    <xf numFmtId="0" fontId="11" fillId="3" borderId="29" xfId="1" applyFont="1" applyFill="1" applyBorder="1" applyAlignment="1">
      <alignment wrapText="1"/>
    </xf>
    <xf numFmtId="0" fontId="28" fillId="0" borderId="21" xfId="1" applyNumberFormat="1" applyFont="1" applyBorder="1" applyAlignment="1">
      <alignment wrapText="1"/>
    </xf>
    <xf numFmtId="0" fontId="8" fillId="0" borderId="30" xfId="1" applyFont="1" applyBorder="1" applyAlignment="1">
      <alignment horizontal="center" wrapText="1"/>
    </xf>
    <xf numFmtId="0" fontId="24" fillId="0" borderId="46" xfId="1" applyNumberFormat="1" applyFont="1" applyBorder="1" applyAlignment="1">
      <alignment wrapText="1"/>
    </xf>
    <xf numFmtId="0" fontId="18" fillId="0" borderId="28" xfId="1" applyNumberFormat="1" applyBorder="1" applyAlignment="1">
      <alignment wrapText="1"/>
    </xf>
    <xf numFmtId="0" fontId="28" fillId="0" borderId="46" xfId="1" applyNumberFormat="1" applyFont="1" applyBorder="1" applyAlignment="1">
      <alignment wrapText="1"/>
    </xf>
    <xf numFmtId="164" fontId="12" fillId="3" borderId="89" xfId="1" applyNumberFormat="1" applyFont="1" applyFill="1" applyBorder="1" applyAlignment="1">
      <alignment wrapText="1"/>
    </xf>
    <xf numFmtId="0" fontId="3" fillId="0" borderId="30" xfId="1" applyFont="1" applyBorder="1" applyAlignment="1">
      <alignment horizontal="right" wrapText="1"/>
    </xf>
    <xf numFmtId="0" fontId="8" fillId="0" borderId="57" xfId="1" applyFont="1" applyBorder="1" applyAlignment="1">
      <alignment wrapText="1"/>
    </xf>
    <xf numFmtId="0" fontId="1" fillId="0" borderId="58" xfId="1" applyNumberFormat="1" applyFont="1" applyBorder="1" applyAlignment="1">
      <alignment wrapText="1"/>
    </xf>
    <xf numFmtId="0" fontId="18" fillId="0" borderId="89" xfId="1" applyNumberFormat="1" applyFont="1" applyBorder="1" applyAlignment="1">
      <alignment wrapText="1"/>
    </xf>
    <xf numFmtId="0" fontId="8" fillId="0" borderId="5" xfId="1" applyFont="1" applyBorder="1" applyAlignment="1">
      <alignment wrapText="1"/>
    </xf>
    <xf numFmtId="0" fontId="18" fillId="0" borderId="7" xfId="1" applyNumberFormat="1" applyBorder="1" applyAlignment="1">
      <alignment wrapText="1"/>
    </xf>
    <xf numFmtId="0" fontId="3" fillId="0" borderId="5" xfId="1" applyFont="1" applyBorder="1" applyAlignment="1">
      <alignment horizontal="right" wrapText="1"/>
    </xf>
    <xf numFmtId="0" fontId="29" fillId="0" borderId="29" xfId="1" applyNumberFormat="1" applyFont="1" applyBorder="1" applyAlignment="1">
      <alignment wrapText="1"/>
    </xf>
    <xf numFmtId="0" fontId="18" fillId="0" borderId="58" xfId="1" applyNumberFormat="1" applyBorder="1" applyAlignment="1">
      <alignment wrapText="1"/>
    </xf>
    <xf numFmtId="166" fontId="18" fillId="0" borderId="46" xfId="1" applyNumberFormat="1" applyBorder="1" applyAlignment="1">
      <alignment wrapText="1"/>
    </xf>
    <xf numFmtId="0" fontId="22" fillId="3" borderId="28" xfId="1" applyFont="1" applyFill="1" applyBorder="1" applyAlignment="1">
      <alignment wrapText="1"/>
    </xf>
    <xf numFmtId="164" fontId="24" fillId="0" borderId="7" xfId="1" applyNumberFormat="1" applyFont="1" applyBorder="1" applyAlignment="1">
      <alignment wrapText="1"/>
    </xf>
    <xf numFmtId="0" fontId="26" fillId="0" borderId="92" xfId="1" applyFont="1" applyBorder="1" applyAlignment="1">
      <alignment horizontal="center" vertical="center" wrapText="1"/>
    </xf>
    <xf numFmtId="0" fontId="18" fillId="0" borderId="93" xfId="1" applyNumberFormat="1" applyBorder="1" applyAlignment="1">
      <alignment wrapText="1"/>
    </xf>
    <xf numFmtId="0" fontId="3" fillId="0" borderId="57" xfId="1" applyFont="1" applyBorder="1" applyAlignment="1">
      <alignment wrapText="1"/>
    </xf>
    <xf numFmtId="0" fontId="8" fillId="0" borderId="53" xfId="1" applyFont="1" applyBorder="1" applyAlignment="1">
      <alignment horizontal="left" vertical="center" wrapText="1"/>
    </xf>
    <xf numFmtId="0" fontId="28" fillId="0" borderId="45" xfId="1" applyNumberFormat="1" applyFont="1" applyBorder="1" applyAlignment="1">
      <alignment wrapText="1"/>
    </xf>
    <xf numFmtId="0" fontId="3" fillId="0" borderId="28" xfId="1" applyFont="1" applyBorder="1" applyAlignment="1">
      <alignment horizontal="right" wrapText="1"/>
    </xf>
    <xf numFmtId="0" fontId="3" fillId="0" borderId="78" xfId="1" applyFont="1" applyBorder="1" applyAlignment="1">
      <alignment horizontal="center" wrapText="1"/>
    </xf>
    <xf numFmtId="0" fontId="18" fillId="0" borderId="95" xfId="1" applyNumberFormat="1" applyBorder="1" applyAlignment="1">
      <alignment wrapText="1"/>
    </xf>
    <xf numFmtId="164" fontId="30" fillId="0" borderId="58" xfId="1" applyNumberFormat="1" applyFont="1" applyBorder="1" applyAlignment="1">
      <alignment wrapText="1"/>
    </xf>
    <xf numFmtId="0" fontId="18" fillId="0" borderId="45" xfId="1" applyBorder="1" applyAlignment="1">
      <alignment wrapText="1"/>
    </xf>
    <xf numFmtId="0" fontId="24" fillId="0" borderId="46" xfId="1" applyFont="1" applyBorder="1" applyAlignment="1">
      <alignment wrapText="1"/>
    </xf>
    <xf numFmtId="0" fontId="18" fillId="0" borderId="0" xfId="1" applyAlignment="1">
      <alignment wrapText="1"/>
    </xf>
    <xf numFmtId="0" fontId="18" fillId="0" borderId="43" xfId="1" applyBorder="1" applyAlignment="1">
      <alignment wrapText="1"/>
    </xf>
    <xf numFmtId="164" fontId="27" fillId="0" borderId="89" xfId="1" applyNumberFormat="1" applyFont="1" applyBorder="1" applyAlignment="1">
      <alignment wrapText="1"/>
    </xf>
    <xf numFmtId="164" fontId="27" fillId="0" borderId="29" xfId="1" applyNumberFormat="1" applyFont="1" applyBorder="1" applyAlignment="1">
      <alignment wrapText="1"/>
    </xf>
    <xf numFmtId="164" fontId="27" fillId="0" borderId="21" xfId="1" applyNumberFormat="1" applyFont="1" applyBorder="1" applyAlignment="1">
      <alignment wrapText="1"/>
    </xf>
    <xf numFmtId="164" fontId="27" fillId="0" borderId="93" xfId="1" applyNumberFormat="1" applyFont="1" applyBorder="1" applyAlignment="1">
      <alignment wrapText="1"/>
    </xf>
    <xf numFmtId="0" fontId="3" fillId="0" borderId="57" xfId="1" applyFont="1" applyBorder="1" applyAlignment="1">
      <alignment horizontal="left" vertical="center" wrapText="1"/>
    </xf>
    <xf numFmtId="167" fontId="12" fillId="3" borderId="29" xfId="1" applyNumberFormat="1" applyFont="1" applyFill="1" applyBorder="1" applyAlignment="1">
      <alignment wrapText="1"/>
    </xf>
    <xf numFmtId="0" fontId="5" fillId="2" borderId="30" xfId="0" applyFont="1" applyFill="1" applyBorder="1" applyAlignment="1">
      <alignment horizontal="center"/>
    </xf>
    <xf numFmtId="0" fontId="24" fillId="0" borderId="52" xfId="0" applyNumberFormat="1" applyFont="1" applyBorder="1" applyAlignment="1">
      <alignment wrapText="1"/>
    </xf>
    <xf numFmtId="0" fontId="8" fillId="0" borderId="44" xfId="0" applyFont="1" applyBorder="1" applyAlignment="1">
      <alignment wrapText="1"/>
    </xf>
    <xf numFmtId="0" fontId="8" fillId="0" borderId="45" xfId="0" applyFont="1" applyBorder="1" applyAlignment="1">
      <alignment wrapText="1"/>
    </xf>
    <xf numFmtId="0" fontId="0" fillId="0" borderId="41" xfId="0" applyBorder="1" applyAlignment="1">
      <alignment wrapText="1"/>
    </xf>
    <xf numFmtId="0" fontId="8" fillId="5" borderId="80" xfId="0" applyFont="1" applyFill="1" applyBorder="1" applyAlignment="1">
      <alignment wrapText="1"/>
    </xf>
    <xf numFmtId="0" fontId="8" fillId="5" borderId="81" xfId="0" applyFont="1" applyFill="1" applyBorder="1" applyAlignment="1">
      <alignment wrapText="1"/>
    </xf>
    <xf numFmtId="0" fontId="10" fillId="0" borderId="82" xfId="1" applyNumberFormat="1" applyFont="1" applyBorder="1" applyAlignment="1">
      <alignment wrapText="1"/>
    </xf>
    <xf numFmtId="0" fontId="11" fillId="3" borderId="70" xfId="0" applyNumberFormat="1" applyFont="1" applyFill="1" applyBorder="1" applyAlignment="1">
      <alignment wrapText="1"/>
    </xf>
    <xf numFmtId="0" fontId="11" fillId="3" borderId="68" xfId="0" applyNumberFormat="1" applyFont="1" applyFill="1" applyBorder="1" applyAlignment="1">
      <alignment wrapText="1"/>
    </xf>
    <xf numFmtId="0" fontId="10" fillId="3" borderId="6" xfId="0" applyNumberFormat="1" applyFont="1" applyFill="1" applyBorder="1" applyAlignment="1">
      <alignment horizontal="center" wrapText="1"/>
    </xf>
    <xf numFmtId="0" fontId="11" fillId="3" borderId="96" xfId="0" applyNumberFormat="1" applyFont="1" applyFill="1" applyBorder="1" applyAlignment="1">
      <alignment wrapText="1"/>
    </xf>
    <xf numFmtId="0" fontId="18" fillId="0" borderId="58" xfId="1" applyBorder="1"/>
    <xf numFmtId="0" fontId="3" fillId="0" borderId="27" xfId="1" applyNumberFormat="1" applyFont="1" applyBorder="1" applyAlignment="1">
      <alignment wrapText="1"/>
    </xf>
    <xf numFmtId="0" fontId="18" fillId="0" borderId="29" xfId="1" applyNumberFormat="1" applyFont="1" applyBorder="1" applyAlignment="1"/>
    <xf numFmtId="0" fontId="3" fillId="3" borderId="27" xfId="1" applyNumberFormat="1" applyFont="1" applyFill="1" applyBorder="1" applyAlignment="1">
      <alignment horizontal="right"/>
    </xf>
    <xf numFmtId="0" fontId="18" fillId="3" borderId="29" xfId="1" applyNumberFormat="1" applyFont="1" applyFill="1" applyBorder="1" applyAlignment="1"/>
    <xf numFmtId="0" fontId="3" fillId="0" borderId="27" xfId="1" applyNumberFormat="1" applyFont="1" applyBorder="1" applyAlignment="1">
      <alignment horizontal="right"/>
    </xf>
    <xf numFmtId="0" fontId="3" fillId="0" borderId="16" xfId="1" applyNumberFormat="1" applyFont="1" applyBorder="1" applyAlignment="1"/>
    <xf numFmtId="0" fontId="18" fillId="0" borderId="21" xfId="1" applyNumberFormat="1" applyFont="1" applyBorder="1" applyAlignment="1"/>
    <xf numFmtId="0" fontId="6" fillId="0" borderId="28" xfId="0" applyFont="1" applyBorder="1" applyAlignment="1">
      <alignment horizontal="center"/>
    </xf>
    <xf numFmtId="0" fontId="5" fillId="2" borderId="38" xfId="0" applyFont="1" applyFill="1" applyBorder="1" applyAlignment="1">
      <alignment horizontal="center"/>
    </xf>
    <xf numFmtId="0" fontId="5" fillId="2" borderId="37" xfId="0" applyFont="1" applyFill="1" applyBorder="1" applyAlignment="1">
      <alignment horizontal="center"/>
    </xf>
    <xf numFmtId="46" fontId="12" fillId="3" borderId="29" xfId="1" applyNumberFormat="1" applyFont="1" applyFill="1" applyBorder="1"/>
    <xf numFmtId="0" fontId="0" fillId="0" borderId="33" xfId="0" applyBorder="1" applyAlignment="1">
      <alignment wrapText="1"/>
    </xf>
    <xf numFmtId="164" fontId="12" fillId="3" borderId="29" xfId="1" applyNumberFormat="1" applyFont="1" applyFill="1" applyBorder="1" applyAlignment="1">
      <alignment wrapText="1"/>
    </xf>
    <xf numFmtId="0" fontId="6" fillId="0" borderId="28" xfId="1" applyFont="1" applyFill="1" applyBorder="1" applyAlignment="1">
      <alignment horizontal="center" vertical="center" wrapText="1"/>
    </xf>
    <xf numFmtId="0" fontId="6" fillId="0" borderId="29" xfId="1" applyFont="1" applyFill="1" applyBorder="1" applyAlignment="1">
      <alignment horizontal="center" vertical="center" wrapText="1"/>
    </xf>
    <xf numFmtId="0" fontId="26" fillId="0" borderId="27" xfId="1" applyFont="1" applyBorder="1" applyAlignment="1">
      <alignment horizontal="center" vertical="center" wrapText="1"/>
    </xf>
    <xf numFmtId="0" fontId="26" fillId="3" borderId="57" xfId="1" applyFont="1" applyFill="1" applyBorder="1" applyAlignment="1">
      <alignment horizontal="center" vertical="center" wrapText="1"/>
    </xf>
    <xf numFmtId="0" fontId="6" fillId="0" borderId="50" xfId="1" applyFont="1" applyBorder="1" applyAlignment="1">
      <alignment horizontal="center" vertical="center" wrapText="1"/>
    </xf>
    <xf numFmtId="0" fontId="6" fillId="0" borderId="14" xfId="1" applyFont="1" applyBorder="1" applyAlignment="1">
      <alignment horizontal="center" vertical="center" wrapText="1"/>
    </xf>
    <xf numFmtId="0" fontId="6" fillId="0" borderId="45" xfId="1" applyFont="1" applyBorder="1" applyAlignment="1">
      <alignment horizontal="center" vertical="center" wrapText="1"/>
    </xf>
    <xf numFmtId="0" fontId="0" fillId="0" borderId="27" xfId="0" applyFont="1" applyFill="1" applyBorder="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18" fillId="0" borderId="83" xfId="1" applyBorder="1" applyAlignment="1">
      <alignment horizontal="center" vertical="center" wrapText="1"/>
    </xf>
    <xf numFmtId="0" fontId="8" fillId="5" borderId="84" xfId="1" applyFont="1" applyFill="1" applyBorder="1" applyAlignment="1">
      <alignment horizontal="center" vertical="center" wrapText="1"/>
    </xf>
    <xf numFmtId="0" fontId="8" fillId="5" borderId="3" xfId="1" applyFont="1" applyFill="1" applyBorder="1" applyAlignment="1">
      <alignment horizontal="center" vertical="center" wrapText="1"/>
    </xf>
    <xf numFmtId="0" fontId="8" fillId="0" borderId="84" xfId="1" applyFont="1" applyBorder="1" applyAlignment="1">
      <alignment horizontal="center" vertical="center" wrapText="1"/>
    </xf>
    <xf numFmtId="0" fontId="8" fillId="0" borderId="4" xfId="1" applyFont="1" applyBorder="1" applyAlignment="1">
      <alignment horizontal="center" vertical="center" wrapText="1"/>
    </xf>
    <xf numFmtId="0" fontId="8" fillId="0" borderId="57" xfId="1" applyFont="1" applyBorder="1" applyAlignment="1">
      <alignment horizontal="center" vertical="center" wrapText="1"/>
    </xf>
    <xf numFmtId="0" fontId="18" fillId="0" borderId="85" xfId="1" applyBorder="1" applyAlignment="1">
      <alignment horizontal="center" vertical="center" wrapText="1"/>
    </xf>
    <xf numFmtId="0" fontId="18" fillId="0" borderId="41" xfId="1" applyBorder="1" applyAlignment="1">
      <alignment horizontal="center" vertical="center" wrapText="1"/>
    </xf>
    <xf numFmtId="0" fontId="26" fillId="0" borderId="86" xfId="1" applyFont="1" applyBorder="1" applyAlignment="1">
      <alignment horizontal="center" vertical="center" wrapText="1"/>
    </xf>
    <xf numFmtId="0" fontId="18" fillId="0" borderId="85" xfId="1" applyNumberFormat="1" applyFont="1" applyBorder="1" applyAlignment="1">
      <alignment horizontal="center" vertical="center" wrapText="1"/>
    </xf>
    <xf numFmtId="0" fontId="18" fillId="0" borderId="93" xfId="1" applyNumberFormat="1" applyBorder="1" applyAlignment="1">
      <alignment horizontal="center" vertical="center" wrapText="1"/>
    </xf>
    <xf numFmtId="0" fontId="3" fillId="0" borderId="50" xfId="1" applyFont="1" applyBorder="1" applyAlignment="1">
      <alignment horizontal="center" vertical="center" wrapText="1"/>
    </xf>
    <xf numFmtId="0" fontId="18" fillId="0" borderId="45" xfId="1" applyNumberFormat="1" applyBorder="1" applyAlignment="1">
      <alignment horizontal="center" vertical="center" wrapText="1"/>
    </xf>
    <xf numFmtId="0" fontId="18" fillId="0" borderId="33" xfId="1" applyBorder="1" applyAlignment="1">
      <alignment horizontal="center" vertical="center" wrapText="1"/>
    </xf>
    <xf numFmtId="0" fontId="3" fillId="0" borderId="53" xfId="1" applyFont="1" applyBorder="1" applyAlignment="1">
      <alignment horizontal="center" vertical="center" wrapText="1"/>
    </xf>
    <xf numFmtId="0" fontId="18" fillId="0" borderId="28" xfId="1" applyBorder="1" applyAlignment="1">
      <alignment horizontal="center" vertical="center" wrapText="1"/>
    </xf>
    <xf numFmtId="0" fontId="3" fillId="0" borderId="16" xfId="1" applyFont="1" applyBorder="1" applyAlignment="1">
      <alignment horizontal="center" vertical="center" wrapText="1"/>
    </xf>
    <xf numFmtId="0" fontId="18" fillId="0" borderId="51" xfId="1" applyNumberFormat="1" applyBorder="1" applyAlignment="1">
      <alignment horizontal="center" vertical="center" wrapText="1"/>
    </xf>
    <xf numFmtId="0" fontId="3" fillId="0" borderId="30" xfId="1" applyFont="1" applyBorder="1" applyAlignment="1">
      <alignment horizontal="center" vertical="center" wrapText="1"/>
    </xf>
    <xf numFmtId="0" fontId="18" fillId="0" borderId="46" xfId="1" applyNumberFormat="1" applyFont="1" applyBorder="1" applyAlignment="1">
      <alignment horizontal="center" vertical="center" wrapText="1"/>
    </xf>
    <xf numFmtId="0" fontId="3" fillId="0" borderId="28" xfId="1" applyFont="1" applyBorder="1" applyAlignment="1">
      <alignment horizontal="center" vertical="center" wrapText="1"/>
    </xf>
    <xf numFmtId="0" fontId="3" fillId="0" borderId="27" xfId="1" applyFont="1" applyBorder="1" applyAlignment="1">
      <alignment horizontal="center" vertical="center" wrapText="1"/>
    </xf>
    <xf numFmtId="0" fontId="18" fillId="0" borderId="46" xfId="1" applyNumberFormat="1" applyBorder="1" applyAlignment="1">
      <alignment horizontal="center" vertical="center" wrapText="1"/>
    </xf>
    <xf numFmtId="0" fontId="3" fillId="6" borderId="94" xfId="1" applyFont="1" applyFill="1" applyBorder="1" applyAlignment="1">
      <alignment horizontal="center" vertical="center" wrapText="1"/>
    </xf>
    <xf numFmtId="164" fontId="27" fillId="6" borderId="98" xfId="1" applyNumberFormat="1" applyFont="1" applyFill="1" applyBorder="1" applyAlignment="1">
      <alignment horizontal="center" vertical="center" wrapText="1"/>
    </xf>
    <xf numFmtId="0" fontId="31" fillId="0" borderId="86" xfId="1" applyFont="1" applyBorder="1" applyAlignment="1">
      <alignment horizontal="center" vertical="center" wrapText="1"/>
    </xf>
    <xf numFmtId="0" fontId="3" fillId="0" borderId="5" xfId="1" applyFont="1" applyBorder="1" applyAlignment="1">
      <alignment horizontal="center" vertical="center" wrapText="1"/>
    </xf>
    <xf numFmtId="0" fontId="18" fillId="0" borderId="7" xfId="1" applyNumberFormat="1" applyBorder="1" applyAlignment="1">
      <alignment horizontal="center" vertical="center" wrapText="1"/>
    </xf>
    <xf numFmtId="0" fontId="3" fillId="6" borderId="99" xfId="1" applyFont="1" applyFill="1" applyBorder="1" applyAlignment="1">
      <alignment horizontal="center" vertical="center" wrapText="1"/>
    </xf>
    <xf numFmtId="0" fontId="18" fillId="6" borderId="97" xfId="1" applyNumberFormat="1" applyFont="1" applyFill="1" applyBorder="1" applyAlignment="1">
      <alignment horizontal="center" vertical="center" wrapText="1"/>
    </xf>
    <xf numFmtId="164" fontId="18" fillId="0" borderId="28" xfId="1" applyNumberFormat="1" applyBorder="1" applyAlignment="1">
      <alignment horizontal="center" vertical="center" wrapText="1"/>
    </xf>
    <xf numFmtId="0" fontId="18" fillId="0" borderId="58" xfId="1" applyNumberFormat="1" applyBorder="1" applyAlignment="1">
      <alignment horizontal="center" vertical="center" wrapText="1"/>
    </xf>
    <xf numFmtId="0" fontId="3" fillId="0" borderId="98" xfId="1" applyNumberFormat="1" applyFont="1" applyBorder="1" applyAlignment="1">
      <alignment horizontal="center" vertical="center" wrapText="1"/>
    </xf>
    <xf numFmtId="0" fontId="26" fillId="0" borderId="78" xfId="1" applyFont="1" applyBorder="1" applyAlignment="1">
      <alignment horizontal="center" vertical="center" wrapText="1"/>
    </xf>
    <xf numFmtId="0" fontId="18" fillId="0" borderId="95" xfId="1" applyNumberFormat="1" applyBorder="1" applyAlignment="1">
      <alignment horizontal="center" vertical="center" wrapText="1"/>
    </xf>
    <xf numFmtId="0" fontId="18" fillId="0" borderId="15" xfId="1" applyNumberFormat="1" applyBorder="1" applyAlignment="1">
      <alignment horizontal="center" vertical="center" wrapText="1"/>
    </xf>
    <xf numFmtId="0" fontId="18" fillId="0" borderId="89" xfId="1" applyNumberFormat="1" applyFont="1" applyBorder="1" applyAlignment="1">
      <alignment horizontal="center" vertical="center" wrapText="1"/>
    </xf>
    <xf numFmtId="0" fontId="18" fillId="0" borderId="29" xfId="1" applyNumberFormat="1" applyBorder="1" applyAlignment="1">
      <alignment horizontal="center" vertical="center" wrapText="1"/>
    </xf>
    <xf numFmtId="0" fontId="24" fillId="0" borderId="7" xfId="1" applyNumberFormat="1" applyFont="1" applyBorder="1" applyAlignment="1">
      <alignment horizontal="center" vertical="center" wrapText="1"/>
    </xf>
    <xf numFmtId="0" fontId="3" fillId="6" borderId="49" xfId="1" applyFont="1" applyFill="1" applyBorder="1" applyAlignment="1">
      <alignment horizontal="center" vertical="center" wrapText="1"/>
    </xf>
    <xf numFmtId="164" fontId="24" fillId="0" borderId="21" xfId="1" applyNumberFormat="1" applyFont="1" applyBorder="1" applyAlignment="1">
      <alignment horizontal="center" vertical="center" wrapText="1"/>
    </xf>
    <xf numFmtId="0" fontId="1" fillId="0" borderId="58" xfId="1" applyNumberFormat="1" applyFont="1" applyBorder="1" applyAlignment="1">
      <alignment horizontal="center" vertical="center" wrapText="1"/>
    </xf>
    <xf numFmtId="0" fontId="3" fillId="6" borderId="44" xfId="1" applyFont="1" applyFill="1" applyBorder="1" applyAlignment="1">
      <alignment horizontal="center" vertical="center" wrapText="1"/>
    </xf>
    <xf numFmtId="0" fontId="18" fillId="6" borderId="45" xfId="1" applyNumberFormat="1" applyFont="1" applyFill="1" applyBorder="1" applyAlignment="1">
      <alignment horizontal="center" vertical="center" wrapText="1"/>
    </xf>
    <xf numFmtId="0" fontId="24" fillId="0" borderId="29" xfId="1" applyNumberFormat="1" applyFont="1" applyBorder="1" applyAlignment="1">
      <alignment horizontal="center" vertical="center" wrapText="1"/>
    </xf>
    <xf numFmtId="0" fontId="26" fillId="0" borderId="57" xfId="1" applyFont="1" applyBorder="1" applyAlignment="1">
      <alignment horizontal="center" vertical="center" wrapText="1"/>
    </xf>
    <xf numFmtId="0" fontId="3" fillId="0" borderId="29" xfId="1" applyNumberFormat="1" applyFont="1" applyBorder="1" applyAlignment="1">
      <alignment horizontal="center" vertical="center" wrapText="1"/>
    </xf>
    <xf numFmtId="164" fontId="27" fillId="6" borderId="7" xfId="1" applyNumberFormat="1" applyFont="1" applyFill="1" applyBorder="1" applyAlignment="1">
      <alignment horizontal="center" vertical="center" wrapText="1"/>
    </xf>
    <xf numFmtId="0" fontId="1" fillId="0" borderId="58" xfId="1" applyFont="1" applyBorder="1" applyAlignment="1">
      <alignment horizontal="center" vertical="center" wrapText="1"/>
    </xf>
    <xf numFmtId="0" fontId="3" fillId="3" borderId="44" xfId="1" applyFont="1" applyFill="1" applyBorder="1" applyAlignment="1">
      <alignment horizontal="center" vertical="center" wrapText="1"/>
    </xf>
    <xf numFmtId="164" fontId="24" fillId="0" borderId="89" xfId="1" applyNumberFormat="1" applyFont="1" applyBorder="1" applyAlignment="1">
      <alignment horizontal="center" vertical="center" wrapText="1"/>
    </xf>
    <xf numFmtId="0" fontId="24" fillId="0" borderId="46" xfId="1" applyNumberFormat="1" applyFont="1" applyBorder="1" applyAlignment="1">
      <alignment horizontal="center" vertical="center" wrapText="1"/>
    </xf>
    <xf numFmtId="0" fontId="3" fillId="3" borderId="100" xfId="1" applyFont="1" applyFill="1" applyBorder="1" applyAlignment="1">
      <alignment horizontal="center" vertical="center" wrapText="1"/>
    </xf>
    <xf numFmtId="164" fontId="28" fillId="0" borderId="51" xfId="1" applyNumberFormat="1" applyFont="1" applyBorder="1" applyAlignment="1">
      <alignment horizontal="center" vertical="center" wrapText="1"/>
    </xf>
    <xf numFmtId="46" fontId="30" fillId="0" borderId="28" xfId="1" applyNumberFormat="1" applyFont="1" applyBorder="1" applyAlignment="1">
      <alignment horizontal="center" vertical="center" wrapText="1"/>
    </xf>
    <xf numFmtId="0" fontId="3" fillId="3" borderId="30" xfId="1" applyFont="1" applyFill="1" applyBorder="1" applyAlignment="1">
      <alignment horizontal="center" vertical="center" wrapText="1"/>
    </xf>
    <xf numFmtId="0" fontId="28" fillId="0" borderId="46" xfId="1" applyNumberFormat="1" applyFont="1" applyBorder="1" applyAlignment="1">
      <alignment horizontal="center" vertical="center" wrapText="1"/>
    </xf>
    <xf numFmtId="0" fontId="3" fillId="3" borderId="28" xfId="1" applyFont="1" applyFill="1" applyBorder="1" applyAlignment="1">
      <alignment horizontal="center" vertical="center" wrapText="1"/>
    </xf>
    <xf numFmtId="0" fontId="18" fillId="3" borderId="28" xfId="1" applyNumberFormat="1" applyFont="1" applyFill="1" applyBorder="1" applyAlignment="1">
      <alignment horizontal="center" vertical="center" wrapText="1"/>
    </xf>
    <xf numFmtId="0" fontId="24" fillId="0" borderId="21" xfId="1" applyNumberFormat="1" applyFont="1" applyBorder="1" applyAlignment="1">
      <alignment horizontal="center" vertical="center" wrapText="1"/>
    </xf>
    <xf numFmtId="0" fontId="3" fillId="3" borderId="94" xfId="1" applyFont="1" applyFill="1" applyBorder="1" applyAlignment="1">
      <alignment horizontal="center" vertical="center" wrapText="1"/>
    </xf>
    <xf numFmtId="164" fontId="28" fillId="0" borderId="7" xfId="1" applyNumberFormat="1" applyFont="1" applyBorder="1" applyAlignment="1">
      <alignment horizontal="center" vertical="center" wrapText="1"/>
    </xf>
    <xf numFmtId="0" fontId="8" fillId="3" borderId="28" xfId="1" applyFont="1" applyFill="1" applyBorder="1" applyAlignment="1">
      <alignment horizontal="center" vertical="center" wrapText="1"/>
    </xf>
    <xf numFmtId="46" fontId="18" fillId="3" borderId="28" xfId="1" applyNumberFormat="1" applyFont="1" applyFill="1" applyBorder="1" applyAlignment="1">
      <alignment horizontal="center" vertical="center" wrapText="1"/>
    </xf>
    <xf numFmtId="164" fontId="27" fillId="0" borderId="7" xfId="1" applyNumberFormat="1" applyFont="1" applyBorder="1" applyAlignment="1">
      <alignment horizontal="center" vertical="center" wrapText="1"/>
    </xf>
    <xf numFmtId="0" fontId="3" fillId="0" borderId="0" xfId="1" applyFont="1" applyAlignment="1">
      <alignment horizontal="center" vertical="center" wrapText="1"/>
    </xf>
    <xf numFmtId="0" fontId="18" fillId="0" borderId="34" xfId="1" applyBorder="1" applyAlignment="1">
      <alignment horizontal="center" vertical="center" wrapText="1"/>
    </xf>
    <xf numFmtId="164" fontId="27" fillId="0" borderId="58" xfId="1" applyNumberFormat="1" applyFont="1" applyBorder="1" applyAlignment="1">
      <alignment horizontal="center" vertical="center" wrapText="1"/>
    </xf>
    <xf numFmtId="0" fontId="3" fillId="0" borderId="33" xfId="1" applyFont="1" applyBorder="1" applyAlignment="1">
      <alignment horizontal="center" vertical="center" wrapText="1"/>
    </xf>
    <xf numFmtId="0" fontId="3" fillId="3" borderId="49" xfId="1" applyFont="1" applyFill="1" applyBorder="1" applyAlignment="1">
      <alignment horizontal="center" vertical="center" wrapText="1"/>
    </xf>
    <xf numFmtId="0" fontId="18" fillId="0" borderId="45" xfId="1" applyBorder="1" applyAlignment="1">
      <alignment horizontal="center" vertical="center" wrapText="1"/>
    </xf>
    <xf numFmtId="164" fontId="27" fillId="0" borderId="51" xfId="1" applyNumberFormat="1" applyFont="1" applyBorder="1" applyAlignment="1">
      <alignment horizontal="center" vertical="center" wrapText="1"/>
    </xf>
    <xf numFmtId="0" fontId="18" fillId="0" borderId="33" xfId="1" applyFont="1" applyBorder="1" applyAlignment="1">
      <alignment horizontal="center" vertical="center" wrapText="1"/>
    </xf>
    <xf numFmtId="0" fontId="24" fillId="0" borderId="46" xfId="1" applyFont="1" applyBorder="1" applyAlignment="1">
      <alignment horizontal="center" vertical="center" wrapText="1"/>
    </xf>
    <xf numFmtId="0" fontId="18" fillId="0" borderId="43" xfId="1" applyBorder="1" applyAlignment="1">
      <alignment horizontal="center" vertical="center" wrapText="1"/>
    </xf>
    <xf numFmtId="0" fontId="3" fillId="0" borderId="46" xfId="1" applyNumberFormat="1" applyFont="1" applyBorder="1" applyAlignment="1">
      <alignment horizontal="center" vertical="center" wrapText="1"/>
    </xf>
    <xf numFmtId="0" fontId="28" fillId="0" borderId="7" xfId="1" applyNumberFormat="1" applyFont="1" applyBorder="1" applyAlignment="1">
      <alignment horizontal="center" vertical="center" wrapText="1"/>
    </xf>
    <xf numFmtId="0" fontId="18" fillId="0" borderId="101" xfId="1" applyBorder="1" applyAlignment="1">
      <alignment horizontal="center" vertical="center" wrapText="1"/>
    </xf>
    <xf numFmtId="0" fontId="18" fillId="0" borderId="102" xfId="1" applyBorder="1" applyAlignment="1">
      <alignment horizontal="center" vertical="center" wrapText="1"/>
    </xf>
    <xf numFmtId="0" fontId="5" fillId="2" borderId="37" xfId="1" applyFont="1" applyFill="1" applyBorder="1" applyAlignment="1">
      <alignment horizontal="center" vertical="center" wrapText="1"/>
    </xf>
    <xf numFmtId="0" fontId="5" fillId="2" borderId="38" xfId="1" applyFont="1" applyFill="1" applyBorder="1" applyAlignment="1">
      <alignment horizontal="center" vertical="center" wrapText="1"/>
    </xf>
    <xf numFmtId="0" fontId="5" fillId="2" borderId="39" xfId="1" applyFont="1" applyFill="1" applyBorder="1" applyAlignment="1">
      <alignment horizontal="center" vertical="center" wrapText="1"/>
    </xf>
    <xf numFmtId="2" fontId="6" fillId="0" borderId="28" xfId="1" applyNumberFormat="1" applyFont="1" applyBorder="1" applyAlignment="1">
      <alignment horizontal="center" vertical="center" wrapText="1"/>
    </xf>
    <xf numFmtId="0" fontId="6" fillId="0" borderId="28" xfId="1" applyFont="1" applyBorder="1" applyAlignment="1">
      <alignment horizontal="center" vertical="center" wrapText="1"/>
    </xf>
    <xf numFmtId="44" fontId="6" fillId="0" borderId="46" xfId="2" applyFont="1" applyBorder="1" applyAlignment="1">
      <alignment horizontal="center" vertical="center" wrapText="1"/>
    </xf>
    <xf numFmtId="0" fontId="18" fillId="0" borderId="29" xfId="1" applyBorder="1" applyAlignment="1">
      <alignment horizontal="center" vertical="center" wrapText="1"/>
    </xf>
    <xf numFmtId="49" fontId="6" fillId="0" borderId="27" xfId="1" applyNumberFormat="1" applyFont="1" applyBorder="1" applyAlignment="1">
      <alignment horizontal="center" vertical="center" wrapText="1"/>
    </xf>
    <xf numFmtId="49" fontId="6" fillId="0" borderId="16" xfId="1" applyNumberFormat="1" applyFont="1" applyBorder="1" applyAlignment="1">
      <alignment horizontal="center" vertical="center" wrapText="1"/>
    </xf>
    <xf numFmtId="2" fontId="6" fillId="0" borderId="20" xfId="1" applyNumberFormat="1" applyFont="1" applyBorder="1" applyAlignment="1">
      <alignment horizontal="center" vertical="center" wrapText="1"/>
    </xf>
    <xf numFmtId="0" fontId="6" fillId="0" borderId="20" xfId="1" applyFont="1" applyBorder="1" applyAlignment="1">
      <alignment horizontal="center" vertical="center" wrapText="1"/>
    </xf>
    <xf numFmtId="2" fontId="6" fillId="0" borderId="51" xfId="1" applyNumberFormat="1" applyFont="1" applyBorder="1" applyAlignment="1">
      <alignment horizontal="center" vertical="center" wrapText="1"/>
    </xf>
    <xf numFmtId="0" fontId="18" fillId="0" borderId="20" xfId="1" applyBorder="1" applyAlignment="1">
      <alignment horizontal="center" vertical="center" wrapText="1"/>
    </xf>
    <xf numFmtId="0" fontId="18" fillId="0" borderId="21" xfId="1" applyBorder="1" applyAlignment="1">
      <alignment horizontal="center" vertical="center" wrapText="1"/>
    </xf>
    <xf numFmtId="0" fontId="6" fillId="0" borderId="28" xfId="0" applyFont="1" applyBorder="1" applyAlignment="1">
      <alignment horizontal="center"/>
    </xf>
    <xf numFmtId="0" fontId="3" fillId="0" borderId="49" xfId="1" applyFont="1" applyBorder="1" applyAlignment="1">
      <alignment horizontal="center" vertical="center" wrapText="1"/>
    </xf>
    <xf numFmtId="2" fontId="18" fillId="0" borderId="46" xfId="1" applyNumberFormat="1" applyBorder="1" applyAlignment="1">
      <alignment horizontal="center" vertical="center" wrapText="1"/>
    </xf>
    <xf numFmtId="0" fontId="1" fillId="0" borderId="30" xfId="0" applyNumberFormat="1" applyFont="1" applyBorder="1"/>
    <xf numFmtId="0" fontId="1" fillId="0" borderId="30" xfId="0" applyNumberFormat="1" applyFont="1" applyBorder="1" applyAlignment="1">
      <alignment horizontal="center"/>
    </xf>
    <xf numFmtId="2" fontId="3" fillId="0" borderId="46" xfId="0" applyNumberFormat="1" applyFont="1" applyBorder="1" applyAlignment="1"/>
    <xf numFmtId="2" fontId="1" fillId="0" borderId="46" xfId="0" applyNumberFormat="1" applyFont="1" applyBorder="1"/>
    <xf numFmtId="0" fontId="0" fillId="0" borderId="45" xfId="1" applyNumberFormat="1" applyFont="1" applyBorder="1" applyAlignment="1">
      <alignment horizontal="center" vertical="center" wrapText="1"/>
    </xf>
    <xf numFmtId="0" fontId="8" fillId="3" borderId="28" xfId="1" applyNumberFormat="1" applyFont="1" applyFill="1" applyBorder="1" applyAlignment="1">
      <alignment horizontal="center" vertical="center" wrapText="1"/>
    </xf>
    <xf numFmtId="46" fontId="30" fillId="3" borderId="28" xfId="1" applyNumberFormat="1" applyFont="1" applyFill="1" applyBorder="1" applyAlignment="1">
      <alignment horizontal="center" vertical="center" wrapText="1"/>
    </xf>
    <xf numFmtId="0" fontId="3" fillId="3" borderId="28" xfId="1" applyNumberFormat="1" applyFont="1" applyFill="1" applyBorder="1" applyAlignment="1">
      <alignment horizontal="center" vertical="center" wrapText="1"/>
    </xf>
    <xf numFmtId="0" fontId="0" fillId="3" borderId="28" xfId="1" applyNumberFormat="1" applyFont="1" applyFill="1" applyBorder="1" applyAlignment="1">
      <alignment horizontal="center" vertical="center" wrapText="1"/>
    </xf>
    <xf numFmtId="46" fontId="0" fillId="3" borderId="28" xfId="1" applyNumberFormat="1" applyFont="1" applyFill="1" applyBorder="1" applyAlignment="1">
      <alignment horizontal="center" vertical="center" wrapText="1"/>
    </xf>
    <xf numFmtId="46" fontId="0" fillId="0" borderId="46" xfId="0" applyNumberFormat="1" applyBorder="1"/>
    <xf numFmtId="0" fontId="0" fillId="0" borderId="20" xfId="0" applyBorder="1" applyAlignment="1">
      <alignment wrapText="1"/>
    </xf>
    <xf numFmtId="46" fontId="18" fillId="6" borderId="97" xfId="1" applyNumberFormat="1" applyFont="1" applyFill="1" applyBorder="1" applyAlignment="1">
      <alignment horizontal="center" vertical="center" wrapText="1"/>
    </xf>
    <xf numFmtId="0" fontId="3" fillId="6" borderId="53" xfId="1" applyFont="1" applyFill="1" applyBorder="1" applyAlignment="1">
      <alignment horizontal="center" vertical="center" wrapText="1"/>
    </xf>
    <xf numFmtId="46" fontId="0" fillId="0" borderId="33" xfId="0" applyNumberFormat="1" applyBorder="1"/>
    <xf numFmtId="46" fontId="18" fillId="0" borderId="7" xfId="1" applyNumberFormat="1" applyFont="1" applyBorder="1" applyAlignment="1">
      <alignment horizontal="center" vertical="center" wrapText="1"/>
    </xf>
    <xf numFmtId="0" fontId="8" fillId="6" borderId="57" xfId="1" applyFont="1" applyFill="1" applyBorder="1" applyAlignment="1">
      <alignment horizontal="center" vertical="center" wrapText="1"/>
    </xf>
    <xf numFmtId="164" fontId="27" fillId="6" borderId="58" xfId="1" applyNumberFormat="1" applyFont="1" applyFill="1" applyBorder="1" applyAlignment="1">
      <alignment horizontal="center" vertical="center" wrapText="1"/>
    </xf>
    <xf numFmtId="0" fontId="3" fillId="0" borderId="28" xfId="0" applyFont="1" applyBorder="1" applyAlignment="1">
      <alignment vertical="center"/>
    </xf>
    <xf numFmtId="0" fontId="0" fillId="0" borderId="28" xfId="0" applyBorder="1" applyAlignment="1">
      <alignment horizontal="center"/>
    </xf>
    <xf numFmtId="49" fontId="0" fillId="0" borderId="28" xfId="0" applyNumberFormat="1" applyFont="1" applyFill="1" applyBorder="1" applyAlignment="1">
      <alignment horizontal="center"/>
    </xf>
    <xf numFmtId="0" fontId="0" fillId="0" borderId="28" xfId="0" applyFill="1" applyBorder="1" applyAlignment="1">
      <alignment horizontal="center"/>
    </xf>
    <xf numFmtId="0" fontId="0" fillId="0" borderId="28" xfId="0" applyFont="1" applyFill="1" applyBorder="1" applyAlignment="1">
      <alignment horizontal="center"/>
    </xf>
    <xf numFmtId="2" fontId="0" fillId="0" borderId="28" xfId="0" applyNumberFormat="1" applyBorder="1" applyAlignment="1">
      <alignment horizontal="center"/>
    </xf>
    <xf numFmtId="2" fontId="25" fillId="0" borderId="28" xfId="0" applyNumberFormat="1" applyFont="1" applyBorder="1" applyAlignment="1">
      <alignment horizontal="center"/>
    </xf>
    <xf numFmtId="2" fontId="3" fillId="0" borderId="28" xfId="0" applyNumberFormat="1" applyFont="1" applyBorder="1" applyAlignment="1">
      <alignment horizontal="center"/>
    </xf>
    <xf numFmtId="49" fontId="3" fillId="0" borderId="28" xfId="0" applyNumberFormat="1" applyFont="1" applyBorder="1" applyAlignment="1">
      <alignment horizontal="center"/>
    </xf>
    <xf numFmtId="0" fontId="0" fillId="0" borderId="28" xfId="0" applyFont="1" applyBorder="1" applyAlignment="1">
      <alignment horizontal="center"/>
    </xf>
    <xf numFmtId="0" fontId="0" fillId="0" borderId="6" xfId="0" applyFont="1" applyFill="1" applyBorder="1" applyAlignment="1">
      <alignment horizontal="center"/>
    </xf>
    <xf numFmtId="164" fontId="22" fillId="0" borderId="6" xfId="0" applyNumberFormat="1" applyFont="1" applyFill="1" applyBorder="1" applyAlignment="1">
      <alignment horizontal="center"/>
    </xf>
    <xf numFmtId="0" fontId="0" fillId="0" borderId="14" xfId="0" applyBorder="1"/>
    <xf numFmtId="0" fontId="7" fillId="0" borderId="28" xfId="0" applyFont="1" applyBorder="1" applyAlignment="1">
      <alignment horizontal="center" vertical="center" wrapText="1"/>
    </xf>
    <xf numFmtId="2" fontId="6" fillId="0" borderId="28" xfId="0" applyNumberFormat="1" applyFont="1" applyBorder="1" applyAlignment="1">
      <alignment horizontal="center" vertical="center" wrapText="1"/>
    </xf>
    <xf numFmtId="0" fontId="8" fillId="0" borderId="28" xfId="0" applyNumberFormat="1" applyFont="1" applyBorder="1"/>
    <xf numFmtId="49" fontId="6" fillId="0" borderId="46" xfId="0" applyNumberFormat="1" applyFont="1" applyBorder="1" applyAlignment="1">
      <alignment horizontal="center"/>
    </xf>
    <xf numFmtId="0" fontId="6" fillId="0" borderId="28" xfId="0" applyNumberFormat="1" applyFont="1" applyBorder="1" applyAlignment="1">
      <alignment horizontal="center"/>
    </xf>
    <xf numFmtId="44" fontId="0" fillId="0" borderId="28" xfId="3" applyFont="1" applyFill="1" applyBorder="1" applyAlignment="1">
      <alignment horizontal="center"/>
    </xf>
    <xf numFmtId="0" fontId="3" fillId="0" borderId="29" xfId="0" applyFont="1" applyBorder="1" applyAlignment="1">
      <alignment horizontal="center"/>
    </xf>
    <xf numFmtId="0" fontId="9" fillId="2" borderId="59" xfId="0" applyFont="1" applyFill="1" applyBorder="1"/>
    <xf numFmtId="0" fontId="0" fillId="2" borderId="60" xfId="0" applyFill="1" applyBorder="1"/>
    <xf numFmtId="0" fontId="0" fillId="2" borderId="61" xfId="0" applyFill="1" applyBorder="1"/>
    <xf numFmtId="0" fontId="5" fillId="2" borderId="64" xfId="0" applyFont="1" applyFill="1" applyBorder="1" applyAlignment="1"/>
    <xf numFmtId="0" fontId="5" fillId="2" borderId="65" xfId="0" applyFont="1" applyFill="1" applyBorder="1" applyAlignment="1"/>
    <xf numFmtId="0" fontId="34" fillId="0" borderId="28" xfId="1" applyNumberFormat="1" applyFont="1" applyBorder="1" applyAlignment="1">
      <alignment horizontal="center" vertical="center"/>
    </xf>
    <xf numFmtId="0" fontId="35" fillId="0" borderId="28" xfId="1" applyNumberFormat="1" applyFont="1" applyBorder="1" applyAlignment="1">
      <alignment horizontal="center" vertical="center"/>
    </xf>
    <xf numFmtId="0" fontId="35" fillId="0" borderId="28" xfId="1" applyNumberFormat="1" applyFont="1" applyBorder="1" applyAlignment="1">
      <alignment horizontal="left" wrapText="1"/>
    </xf>
    <xf numFmtId="0" fontId="35" fillId="0" borderId="28" xfId="1" applyNumberFormat="1" applyFont="1" applyBorder="1" applyAlignment="1">
      <alignment horizontal="center" wrapText="1"/>
    </xf>
    <xf numFmtId="46" fontId="35" fillId="0" borderId="28" xfId="1" applyNumberFormat="1" applyFont="1" applyBorder="1" applyAlignment="1">
      <alignment horizontal="center" wrapText="1"/>
    </xf>
    <xf numFmtId="0" fontId="35" fillId="0" borderId="28" xfId="1" applyNumberFormat="1" applyFont="1" applyBorder="1" applyAlignment="1">
      <alignment horizontal="left" vertical="center"/>
    </xf>
    <xf numFmtId="0" fontId="35" fillId="0" borderId="28" xfId="1" applyNumberFormat="1" applyFont="1" applyBorder="1" applyAlignment="1">
      <alignment horizontal="left"/>
    </xf>
    <xf numFmtId="0" fontId="3" fillId="0" borderId="28" xfId="0" applyFont="1" applyBorder="1" applyAlignment="1">
      <alignment horizontal="right"/>
    </xf>
    <xf numFmtId="46" fontId="8" fillId="0" borderId="28" xfId="0" applyNumberFormat="1" applyFont="1" applyBorder="1"/>
    <xf numFmtId="0" fontId="35" fillId="0" borderId="28" xfId="1" applyNumberFormat="1" applyFont="1" applyBorder="1" applyAlignment="1">
      <alignment horizontal="right" vertical="center"/>
    </xf>
    <xf numFmtId="46" fontId="34" fillId="0" borderId="28" xfId="1" applyNumberFormat="1" applyFont="1" applyBorder="1" applyAlignment="1">
      <alignment horizontal="center" vertical="center"/>
    </xf>
    <xf numFmtId="0" fontId="35" fillId="0" borderId="28" xfId="1" applyNumberFormat="1" applyFont="1" applyFill="1" applyBorder="1" applyAlignment="1">
      <alignment horizontal="right" vertical="center"/>
    </xf>
    <xf numFmtId="0" fontId="35" fillId="0" borderId="28" xfId="1" applyNumberFormat="1" applyFont="1" applyBorder="1" applyAlignment="1">
      <alignment horizontal="center"/>
    </xf>
    <xf numFmtId="0" fontId="3" fillId="0" borderId="33" xfId="0" applyFont="1" applyBorder="1"/>
    <xf numFmtId="0" fontId="34" fillId="0" borderId="1" xfId="1" applyNumberFormat="1" applyFont="1" applyBorder="1" applyAlignment="1">
      <alignment horizontal="center" vertical="center" wrapText="1"/>
    </xf>
    <xf numFmtId="0" fontId="35" fillId="0" borderId="2" xfId="1" applyNumberFormat="1" applyFont="1" applyBorder="1" applyAlignment="1">
      <alignment horizontal="center" vertical="center" wrapText="1"/>
    </xf>
    <xf numFmtId="0" fontId="34" fillId="0" borderId="2" xfId="1" applyNumberFormat="1" applyFont="1" applyBorder="1" applyAlignment="1">
      <alignment horizontal="center" vertical="center" wrapText="1"/>
    </xf>
    <xf numFmtId="0" fontId="34" fillId="0" borderId="2" xfId="1" applyNumberFormat="1" applyFont="1" applyBorder="1" applyAlignment="1">
      <alignment horizontal="center" vertical="center"/>
    </xf>
    <xf numFmtId="0" fontId="35" fillId="0" borderId="4" xfId="1" applyNumberFormat="1" applyFont="1" applyBorder="1" applyAlignment="1">
      <alignment horizontal="center" vertical="center"/>
    </xf>
    <xf numFmtId="0" fontId="35" fillId="0" borderId="27" xfId="1" applyNumberFormat="1" applyFont="1" applyBorder="1" applyAlignment="1">
      <alignment horizontal="left" wrapText="1"/>
    </xf>
    <xf numFmtId="46" fontId="35" fillId="0" borderId="29" xfId="1" applyNumberFormat="1" applyFont="1" applyBorder="1" applyAlignment="1">
      <alignment horizontal="center" wrapText="1"/>
    </xf>
    <xf numFmtId="0" fontId="35" fillId="0" borderId="27" xfId="1" applyNumberFormat="1" applyFont="1" applyBorder="1" applyAlignment="1">
      <alignment horizontal="left" vertical="center"/>
    </xf>
    <xf numFmtId="0" fontId="34" fillId="0" borderId="27" xfId="1" applyNumberFormat="1" applyFont="1" applyBorder="1" applyAlignment="1">
      <alignment horizontal="center" vertical="center"/>
    </xf>
    <xf numFmtId="46" fontId="34" fillId="0" borderId="29" xfId="1" applyNumberFormat="1" applyFont="1" applyBorder="1" applyAlignment="1">
      <alignment horizontal="center" vertical="center"/>
    </xf>
    <xf numFmtId="0" fontId="35" fillId="0" borderId="27" xfId="1" applyNumberFormat="1" applyFont="1" applyBorder="1" applyAlignment="1">
      <alignment horizontal="left" vertical="center" wrapText="1"/>
    </xf>
    <xf numFmtId="0" fontId="35" fillId="0" borderId="29" xfId="1" applyNumberFormat="1" applyFont="1" applyBorder="1" applyAlignment="1">
      <alignment horizontal="center" vertical="center"/>
    </xf>
    <xf numFmtId="46" fontId="35" fillId="0" borderId="29" xfId="1" applyNumberFormat="1" applyFont="1" applyBorder="1" applyAlignment="1">
      <alignment horizontal="center" vertical="center"/>
    </xf>
    <xf numFmtId="0" fontId="34" fillId="0" borderId="27" xfId="1" applyNumberFormat="1" applyFont="1" applyBorder="1" applyAlignment="1">
      <alignment horizontal="center"/>
    </xf>
    <xf numFmtId="0" fontId="35" fillId="0" borderId="29" xfId="1" applyNumberFormat="1" applyFont="1" applyBorder="1" applyAlignment="1">
      <alignment horizontal="center" wrapText="1"/>
    </xf>
    <xf numFmtId="46" fontId="34" fillId="0" borderId="29" xfId="1" applyNumberFormat="1" applyFont="1" applyBorder="1" applyAlignment="1">
      <alignment horizontal="center"/>
    </xf>
    <xf numFmtId="0" fontId="35" fillId="0" borderId="16" xfId="1" applyNumberFormat="1" applyFont="1" applyBorder="1" applyAlignment="1">
      <alignment horizontal="center" vertical="center" wrapText="1"/>
    </xf>
    <xf numFmtId="0" fontId="34" fillId="0" borderId="20" xfId="1" applyNumberFormat="1" applyFont="1" applyBorder="1" applyAlignment="1">
      <alignment horizontal="center" vertical="center" wrapText="1"/>
    </xf>
    <xf numFmtId="0" fontId="35" fillId="0" borderId="20" xfId="1" applyNumberFormat="1" applyFont="1" applyBorder="1" applyAlignment="1">
      <alignment horizontal="center" vertical="center" wrapText="1"/>
    </xf>
    <xf numFmtId="0" fontId="35" fillId="0" borderId="21" xfId="1" applyNumberFormat="1" applyFont="1" applyBorder="1" applyAlignment="1">
      <alignment horizontal="center"/>
    </xf>
    <xf numFmtId="0" fontId="1" fillId="0" borderId="28" xfId="0" applyFont="1" applyBorder="1"/>
    <xf numFmtId="46" fontId="27" fillId="0" borderId="46" xfId="0" applyNumberFormat="1" applyFont="1" applyBorder="1"/>
    <xf numFmtId="0" fontId="0" fillId="0" borderId="104" xfId="0" applyNumberFormat="1" applyFont="1" applyBorder="1"/>
    <xf numFmtId="0" fontId="0" fillId="3" borderId="104" xfId="0" applyNumberFormat="1" applyFont="1" applyFill="1" applyBorder="1"/>
    <xf numFmtId="0" fontId="1" fillId="3" borderId="104" xfId="0" applyNumberFormat="1" applyFont="1" applyFill="1" applyBorder="1"/>
    <xf numFmtId="46" fontId="1" fillId="3" borderId="103" xfId="0" applyNumberFormat="1" applyFont="1" applyFill="1" applyBorder="1"/>
    <xf numFmtId="0" fontId="0" fillId="0" borderId="103" xfId="0" applyNumberFormat="1" applyFont="1" applyBorder="1"/>
    <xf numFmtId="0" fontId="0" fillId="3" borderId="103" xfId="0" applyNumberFormat="1" applyFont="1" applyFill="1" applyBorder="1"/>
    <xf numFmtId="46" fontId="0" fillId="0" borderId="0" xfId="0" applyNumberFormat="1"/>
    <xf numFmtId="167" fontId="0" fillId="0" borderId="0" xfId="0" applyNumberFormat="1"/>
    <xf numFmtId="0" fontId="14" fillId="7" borderId="28" xfId="0" applyFont="1" applyFill="1" applyBorder="1" applyAlignment="1">
      <alignment horizontal="center" vertical="center" wrapText="1"/>
    </xf>
    <xf numFmtId="46" fontId="0" fillId="7" borderId="28" xfId="0" applyNumberFormat="1" applyFill="1" applyBorder="1" applyAlignment="1">
      <alignment horizontal="center" vertical="center" wrapText="1"/>
    </xf>
    <xf numFmtId="46" fontId="3" fillId="7" borderId="28" xfId="0" applyNumberFormat="1" applyFont="1" applyFill="1" applyBorder="1" applyAlignment="1">
      <alignment horizontal="center" vertical="center" wrapText="1"/>
    </xf>
    <xf numFmtId="46" fontId="0" fillId="0" borderId="28" xfId="0" applyNumberFormat="1" applyFill="1" applyBorder="1" applyAlignment="1">
      <alignment horizontal="center" vertical="center" wrapText="1"/>
    </xf>
    <xf numFmtId="0" fontId="0" fillId="7" borderId="46" xfId="0" applyNumberFormat="1" applyFill="1" applyBorder="1" applyAlignment="1">
      <alignment horizontal="center" vertical="center" wrapText="1"/>
    </xf>
    <xf numFmtId="0" fontId="0" fillId="0" borderId="87" xfId="0" applyBorder="1" applyAlignment="1">
      <alignment horizontal="center" vertical="center"/>
    </xf>
    <xf numFmtId="0" fontId="0" fillId="0" borderId="58"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6" xfId="0" applyBorder="1" applyAlignment="1">
      <alignment horizontal="center" vertical="center"/>
    </xf>
    <xf numFmtId="0" fontId="0" fillId="0" borderId="20" xfId="0" applyBorder="1" applyAlignment="1">
      <alignment horizontal="center" vertical="center"/>
    </xf>
    <xf numFmtId="46" fontId="0" fillId="0" borderId="28" xfId="0" applyNumberFormat="1" applyBorder="1" applyAlignment="1">
      <alignment horizontal="center" vertical="center"/>
    </xf>
    <xf numFmtId="0" fontId="14" fillId="7" borderId="2" xfId="0" applyFont="1" applyFill="1" applyBorder="1" applyAlignment="1">
      <alignment horizontal="center" vertical="center" wrapText="1"/>
    </xf>
    <xf numFmtId="46" fontId="0" fillId="7" borderId="2" xfId="0" applyNumberFormat="1" applyFill="1" applyBorder="1" applyAlignment="1">
      <alignment horizontal="center" vertical="center" wrapText="1"/>
    </xf>
    <xf numFmtId="0" fontId="0" fillId="7" borderId="3" xfId="0" applyNumberFormat="1" applyFill="1" applyBorder="1" applyAlignment="1">
      <alignment horizontal="center" vertical="center" wrapText="1"/>
    </xf>
    <xf numFmtId="0" fontId="14" fillId="7" borderId="20" xfId="0" applyFont="1" applyFill="1" applyBorder="1" applyAlignment="1">
      <alignment horizontal="center" vertical="center" wrapText="1"/>
    </xf>
    <xf numFmtId="46" fontId="0" fillId="7" borderId="20" xfId="0" applyNumberFormat="1" applyFill="1" applyBorder="1" applyAlignment="1">
      <alignment horizontal="center" vertical="center" wrapText="1"/>
    </xf>
    <xf numFmtId="0" fontId="0" fillId="7" borderId="51" xfId="0" applyNumberFormat="1" applyFill="1" applyBorder="1" applyAlignment="1">
      <alignment horizontal="center" vertical="center" wrapText="1"/>
    </xf>
    <xf numFmtId="46" fontId="0" fillId="0" borderId="21" xfId="0" applyNumberFormat="1" applyBorder="1" applyAlignment="1">
      <alignment horizontal="center" vertical="center"/>
    </xf>
    <xf numFmtId="0" fontId="0" fillId="0" borderId="106" xfId="0" applyBorder="1" applyAlignment="1">
      <alignment horizontal="center" vertical="center"/>
    </xf>
    <xf numFmtId="0" fontId="0" fillId="0" borderId="107" xfId="0" applyBorder="1" applyAlignment="1">
      <alignment horizontal="center" vertical="center"/>
    </xf>
    <xf numFmtId="0" fontId="0" fillId="0" borderId="108" xfId="0" applyBorder="1" applyAlignment="1">
      <alignment horizontal="center" vertical="center"/>
    </xf>
    <xf numFmtId="0" fontId="36" fillId="0" borderId="0" xfId="0" applyFont="1" applyAlignment="1">
      <alignment horizontal="center" vertical="center"/>
    </xf>
    <xf numFmtId="46" fontId="0" fillId="0" borderId="0" xfId="0" applyNumberFormat="1" applyAlignment="1">
      <alignment horizontal="center" vertical="center"/>
    </xf>
    <xf numFmtId="0" fontId="15" fillId="0" borderId="1"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16" xfId="0" applyFont="1" applyBorder="1" applyAlignment="1">
      <alignment horizontal="center" vertical="center" wrapText="1"/>
    </xf>
    <xf numFmtId="46" fontId="0" fillId="0" borderId="29" xfId="0" applyNumberFormat="1" applyBorder="1" applyAlignment="1">
      <alignment horizontal="center" vertical="center"/>
    </xf>
    <xf numFmtId="46" fontId="0" fillId="0" borderId="56" xfId="0" applyNumberFormat="1" applyBorder="1" applyAlignment="1">
      <alignment horizontal="center" vertical="center"/>
    </xf>
    <xf numFmtId="0" fontId="0" fillId="0" borderId="56" xfId="0" applyBorder="1" applyAlignment="1">
      <alignment horizontal="center" vertical="center"/>
    </xf>
    <xf numFmtId="0" fontId="0" fillId="0" borderId="105" xfId="0" applyBorder="1" applyAlignment="1">
      <alignment horizontal="center" vertical="center"/>
    </xf>
    <xf numFmtId="46" fontId="0" fillId="0" borderId="12" xfId="0" applyNumberFormat="1" applyBorder="1" applyAlignment="1">
      <alignment horizontal="center" vertical="center"/>
    </xf>
    <xf numFmtId="46" fontId="0" fillId="0" borderId="23" xfId="0" applyNumberFormat="1" applyBorder="1" applyAlignment="1">
      <alignment horizontal="center" vertical="center"/>
    </xf>
    <xf numFmtId="0" fontId="0" fillId="0" borderId="91" xfId="0" applyNumberFormat="1" applyBorder="1" applyAlignment="1">
      <alignment horizontal="center" vertical="center"/>
    </xf>
    <xf numFmtId="0" fontId="0" fillId="0" borderId="109" xfId="0" applyNumberFormat="1" applyBorder="1" applyAlignment="1">
      <alignment horizontal="center" vertical="center"/>
    </xf>
    <xf numFmtId="0" fontId="0" fillId="0" borderId="67" xfId="0" applyNumberFormat="1" applyBorder="1" applyAlignment="1">
      <alignment horizontal="center" vertical="center"/>
    </xf>
    <xf numFmtId="0" fontId="0" fillId="0" borderId="67" xfId="0" applyBorder="1" applyAlignment="1">
      <alignment horizontal="center" vertical="center"/>
    </xf>
    <xf numFmtId="46" fontId="0" fillId="0" borderId="22" xfId="0" applyNumberFormat="1" applyBorder="1" applyAlignment="1">
      <alignment horizontal="center" vertic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3" fillId="0" borderId="5"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3" fillId="0" borderId="8"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4" fillId="2" borderId="1"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5" fillId="0" borderId="11" xfId="0" applyFont="1" applyFill="1" applyBorder="1" applyAlignment="1">
      <alignment horizontal="center" vertical="center"/>
    </xf>
    <xf numFmtId="0" fontId="5" fillId="0" borderId="12"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7" xfId="0" applyFont="1" applyFill="1" applyBorder="1" applyAlignment="1">
      <alignment horizontal="center" vertical="center"/>
    </xf>
    <xf numFmtId="0" fontId="5" fillId="0" borderId="18" xfId="0" applyFont="1" applyFill="1" applyBorder="1" applyAlignment="1">
      <alignment horizontal="center" vertical="center"/>
    </xf>
    <xf numFmtId="0" fontId="5" fillId="0" borderId="19" xfId="0" applyFont="1" applyFill="1" applyBorder="1" applyAlignment="1">
      <alignment horizontal="center" vertical="center"/>
    </xf>
    <xf numFmtId="0" fontId="8" fillId="2" borderId="22" xfId="0" applyFont="1" applyFill="1" applyBorder="1" applyAlignment="1">
      <alignment horizontal="left"/>
    </xf>
    <xf numFmtId="0" fontId="8" fillId="2" borderId="12" xfId="0" applyFont="1" applyFill="1" applyBorder="1" applyAlignment="1">
      <alignment horizontal="left"/>
    </xf>
    <xf numFmtId="0" fontId="8" fillId="2" borderId="23" xfId="0" applyFont="1" applyFill="1" applyBorder="1" applyAlignment="1">
      <alignment horizontal="left"/>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9" fillId="2" borderId="27" xfId="0" applyFont="1" applyFill="1" applyBorder="1" applyAlignment="1">
      <alignment horizontal="center"/>
    </xf>
    <xf numFmtId="0" fontId="9" fillId="2" borderId="28" xfId="0" applyFont="1" applyFill="1" applyBorder="1" applyAlignment="1">
      <alignment horizontal="center"/>
    </xf>
    <xf numFmtId="0" fontId="9" fillId="2" borderId="29" xfId="0" applyFont="1" applyFill="1" applyBorder="1" applyAlignment="1">
      <alignment horizontal="center"/>
    </xf>
    <xf numFmtId="0" fontId="6" fillId="0" borderId="28" xfId="0" applyFont="1" applyBorder="1" applyAlignment="1">
      <alignment horizontal="center"/>
    </xf>
    <xf numFmtId="0" fontId="6" fillId="0" borderId="29" xfId="0" applyFont="1" applyBorder="1" applyAlignment="1">
      <alignment horizontal="center"/>
    </xf>
    <xf numFmtId="0" fontId="3" fillId="0" borderId="31" xfId="0" applyFont="1" applyBorder="1" applyAlignment="1">
      <alignment horizontal="center"/>
    </xf>
    <xf numFmtId="0" fontId="3" fillId="0" borderId="32" xfId="0" applyFont="1" applyBorder="1" applyAlignment="1">
      <alignment horizontal="center"/>
    </xf>
    <xf numFmtId="0" fontId="3" fillId="0" borderId="35" xfId="0" applyFont="1" applyBorder="1" applyAlignment="1">
      <alignment horizontal="center"/>
    </xf>
    <xf numFmtId="0" fontId="3" fillId="0" borderId="36" xfId="0" applyFont="1" applyBorder="1" applyAlignment="1">
      <alignment horizontal="center"/>
    </xf>
    <xf numFmtId="0" fontId="5" fillId="2" borderId="38" xfId="0" applyFont="1" applyFill="1" applyBorder="1" applyAlignment="1">
      <alignment horizontal="center"/>
    </xf>
    <xf numFmtId="0" fontId="5" fillId="2" borderId="39" xfId="0" applyFont="1" applyFill="1" applyBorder="1" applyAlignment="1">
      <alignment horizontal="center"/>
    </xf>
    <xf numFmtId="0" fontId="3" fillId="0" borderId="26" xfId="0" applyFont="1" applyBorder="1" applyAlignment="1">
      <alignment horizontal="center"/>
    </xf>
    <xf numFmtId="0" fontId="3" fillId="0" borderId="54" xfId="0" applyFont="1" applyBorder="1" applyAlignment="1">
      <alignment horizontal="center"/>
    </xf>
    <xf numFmtId="0" fontId="3" fillId="0" borderId="55" xfId="0" applyFont="1" applyBorder="1" applyAlignment="1">
      <alignment horizontal="center"/>
    </xf>
    <xf numFmtId="0" fontId="3" fillId="0" borderId="8" xfId="0" applyFont="1"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3" fillId="0" borderId="59" xfId="0" applyFont="1" applyBorder="1" applyAlignment="1">
      <alignment horizontal="center" wrapText="1"/>
    </xf>
    <xf numFmtId="0" fontId="3" fillId="0" borderId="60" xfId="0" applyFont="1" applyBorder="1" applyAlignment="1">
      <alignment horizontal="center" wrapText="1"/>
    </xf>
    <xf numFmtId="0" fontId="3" fillId="0" borderId="61" xfId="0" applyFont="1" applyBorder="1" applyAlignment="1">
      <alignment horizontal="center" wrapText="1"/>
    </xf>
    <xf numFmtId="0" fontId="3" fillId="0" borderId="62" xfId="0" applyFont="1" applyBorder="1" applyAlignment="1">
      <alignment horizontal="center" wrapText="1"/>
    </xf>
    <xf numFmtId="0" fontId="3" fillId="0" borderId="0" xfId="0" applyFont="1" applyBorder="1" applyAlignment="1">
      <alignment horizontal="center" wrapText="1"/>
    </xf>
    <xf numFmtId="0" fontId="3" fillId="0" borderId="63" xfId="0" applyFont="1" applyBorder="1" applyAlignment="1">
      <alignment horizontal="center" wrapText="1"/>
    </xf>
    <xf numFmtId="0" fontId="3" fillId="0" borderId="64" xfId="0" applyFont="1" applyBorder="1" applyAlignment="1">
      <alignment horizontal="center" wrapText="1"/>
    </xf>
    <xf numFmtId="0" fontId="3" fillId="0" borderId="65" xfId="0" applyFont="1" applyBorder="1" applyAlignment="1">
      <alignment horizontal="center" wrapText="1"/>
    </xf>
    <xf numFmtId="0" fontId="3" fillId="0" borderId="66" xfId="0" applyFont="1" applyBorder="1" applyAlignment="1">
      <alignment horizontal="center" wrapText="1"/>
    </xf>
    <xf numFmtId="0" fontId="15" fillId="0" borderId="31" xfId="0" applyFont="1" applyBorder="1" applyAlignment="1">
      <alignment horizontal="center"/>
    </xf>
    <xf numFmtId="0" fontId="15" fillId="0" borderId="26" xfId="0" applyFont="1" applyBorder="1" applyAlignment="1">
      <alignment horizontal="center"/>
    </xf>
    <xf numFmtId="0" fontId="15" fillId="0" borderId="32" xfId="0" applyFont="1" applyBorder="1" applyAlignment="1">
      <alignment horizontal="center"/>
    </xf>
    <xf numFmtId="0" fontId="3" fillId="0" borderId="59" xfId="0" applyFont="1" applyBorder="1" applyAlignment="1">
      <alignment horizontal="center" vertical="center" wrapText="1"/>
    </xf>
    <xf numFmtId="0" fontId="3" fillId="0" borderId="60"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62" xfId="0" applyFont="1" applyBorder="1" applyAlignment="1">
      <alignment horizontal="center" vertical="center" wrapText="1"/>
    </xf>
    <xf numFmtId="0" fontId="3" fillId="0" borderId="0"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65" xfId="0" applyFont="1" applyBorder="1" applyAlignment="1">
      <alignment horizontal="center" vertical="center" wrapText="1"/>
    </xf>
    <xf numFmtId="0" fontId="3" fillId="0" borderId="66" xfId="0" applyFont="1" applyBorder="1" applyAlignment="1">
      <alignment horizontal="center" vertical="center" wrapText="1"/>
    </xf>
    <xf numFmtId="0" fontId="15" fillId="0" borderId="31" xfId="0" applyFont="1" applyBorder="1" applyAlignment="1">
      <alignment horizontal="center" wrapText="1"/>
    </xf>
    <xf numFmtId="0" fontId="15" fillId="0" borderId="26" xfId="0" applyFont="1" applyBorder="1" applyAlignment="1">
      <alignment horizontal="center" wrapText="1"/>
    </xf>
    <xf numFmtId="0" fontId="5" fillId="2" borderId="37" xfId="0" applyFont="1" applyFill="1" applyBorder="1" applyAlignment="1">
      <alignment horizontal="center"/>
    </xf>
    <xf numFmtId="0" fontId="5" fillId="2" borderId="30" xfId="0" applyFont="1" applyFill="1" applyBorder="1" applyAlignment="1">
      <alignment horizontal="center"/>
    </xf>
    <xf numFmtId="0" fontId="6" fillId="0" borderId="28" xfId="0" applyFont="1" applyBorder="1" applyAlignment="1">
      <alignment horizontal="center" vertical="center" wrapText="1"/>
    </xf>
    <xf numFmtId="0" fontId="6" fillId="0" borderId="29" xfId="0" applyFont="1" applyBorder="1" applyAlignment="1">
      <alignment horizontal="center" vertical="center" wrapText="1"/>
    </xf>
    <xf numFmtId="2" fontId="6" fillId="0" borderId="28" xfId="0" applyNumberFormat="1" applyFont="1" applyBorder="1" applyAlignment="1">
      <alignment horizontal="center" vertical="center" wrapText="1"/>
    </xf>
    <xf numFmtId="0" fontId="33" fillId="0" borderId="60" xfId="0" applyFont="1" applyBorder="1" applyAlignment="1">
      <alignment horizontal="center" vertical="center" wrapText="1"/>
    </xf>
    <xf numFmtId="0" fontId="33" fillId="0" borderId="61" xfId="0" applyFont="1" applyBorder="1" applyAlignment="1">
      <alignment horizontal="center" vertical="center" wrapText="1"/>
    </xf>
    <xf numFmtId="0" fontId="33" fillId="0" borderId="65" xfId="0" applyFont="1" applyBorder="1" applyAlignment="1">
      <alignment horizontal="center" vertical="center" wrapText="1"/>
    </xf>
    <xf numFmtId="0" fontId="33" fillId="0" borderId="66" xfId="0" applyFont="1" applyBorder="1" applyAlignment="1">
      <alignment horizontal="center" vertical="center" wrapText="1"/>
    </xf>
    <xf numFmtId="0" fontId="9" fillId="2" borderId="37" xfId="0" applyFont="1" applyFill="1" applyBorder="1" applyAlignment="1">
      <alignment horizontal="center"/>
    </xf>
    <xf numFmtId="0" fontId="9" fillId="2" borderId="38" xfId="0" applyFont="1" applyFill="1" applyBorder="1" applyAlignment="1">
      <alignment horizontal="center"/>
    </xf>
    <xf numFmtId="0" fontId="9" fillId="2" borderId="39" xfId="0" applyFont="1" applyFill="1" applyBorder="1" applyAlignment="1">
      <alignment horizontal="center"/>
    </xf>
    <xf numFmtId="0" fontId="5" fillId="2" borderId="65" xfId="0" applyFont="1" applyFill="1" applyBorder="1" applyAlignment="1">
      <alignment horizontal="center"/>
    </xf>
    <xf numFmtId="0" fontId="5" fillId="2" borderId="66" xfId="0" applyFont="1" applyFill="1" applyBorder="1" applyAlignment="1">
      <alignment horizontal="center"/>
    </xf>
    <xf numFmtId="0" fontId="37" fillId="0" borderId="6" xfId="0" applyFont="1" applyBorder="1" applyAlignment="1">
      <alignment horizontal="center" vertical="center"/>
    </xf>
    <xf numFmtId="0" fontId="37" fillId="0" borderId="7" xfId="0" applyFont="1" applyBorder="1" applyAlignment="1">
      <alignment horizontal="center" vertical="center"/>
    </xf>
    <xf numFmtId="0" fontId="3" fillId="0" borderId="37" xfId="0" applyFont="1" applyBorder="1" applyAlignment="1">
      <alignment horizontal="center"/>
    </xf>
    <xf numFmtId="0" fontId="3" fillId="0" borderId="38" xfId="0" applyFont="1" applyBorder="1" applyAlignment="1">
      <alignment horizontal="center"/>
    </xf>
    <xf numFmtId="0" fontId="3" fillId="0" borderId="39" xfId="0" applyFont="1" applyBorder="1" applyAlignment="1">
      <alignment horizontal="center"/>
    </xf>
    <xf numFmtId="46" fontId="7" fillId="0" borderId="21" xfId="0" applyNumberFormat="1" applyFont="1" applyBorder="1" applyAlignment="1">
      <alignment vertical="center"/>
    </xf>
    <xf numFmtId="164" fontId="7" fillId="0" borderId="21" xfId="0" applyNumberFormat="1" applyFont="1" applyBorder="1" applyAlignment="1">
      <alignment vertical="center"/>
    </xf>
    <xf numFmtId="0" fontId="3" fillId="0" borderId="110" xfId="0" applyFont="1" applyBorder="1" applyAlignment="1">
      <alignment horizontal="center"/>
    </xf>
    <xf numFmtId="0" fontId="3" fillId="0" borderId="111" xfId="0" applyFont="1" applyBorder="1" applyAlignment="1">
      <alignment horizontal="center"/>
    </xf>
    <xf numFmtId="0" fontId="3" fillId="0" borderId="52" xfId="0" applyFont="1" applyBorder="1" applyAlignment="1">
      <alignment horizontal="center"/>
    </xf>
    <xf numFmtId="0" fontId="3" fillId="0" borderId="63" xfId="0" applyFont="1" applyBorder="1" applyAlignment="1">
      <alignment horizontal="center"/>
    </xf>
    <xf numFmtId="0" fontId="3" fillId="0" borderId="112" xfId="0" applyFont="1" applyBorder="1" applyAlignment="1">
      <alignment horizontal="center"/>
    </xf>
    <xf numFmtId="0" fontId="6" fillId="0" borderId="7" xfId="0" applyFont="1" applyBorder="1" applyAlignment="1">
      <alignment horizontal="center"/>
    </xf>
    <xf numFmtId="0" fontId="6" fillId="0" borderId="49" xfId="0" applyFont="1" applyBorder="1" applyAlignment="1">
      <alignment horizontal="center"/>
    </xf>
    <xf numFmtId="0" fontId="6" fillId="0" borderId="61" xfId="0" applyFont="1" applyBorder="1" applyAlignment="1">
      <alignment horizontal="center"/>
    </xf>
    <xf numFmtId="0" fontId="12" fillId="3" borderId="29" xfId="1" applyNumberFormat="1" applyFont="1" applyFill="1" applyBorder="1" applyAlignment="1">
      <alignment wrapText="1"/>
    </xf>
    <xf numFmtId="0" fontId="3" fillId="0" borderId="28" xfId="0" applyFont="1" applyBorder="1" applyAlignment="1">
      <alignment horizontal="center" vertical="center" wrapText="1"/>
    </xf>
    <xf numFmtId="0" fontId="3" fillId="0" borderId="28" xfId="0" applyFont="1" applyBorder="1" applyAlignment="1">
      <alignment horizontal="center" vertical="center" wrapText="1"/>
    </xf>
    <xf numFmtId="0" fontId="38" fillId="0" borderId="37" xfId="1" applyFont="1" applyBorder="1" applyAlignment="1">
      <alignment horizontal="center" vertical="center" wrapText="1"/>
    </xf>
    <xf numFmtId="0" fontId="38" fillId="0" borderId="38" xfId="1" applyFont="1" applyBorder="1" applyAlignment="1">
      <alignment horizontal="center" vertical="center" wrapText="1"/>
    </xf>
    <xf numFmtId="0" fontId="38" fillId="0" borderId="39" xfId="1" applyFont="1" applyBorder="1" applyAlignment="1">
      <alignment horizontal="center" vertical="center" wrapText="1"/>
    </xf>
    <xf numFmtId="0" fontId="0" fillId="0" borderId="28" xfId="0" applyFont="1" applyFill="1" applyBorder="1" applyAlignment="1">
      <alignment horizontal="center" vertical="center"/>
    </xf>
    <xf numFmtId="0" fontId="0" fillId="0" borderId="28" xfId="3" applyNumberFormat="1" applyFont="1" applyFill="1" applyBorder="1" applyAlignment="1">
      <alignment horizontal="center" vertical="center"/>
    </xf>
    <xf numFmtId="0" fontId="0" fillId="0" borderId="28" xfId="0" applyFill="1" applyBorder="1" applyAlignment="1">
      <alignment horizontal="center" vertical="center"/>
    </xf>
    <xf numFmtId="44" fontId="0" fillId="0" borderId="28" xfId="3" applyFont="1" applyFill="1" applyBorder="1" applyAlignment="1">
      <alignment horizontal="center" vertical="center"/>
    </xf>
    <xf numFmtId="2" fontId="6" fillId="0" borderId="28" xfId="1" applyNumberFormat="1" applyFont="1" applyBorder="1" applyAlignment="1">
      <alignment horizontal="center"/>
    </xf>
    <xf numFmtId="2" fontId="6" fillId="0" borderId="27" xfId="1" applyNumberFormat="1" applyFont="1" applyBorder="1" applyAlignment="1">
      <alignment horizontal="center"/>
    </xf>
    <xf numFmtId="0" fontId="3" fillId="0" borderId="31" xfId="1" applyFont="1" applyBorder="1" applyAlignment="1">
      <alignment horizontal="center" vertical="center" wrapText="1"/>
    </xf>
    <xf numFmtId="0" fontId="3" fillId="0" borderId="32" xfId="1" applyFont="1" applyBorder="1" applyAlignment="1">
      <alignment horizontal="center" vertical="center" wrapText="1"/>
    </xf>
    <xf numFmtId="0" fontId="18" fillId="0" borderId="31" xfId="1" applyFont="1" applyBorder="1" applyAlignment="1">
      <alignment horizontal="center" vertical="center" wrapText="1"/>
    </xf>
    <xf numFmtId="0" fontId="18" fillId="0" borderId="26" xfId="1" applyFont="1" applyBorder="1" applyAlignment="1">
      <alignment horizontal="center" vertical="center" wrapText="1"/>
    </xf>
    <xf numFmtId="0" fontId="18" fillId="0" borderId="33" xfId="1" applyBorder="1"/>
    <xf numFmtId="0" fontId="18" fillId="0" borderId="60" xfId="1" applyFont="1" applyBorder="1" applyAlignment="1">
      <alignment horizontal="center" vertical="center" wrapText="1"/>
    </xf>
    <xf numFmtId="0" fontId="18" fillId="0" borderId="61" xfId="1" applyFont="1" applyBorder="1" applyAlignment="1">
      <alignment horizontal="center" vertical="center" wrapText="1"/>
    </xf>
    <xf numFmtId="0" fontId="18" fillId="0" borderId="0" xfId="1" applyFont="1" applyBorder="1" applyAlignment="1">
      <alignment horizontal="center" vertical="center" wrapText="1"/>
    </xf>
    <xf numFmtId="0" fontId="18" fillId="0" borderId="63" xfId="1" applyFont="1" applyBorder="1" applyAlignment="1">
      <alignment horizontal="center" vertical="center" wrapText="1"/>
    </xf>
    <xf numFmtId="0" fontId="18" fillId="0" borderId="65" xfId="1" applyFont="1" applyBorder="1" applyAlignment="1">
      <alignment horizontal="center" vertical="center" wrapText="1"/>
    </xf>
    <xf numFmtId="0" fontId="18" fillId="0" borderId="66" xfId="1" applyFont="1" applyBorder="1" applyAlignment="1">
      <alignment horizontal="center" vertical="center" wrapText="1"/>
    </xf>
    <xf numFmtId="0" fontId="0" fillId="0" borderId="31" xfId="1" applyFont="1" applyBorder="1" applyAlignment="1">
      <alignment horizontal="center" vertical="center" wrapText="1"/>
    </xf>
    <xf numFmtId="46" fontId="0" fillId="7" borderId="28" xfId="0" applyNumberFormat="1" applyFill="1" applyBorder="1" applyAlignment="1">
      <alignment horizontal="center" vertical="center"/>
    </xf>
    <xf numFmtId="0" fontId="0" fillId="7" borderId="57" xfId="0" applyFill="1" applyBorder="1" applyAlignment="1">
      <alignment horizontal="center" vertical="center"/>
    </xf>
    <xf numFmtId="46" fontId="0" fillId="7" borderId="50" xfId="0" applyNumberFormat="1" applyFill="1" applyBorder="1" applyAlignment="1">
      <alignment horizontal="center" vertical="center"/>
    </xf>
    <xf numFmtId="46" fontId="0" fillId="7" borderId="27" xfId="0" applyNumberFormat="1" applyFill="1" applyBorder="1" applyAlignment="1">
      <alignment horizontal="center" vertical="center"/>
    </xf>
    <xf numFmtId="0" fontId="0" fillId="7" borderId="27" xfId="0" applyFill="1" applyBorder="1" applyAlignment="1">
      <alignment horizontal="center" vertical="center"/>
    </xf>
  </cellXfs>
  <cellStyles count="4">
    <cellStyle name="Monétaire" xfId="2" builtinId="4"/>
    <cellStyle name="Monétaire 2" xfId="3"/>
    <cellStyle name="Normal" xfId="0" builtinId="0"/>
    <cellStyle name="Normal 2" xfId="1"/>
  </cellStyles>
  <dxfs count="338">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auto="1"/>
        </left>
        <right style="thin">
          <color auto="1"/>
        </right>
        <top/>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theme="9"/>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fill>
        <patternFill patternType="solid">
          <fgColor theme="9"/>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auto="1"/>
        </left>
        <right style="thin">
          <color auto="1"/>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alignment horizontal="center" vertical="center" textRotation="0" wrapText="1" indent="0" justifyLastLine="0" shrinkToFit="0" readingOrder="0"/>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fill>
        <patternFill patternType="solid">
          <fgColor theme="9"/>
          <bgColor theme="9"/>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Arial"/>
        <scheme val="none"/>
      </font>
      <alignment horizontal="center" vertical="center" textRotation="0" wrapText="1"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border diagonalUp="0" diagonalDown="0" outline="0">
        <left/>
        <right style="thin">
          <color indexed="64"/>
        </right>
        <top style="thin">
          <color indexed="64"/>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general" vertical="bottom"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alignment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solid">
          <fgColor theme="9" tint="0.79998168889431442"/>
          <bgColor theme="9" tint="0.79998168889431442"/>
        </patternFill>
      </fill>
      <alignment textRotation="0" wrapText="1" indent="0" justifyLastLine="0" shrinkToFit="0" readingOrder="0"/>
    </dxf>
    <dxf>
      <border outline="0">
        <left style="thin">
          <color rgb="FF000000"/>
        </left>
        <right style="thin">
          <color rgb="FF000000"/>
        </right>
        <top style="thin">
          <color rgb="FF000000"/>
        </top>
        <bottom style="thin">
          <color rgb="FF000000"/>
        </bottom>
      </border>
    </dxf>
    <dxf>
      <alignment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fill>
        <patternFill patternType="solid">
          <fgColor theme="9"/>
          <bgColor theme="9"/>
        </patternFill>
      </fill>
      <alignment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font>
        <b val="0"/>
        <i val="0"/>
        <strike val="0"/>
        <condense val="0"/>
        <extend val="0"/>
        <outline val="0"/>
        <shadow val="0"/>
        <u val="none"/>
        <vertAlign val="baseline"/>
        <sz val="10"/>
        <color auto="1"/>
        <name val="Arial"/>
        <scheme val="none"/>
      </font>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alignment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auto="1"/>
        <name val="Arial"/>
        <scheme val="none"/>
      </font>
      <alignment textRotation="0" wrapText="1" indent="0" justifyLastLine="0" shrinkToFit="0" readingOrder="0"/>
      <border diagonalUp="0" diagonalDown="0" outline="0">
        <left/>
        <right style="thin">
          <color auto="1"/>
        </right>
        <top style="thin">
          <color auto="1"/>
        </top>
        <bottom style="thin">
          <color auto="1"/>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alignment textRotation="0" wrapText="1" indent="0" justifyLastLine="0" shrinkToFit="0" readingOrder="0"/>
      <border diagonalUp="0" diagonalDown="0" outline="0">
        <left style="thin">
          <color auto="1"/>
        </left>
        <right style="thin">
          <color auto="1"/>
        </right>
        <top/>
        <bottom/>
      </border>
    </dxf>
    <dxf>
      <numFmt numFmtId="0" formatCode="General"/>
      <alignment textRotation="0" wrapText="1" indent="0" justifyLastLine="0" shrinkToFit="0" readingOrder="0"/>
      <border outline="0">
        <left style="thin">
          <color indexed="64"/>
        </left>
      </border>
    </dxf>
    <dxf>
      <font>
        <sz val="10"/>
        <color auto="1"/>
        <name val="Arial"/>
        <scheme val="none"/>
      </font>
      <numFmt numFmtId="0" formatCode="General"/>
      <alignment vertical="bottom"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alignment textRotation="0" wrapText="1" indent="0" justifyLastLine="0" shrinkToFit="0" readingOrder="0"/>
      <border diagonalUp="0" diagonalDown="0" outline="0">
        <left style="thin">
          <color indexed="64"/>
        </left>
        <right style="thin">
          <color indexed="64"/>
        </right>
        <top/>
        <bottom/>
      </border>
    </dxf>
    <dxf>
      <numFmt numFmtId="0" formatCode="General"/>
      <alignment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0" formatCode="General"/>
      <alignment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alignment textRotation="0" wrapText="1" indent="0" justifyLastLine="0" shrinkToFit="0" readingOrder="0"/>
      <border diagonalUp="0" diagonalDown="0" outline="0">
        <left style="thin">
          <color indexed="64"/>
        </left>
        <right style="thin">
          <color indexed="64"/>
        </right>
        <top/>
        <bottom/>
      </border>
    </dxf>
    <dxf>
      <numFmt numFmtId="0" formatCode="General"/>
      <alignment textRotation="0" wrapText="1" indent="0" justifyLastLine="0" shrinkToFit="0" readingOrder="0"/>
      <border outline="0">
        <left style="thin">
          <color indexed="64"/>
        </left>
      </border>
    </dxf>
    <dxf>
      <font>
        <sz val="10"/>
        <color auto="1"/>
        <name val="Arial"/>
        <scheme val="none"/>
      </font>
      <numFmt numFmtId="0" formatCode="General"/>
      <alignment vertical="bottom"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alignment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0" formatCode="General"/>
      <alignment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outline="0">
        <left style="thin">
          <color indexed="64"/>
        </left>
      </border>
    </dxf>
    <dxf>
      <font>
        <sz val="10"/>
        <color auto="1"/>
        <name val="Arial"/>
        <scheme val="none"/>
      </font>
      <numFmt numFmtId="0" formatCode="General"/>
      <alignment vertical="bottom"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font>
        <strike val="0"/>
        <outline val="0"/>
        <shadow val="0"/>
        <u val="none"/>
        <vertAlign val="baseline"/>
        <color theme="1"/>
      </font>
      <numFmt numFmtId="0" formatCode="General"/>
      <border outline="0">
        <left style="thin">
          <color indexed="64"/>
        </left>
      </border>
    </dxf>
    <dxf>
      <numFmt numFmtId="0" formatCode="General"/>
      <alignment vertical="bottom"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alignment vertical="bottom" textRotation="0" wrapText="1" indent="0" justifyLastLine="0" shrinkToFit="0" readingOrder="0"/>
    </dxf>
    <dxf>
      <numFmt numFmtId="0" formatCode="General"/>
      <alignment vertical="bottom"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bottom"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alignment vertical="bottom"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Arial"/>
        <scheme val="none"/>
      </font>
      <numFmt numFmtId="0" formatCode="General"/>
      <alignment vertical="bottom" textRotation="0" wrapText="1" indent="0" justifyLastLine="0" shrinkToFit="0" readingOrder="0"/>
      <border diagonalUp="0" diagonalDown="0" outline="0">
        <left/>
        <right style="thin">
          <color indexed="64"/>
        </right>
        <top style="thin">
          <color indexed="64"/>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bottom"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alignment vertical="bottom" textRotation="0" wrapText="1" indent="0" justifyLastLine="0" shrinkToFit="0" readingOrder="0"/>
    </dxf>
    <dxf>
      <numFmt numFmtId="0" formatCode="General"/>
      <alignment vertical="bottom"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bottom"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alignment vertical="bottom"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border diagonalUp="0" diagonalDown="0" outline="0">
        <left/>
        <right style="thin">
          <color indexed="64"/>
        </right>
        <top style="thin">
          <color indexed="64"/>
        </top>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vertical="bottom" textRotation="0" wrapText="1" indent="0" justifyLastLine="0" shrinkToFit="0" readingOrder="0"/>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outline="0">
        <left style="thin">
          <color indexed="64"/>
        </left>
      </border>
    </dxf>
    <dxf>
      <numFmt numFmtId="0" formatCode="General"/>
      <alignment vertical="bottom"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2" formatCode="0.0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numFmt numFmtId="0" formatCode="General"/>
    </dxf>
    <dxf>
      <border outline="0">
        <bottom style="thin">
          <color rgb="FF000000"/>
        </bottom>
      </border>
    </dxf>
    <dxf>
      <font>
        <b/>
        <i val="0"/>
        <strike val="0"/>
        <condense val="0"/>
        <extend val="0"/>
        <outline val="0"/>
        <shadow val="0"/>
        <u val="none"/>
        <vertAlign val="baseline"/>
        <sz val="10"/>
        <color auto="1"/>
        <name val="Arial"/>
        <scheme val="none"/>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id="23" name="Tableau141424" displayName="Tableau141424" ref="A16:B27" totalsRowShown="0" headerRowDxfId="337" dataDxfId="335" headerRowBorderDxfId="336" tableBorderDxfId="334" totalsRowBorderDxfId="333">
  <autoFilter ref="A16:B27"/>
  <tableColumns count="2">
    <tableColumn id="1" name="Donnée" dataDxfId="332"/>
    <tableColumn id="2" name="Quantité" dataDxfId="331"/>
  </tableColumns>
  <tableStyleInfo name="TableStyleMedium7" showFirstColumn="0" showLastColumn="0" showRowStripes="1" showColumnStripes="0"/>
</table>
</file>

<file path=xl/tables/table2.xml><?xml version="1.0" encoding="utf-8"?>
<table xmlns="http://schemas.openxmlformats.org/spreadsheetml/2006/main" id="24" name="Tableau251525" displayName="Tableau251525" ref="D16:E27" totalsRowShown="0" headerRowDxfId="330" dataDxfId="328" headerRowBorderDxfId="329" tableBorderDxfId="327" totalsRowBorderDxfId="326">
  <autoFilter ref="D16:E27"/>
  <tableColumns count="2">
    <tableColumn id="1" name="Donnée" dataDxfId="325"/>
    <tableColumn id="2" name="Quantité" dataDxfId="324"/>
  </tableColumns>
  <tableStyleInfo name="TableStyleMedium7" showFirstColumn="0" showLastColumn="0" showRowStripes="1" showColumnStripes="0"/>
</table>
</file>

<file path=xl/tables/table3.xml><?xml version="1.0" encoding="utf-8"?>
<table xmlns="http://schemas.openxmlformats.org/spreadsheetml/2006/main" id="25" name="Tableau141426" displayName="Tableau141426" ref="A16:B37" totalsRowShown="0" headerRowDxfId="323" dataDxfId="321" headerRowBorderDxfId="322" tableBorderDxfId="320" totalsRowBorderDxfId="319">
  <autoFilter ref="A16:B37"/>
  <tableColumns count="2">
    <tableColumn id="1" name="Donnée" dataDxfId="318"/>
    <tableColumn id="2" name="Quantité" dataDxfId="317">
      <calculatedColumnFormula>E4</calculatedColumnFormula>
    </tableColumn>
  </tableColumns>
  <tableStyleInfo name="TableStyleMedium7" showFirstColumn="0" showLastColumn="0" showRowStripes="1" showColumnStripes="0"/>
</table>
</file>

<file path=xl/tables/table4.xml><?xml version="1.0" encoding="utf-8"?>
<table xmlns="http://schemas.openxmlformats.org/spreadsheetml/2006/main" id="26" name="Tableau251527" displayName="Tableau251527" ref="D16:E40" totalsRowShown="0" headerRowDxfId="316" headerRowBorderDxfId="315" tableBorderDxfId="314" totalsRowBorderDxfId="313">
  <autoFilter ref="D16:E40"/>
  <tableColumns count="2">
    <tableColumn id="1" name="Donnée" dataDxfId="312"/>
    <tableColumn id="2" name="Quantité" dataDxfId="311"/>
  </tableColumns>
  <tableStyleInfo name="TableStyleMedium7" showFirstColumn="0" showLastColumn="0" showRowStripes="1" showColumnStripes="0"/>
</table>
</file>

<file path=xl/tables/table5.xml><?xml version="1.0" encoding="utf-8"?>
<table xmlns="http://schemas.openxmlformats.org/spreadsheetml/2006/main" id="37" name="Tableau14142638" displayName="Tableau14142638" ref="A14:B21" totalsRowShown="0" headerRowDxfId="310" dataDxfId="308" headerRowBorderDxfId="309" tableBorderDxfId="307" totalsRowBorderDxfId="306">
  <autoFilter ref="A14:B21"/>
  <tableColumns count="2">
    <tableColumn id="1" name="Donnée" dataDxfId="305"/>
    <tableColumn id="2" name="Quantité" dataDxfId="304"/>
  </tableColumns>
  <tableStyleInfo name="TableStyleMedium7" showFirstColumn="0" showLastColumn="0" showRowStripes="1" showColumnStripes="0"/>
</table>
</file>

<file path=xl/tables/table6.xml><?xml version="1.0" encoding="utf-8"?>
<table xmlns="http://schemas.openxmlformats.org/spreadsheetml/2006/main" id="39" name="Tableau14142640" displayName="Tableau14142640" ref="A16:B37" totalsRowShown="0" headerRowDxfId="303" dataDxfId="301" headerRowBorderDxfId="302" tableBorderDxfId="300" totalsRowBorderDxfId="299">
  <autoFilter ref="A16:B37"/>
  <tableColumns count="2">
    <tableColumn id="1" name="Donnée" dataDxfId="298"/>
    <tableColumn id="2" name="Quantité" dataDxfId="297"/>
  </tableColumns>
  <tableStyleInfo name="TableStyleMedium7" showFirstColumn="0" showLastColumn="0" showRowStripes="1" showColumnStripes="0"/>
</table>
</file>

<file path=xl/tables/table7.xml><?xml version="1.0" encoding="utf-8"?>
<table xmlns="http://schemas.openxmlformats.org/spreadsheetml/2006/main" id="40" name="Tableau25152741" displayName="Tableau25152741" ref="D16:E19" totalsRowShown="0" headerRowDxfId="296" headerRowBorderDxfId="295" tableBorderDxfId="294" totalsRowBorderDxfId="293">
  <autoFilter ref="D16:E19"/>
  <tableColumns count="2">
    <tableColumn id="1" name="Donnée" dataDxfId="292"/>
    <tableColumn id="2" name="Quantité" dataDxfId="291"/>
  </tableColumns>
  <tableStyleInfo name="TableStyleMedium7" showFirstColumn="0" showLastColumn="0" showRowStripes="1" showColumnStripes="0"/>
</table>
</file>

<file path=xl/tables/table8.xml><?xml version="1.0" encoding="utf-8"?>
<table xmlns="http://schemas.openxmlformats.org/spreadsheetml/2006/main" id="41" name="Tableau14142642" displayName="Tableau14142642" ref="A16:B37" totalsRowShown="0" headerRowDxfId="290" dataDxfId="288" headerRowBorderDxfId="289" tableBorderDxfId="287" totalsRowBorderDxfId="286">
  <autoFilter ref="A16:B37"/>
  <tableColumns count="2">
    <tableColumn id="1" name="Donnée" dataDxfId="285"/>
    <tableColumn id="2" name="Quantité" dataDxfId="284"/>
  </tableColumns>
  <tableStyleInfo name="TableStyleMedium7" showFirstColumn="0" showLastColumn="0" showRowStripes="1" showColumnStripes="0"/>
</table>
</file>

<file path=xl/tables/table9.xml><?xml version="1.0" encoding="utf-8"?>
<table xmlns="http://schemas.openxmlformats.org/spreadsheetml/2006/main" id="42" name="Tableau25152743" displayName="Tableau25152743" ref="D16:E40" totalsRowShown="0" headerRowDxfId="283" dataDxfId="281" headerRowBorderDxfId="282" tableBorderDxfId="280" totalsRowBorderDxfId="279">
  <autoFilter ref="D16:E40"/>
  <tableColumns count="2">
    <tableColumn id="1" name="Donnée" dataDxfId="278"/>
    <tableColumn id="2" name="Quantité" dataDxfId="277"/>
  </tableColumns>
  <tableStyleInfo name="TableStyleMedium7" showFirstColumn="0" showLastColumn="0" showRowStripes="1" showColumnStripes="0"/>
</table>
</file>

<file path=xl/tables/table10.xml><?xml version="1.0" encoding="utf-8"?>
<table xmlns="http://schemas.openxmlformats.org/spreadsheetml/2006/main" id="43" name="Tableau14142644" displayName="Tableau14142644" ref="A16:B37" totalsRowShown="0" headerRowDxfId="276" dataDxfId="274" headerRowBorderDxfId="275" tableBorderDxfId="273" totalsRowBorderDxfId="272">
  <autoFilter ref="A16:B37"/>
  <tableColumns count="2">
    <tableColumn id="1" name="Donnée" dataDxfId="271"/>
    <tableColumn id="2" name="Quantité" dataDxfId="270"/>
  </tableColumns>
  <tableStyleInfo name="TableStyleMedium7" showFirstColumn="0" showLastColumn="0" showRowStripes="1" showColumnStripes="0"/>
</table>
</file>

<file path=xl/tables/table11.xml><?xml version="1.0" encoding="utf-8"?>
<table xmlns="http://schemas.openxmlformats.org/spreadsheetml/2006/main" id="44" name="Tableau25152745" displayName="Tableau25152745" ref="D16:E40" totalsRowShown="0" headerRowDxfId="269" dataDxfId="267" headerRowBorderDxfId="268" tableBorderDxfId="266" totalsRowBorderDxfId="265">
  <autoFilter ref="D16:E40"/>
  <tableColumns count="2">
    <tableColumn id="1" name="Donnée" dataDxfId="264"/>
    <tableColumn id="2" name="Quantité" dataDxfId="263"/>
  </tableColumns>
  <tableStyleInfo name="TableStyleMedium7" showFirstColumn="0" showLastColumn="0" showRowStripes="1" showColumnStripes="0"/>
</table>
</file>

<file path=xl/tables/table12.xml><?xml version="1.0" encoding="utf-8"?>
<table xmlns="http://schemas.openxmlformats.org/spreadsheetml/2006/main" id="45" name="Tableau14142646" displayName="Tableau14142646" ref="A19:B41" totalsRowShown="0" headerRowDxfId="262" headerRowBorderDxfId="261" tableBorderDxfId="260" totalsRowBorderDxfId="259">
  <autoFilter ref="A19:B41"/>
  <tableColumns count="2">
    <tableColumn id="1" name="Donnée" dataDxfId="258"/>
    <tableColumn id="2" name="Quantité" dataDxfId="257"/>
  </tableColumns>
  <tableStyleInfo name="TableStyleMedium7" showFirstColumn="0" showLastColumn="0" showRowStripes="1" showColumnStripes="0"/>
</table>
</file>

<file path=xl/tables/table13.xml><?xml version="1.0" encoding="utf-8"?>
<table xmlns="http://schemas.openxmlformats.org/spreadsheetml/2006/main" id="46" name="Tableau25152747" displayName="Tableau25152747" ref="C19:H45" totalsRowShown="0" headerRowDxfId="256" dataDxfId="254" headerRowBorderDxfId="255" tableBorderDxfId="253" totalsRowBorderDxfId="252">
  <autoFilter ref="C19:H45"/>
  <tableColumns count="6">
    <tableColumn id="1" name="Donnée" dataDxfId="251"/>
    <tableColumn id="2" name="Quantité" dataDxfId="250"/>
    <tableColumn id="3" name="Donnée2" dataDxfId="249"/>
    <tableColumn id="4" name="Quantité3" dataDxfId="248"/>
    <tableColumn id="5" name="Donnée3" dataDxfId="247"/>
    <tableColumn id="6" name="Quantité33" dataDxfId="246"/>
  </tableColumns>
  <tableStyleInfo name="TableStyleMedium7" showFirstColumn="0" showLastColumn="0" showRowStripes="1" showColumnStripes="0"/>
</table>
</file>

<file path=xl/tables/table14.xml><?xml version="1.0" encoding="utf-8"?>
<table xmlns="http://schemas.openxmlformats.org/spreadsheetml/2006/main" id="47" name="Tableau14142648" displayName="Tableau14142648" ref="A17:B45" totalsRowShown="0" headerRowDxfId="245" headerRowBorderDxfId="244" tableBorderDxfId="243" totalsRowBorderDxfId="242">
  <autoFilter ref="A17:B45"/>
  <tableColumns count="2">
    <tableColumn id="1" name="Donnée" dataDxfId="241"/>
    <tableColumn id="2" name="Quantité" dataDxfId="240"/>
  </tableColumns>
  <tableStyleInfo name="TableStyleMedium7" showFirstColumn="0" showLastColumn="0" showRowStripes="1" showColumnStripes="0"/>
</table>
</file>

<file path=xl/tables/table15.xml><?xml version="1.0" encoding="utf-8"?>
<table xmlns="http://schemas.openxmlformats.org/spreadsheetml/2006/main" id="48" name="Tableau25152749" displayName="Tableau25152749" ref="D17:E43" totalsRowShown="0" headerRowDxfId="239" headerRowBorderDxfId="238" tableBorderDxfId="237" totalsRowBorderDxfId="236">
  <autoFilter ref="D17:E43"/>
  <tableColumns count="2">
    <tableColumn id="1" name="Donnée" dataDxfId="235"/>
    <tableColumn id="2" name="Quantité" dataDxfId="234"/>
  </tableColumns>
  <tableStyleInfo name="TableStyleMedium7" showFirstColumn="0" showLastColumn="0" showRowStripes="1" showColumnStripes="0"/>
</table>
</file>

<file path=xl/tables/table16.xml><?xml version="1.0" encoding="utf-8"?>
<table xmlns="http://schemas.openxmlformats.org/spreadsheetml/2006/main" id="1" name="Tableau141426482" displayName="Tableau141426482" ref="A17:B45" totalsRowShown="0" headerRowDxfId="233" dataDxfId="231" headerRowBorderDxfId="232" tableBorderDxfId="230" totalsRowBorderDxfId="229">
  <autoFilter ref="A17:B45"/>
  <tableColumns count="2">
    <tableColumn id="1" name="Donnée" dataDxfId="228"/>
    <tableColumn id="2" name="Quantité" dataDxfId="227"/>
  </tableColumns>
  <tableStyleInfo name="TableStyleMedium7" showFirstColumn="0" showLastColumn="0" showRowStripes="1" showColumnStripes="0"/>
</table>
</file>

<file path=xl/tables/table17.xml><?xml version="1.0" encoding="utf-8"?>
<table xmlns="http://schemas.openxmlformats.org/spreadsheetml/2006/main" id="2" name="Tableau251527493" displayName="Tableau251527493" ref="D17:E43" totalsRowShown="0" headerRowDxfId="226" dataDxfId="224" headerRowBorderDxfId="225" tableBorderDxfId="223" totalsRowBorderDxfId="222">
  <autoFilter ref="D17:E43"/>
  <tableColumns count="2">
    <tableColumn id="1" name="Donnée" dataDxfId="221"/>
    <tableColumn id="2" name="Quantité" dataDxfId="220"/>
  </tableColumns>
  <tableStyleInfo name="TableStyleMedium7" showFirstColumn="0" showLastColumn="0" showRowStripes="1" showColumnStripes="0"/>
</table>
</file>

<file path=xl/tables/table18.xml><?xml version="1.0" encoding="utf-8"?>
<table xmlns="http://schemas.openxmlformats.org/spreadsheetml/2006/main" id="3" name="Tableau1414264824" displayName="Tableau1414264824" ref="A17:B45" totalsRowShown="0" headerRowDxfId="219" dataDxfId="217" headerRowBorderDxfId="218" tableBorderDxfId="216" totalsRowBorderDxfId="215">
  <autoFilter ref="A17:B45"/>
  <tableColumns count="2">
    <tableColumn id="1" name="Donnée" dataDxfId="214"/>
    <tableColumn id="2" name="Quantité" dataDxfId="213"/>
  </tableColumns>
  <tableStyleInfo name="TableStyleMedium7" showFirstColumn="0" showLastColumn="0" showRowStripes="1" showColumnStripes="0"/>
</table>
</file>

<file path=xl/tables/table19.xml><?xml version="1.0" encoding="utf-8"?>
<table xmlns="http://schemas.openxmlformats.org/spreadsheetml/2006/main" id="4" name="Tableau2515274935" displayName="Tableau2515274935" ref="D17:E43" totalsRowShown="0" headerRowDxfId="212" dataDxfId="210" headerRowBorderDxfId="211" tableBorderDxfId="209" totalsRowBorderDxfId="208">
  <autoFilter ref="D17:E43"/>
  <tableColumns count="2">
    <tableColumn id="1" name="Donnée" dataDxfId="207"/>
    <tableColumn id="2" name="Quantité" dataDxfId="206"/>
  </tableColumns>
  <tableStyleInfo name="TableStyleMedium7" showFirstColumn="0" showLastColumn="0" showRowStripes="1" showColumnStripes="0"/>
</table>
</file>

<file path=xl/tables/table20.xml><?xml version="1.0" encoding="utf-8"?>
<table xmlns="http://schemas.openxmlformats.org/spreadsheetml/2006/main" id="5" name="Tableau35" displayName="Tableau35" ref="A17:B50" totalsRowShown="0" headerRowDxfId="205" dataDxfId="203" headerRowBorderDxfId="204" tableBorderDxfId="202" totalsRowBorderDxfId="201">
  <autoFilter ref="A17:B50"/>
  <tableColumns count="2">
    <tableColumn id="1" name="Donnée" dataDxfId="200"/>
    <tableColumn id="2" name="Quantité" dataDxfId="199"/>
  </tableColumns>
  <tableStyleInfo name="TableStyleMedium7" showFirstColumn="0" showLastColumn="0" showRowStripes="1" showColumnStripes="0"/>
</table>
</file>

<file path=xl/tables/table21.xml><?xml version="1.0" encoding="utf-8"?>
<table xmlns="http://schemas.openxmlformats.org/spreadsheetml/2006/main" id="6" name="Tableau336" displayName="Tableau336" ref="G17:H61" totalsRowShown="0" headerRowDxfId="198" dataDxfId="196" headerRowBorderDxfId="197" tableBorderDxfId="195" totalsRowBorderDxfId="194">
  <autoFilter ref="G17:H61"/>
  <tableColumns count="2">
    <tableColumn id="1" name="Donnée" dataDxfId="193"/>
    <tableColumn id="2" name="Quantité" dataDxfId="192"/>
  </tableColumns>
  <tableStyleInfo name="TableStyleMedium7" showFirstColumn="0" showLastColumn="0" showRowStripes="1" showColumnStripes="0"/>
</table>
</file>

<file path=xl/tables/table22.xml><?xml version="1.0" encoding="utf-8"?>
<table xmlns="http://schemas.openxmlformats.org/spreadsheetml/2006/main" id="7" name="Tableau47" displayName="Tableau47" ref="D17:E61" totalsRowShown="0" headerRowDxfId="191" dataDxfId="189" headerRowBorderDxfId="190" tableBorderDxfId="188">
  <autoFilter ref="D17:E61"/>
  <tableColumns count="2">
    <tableColumn id="1" name="Donnée" dataDxfId="187"/>
    <tableColumn id="2" name="Quantité" dataDxfId="186">
      <calculatedColumnFormula>B42+B44</calculatedColumnFormula>
    </tableColumn>
  </tableColumns>
  <tableStyleInfo name="TableStyleMedium7" showFirstColumn="0" showLastColumn="0" showRowStripes="1" showColumnStripes="0"/>
</table>
</file>

<file path=xl/tables/table23.xml><?xml version="1.0" encoding="utf-8"?>
<table xmlns="http://schemas.openxmlformats.org/spreadsheetml/2006/main" id="55" name="Tableau14142656" displayName="Tableau14142656" ref="A14:B35" totalsRowShown="0" headerRowDxfId="185" dataDxfId="183" headerRowBorderDxfId="184" tableBorderDxfId="182" totalsRowBorderDxfId="181">
  <autoFilter ref="A14:B35"/>
  <tableColumns count="2">
    <tableColumn id="1" name="Donnée" dataDxfId="180"/>
    <tableColumn id="2" name="Quantité" dataDxfId="179"/>
  </tableColumns>
  <tableStyleInfo name="TableStyleMedium7" showFirstColumn="0" showLastColumn="0" showRowStripes="1" showColumnStripes="0"/>
</table>
</file>

<file path=xl/tables/table24.xml><?xml version="1.0" encoding="utf-8"?>
<table xmlns="http://schemas.openxmlformats.org/spreadsheetml/2006/main" id="56" name="Tableau25152757" displayName="Tableau25152757" ref="D14:E19" totalsRowShown="0" headerRowDxfId="178" dataDxfId="176" headerRowBorderDxfId="177" tableBorderDxfId="175" totalsRowBorderDxfId="174">
  <autoFilter ref="D14:E19"/>
  <tableColumns count="2">
    <tableColumn id="1" name="Donnée" dataDxfId="173"/>
    <tableColumn id="2" name="Quantité" dataDxfId="172"/>
  </tableColumns>
  <tableStyleInfo name="TableStyleMedium7" showFirstColumn="0" showLastColumn="0" showRowStripes="1" showColumnStripes="0"/>
</table>
</file>

<file path=xl/tables/table25.xml><?xml version="1.0" encoding="utf-8"?>
<table xmlns="http://schemas.openxmlformats.org/spreadsheetml/2006/main" id="8" name="Tableau39" displayName="Tableau39" ref="A18:B46" totalsRowShown="0" headerRowDxfId="171" dataDxfId="169" headerRowBorderDxfId="170" tableBorderDxfId="168" totalsRowBorderDxfId="167">
  <autoFilter ref="A18:B46"/>
  <tableColumns count="2">
    <tableColumn id="1" name="Donnée" dataDxfId="166"/>
    <tableColumn id="2" name="Quantité" dataDxfId="165"/>
  </tableColumns>
  <tableStyleInfo name="TableStyleMedium7" showFirstColumn="0" showLastColumn="0" showRowStripes="1" showColumnStripes="0"/>
</table>
</file>

<file path=xl/tables/table26.xml><?xml version="1.0" encoding="utf-8"?>
<table xmlns="http://schemas.openxmlformats.org/spreadsheetml/2006/main" id="9" name="Tableau33" displayName="Tableau33" ref="G18:H40" totalsRowShown="0" headerRowDxfId="164" dataDxfId="162" headerRowBorderDxfId="163" tableBorderDxfId="161" totalsRowBorderDxfId="160">
  <autoFilter ref="G18:H40"/>
  <tableColumns count="2">
    <tableColumn id="1" name="Donnée" dataDxfId="159"/>
    <tableColumn id="2" name="Quantité" dataDxfId="158"/>
  </tableColumns>
  <tableStyleInfo name="TableStyleMedium7" showFirstColumn="0" showLastColumn="0" showRowStripes="1" showColumnStripes="0"/>
</table>
</file>

<file path=xl/tables/table27.xml><?xml version="1.0" encoding="utf-8"?>
<table xmlns="http://schemas.openxmlformats.org/spreadsheetml/2006/main" id="10" name="Tableau411" displayName="Tableau411" ref="D18:E54" totalsRowShown="0" headerRowDxfId="157" dataDxfId="155" headerRowBorderDxfId="156" tableBorderDxfId="154">
  <autoFilter ref="D18:E54"/>
  <tableColumns count="2">
    <tableColumn id="1" name="Donnée" dataDxfId="153"/>
    <tableColumn id="2" name="Quantité" dataDxfId="152"/>
  </tableColumns>
  <tableStyleInfo name="TableStyleMedium7" showFirstColumn="0" showLastColumn="0" showRowStripes="1" showColumnStripes="0"/>
</table>
</file>

<file path=xl/tables/table28.xml><?xml version="1.0" encoding="utf-8"?>
<table xmlns="http://schemas.openxmlformats.org/spreadsheetml/2006/main" id="34" name="Tableau3935" displayName="Tableau3935" ref="A18:B46" totalsRowShown="0" headerRowDxfId="4" dataDxfId="3" headerRowBorderDxfId="1" tableBorderDxfId="2" totalsRowBorderDxfId="0">
  <autoFilter ref="A18:B46"/>
  <tableColumns count="2">
    <tableColumn id="1" name="Donnée" dataDxfId="151"/>
    <tableColumn id="2" name="Quantité" dataDxfId="150"/>
  </tableColumns>
  <tableStyleInfo name="TableStyleMedium7" showFirstColumn="0" showLastColumn="0" showRowStripes="1" showColumnStripes="0"/>
</table>
</file>

<file path=xl/tables/table29.xml><?xml version="1.0" encoding="utf-8"?>
<table xmlns="http://schemas.openxmlformats.org/spreadsheetml/2006/main" id="35" name="Tableau3336" displayName="Tableau3336" ref="G18:H40" totalsRowShown="0" headerRowDxfId="9" dataDxfId="8" headerRowBorderDxfId="6" tableBorderDxfId="7" totalsRowBorderDxfId="5">
  <autoFilter ref="G18:H40"/>
  <tableColumns count="2">
    <tableColumn id="1" name="Donnée" dataDxfId="149"/>
    <tableColumn id="2" name="Quantité" dataDxfId="148"/>
  </tableColumns>
  <tableStyleInfo name="TableStyleMedium7" showFirstColumn="0" showLastColumn="0" showRowStripes="1" showColumnStripes="0"/>
</table>
</file>

<file path=xl/tables/table30.xml><?xml version="1.0" encoding="utf-8"?>
<table xmlns="http://schemas.openxmlformats.org/spreadsheetml/2006/main" id="36" name="Tableau41137" displayName="Tableau41137" ref="D18:E54" totalsRowShown="0" headerRowDxfId="13" dataDxfId="12" headerRowBorderDxfId="10" tableBorderDxfId="11">
  <autoFilter ref="D18:E54"/>
  <tableColumns count="2">
    <tableColumn id="1" name="Donnée" dataDxfId="147"/>
    <tableColumn id="2" name="Quantité" dataDxfId="146"/>
  </tableColumns>
  <tableStyleInfo name="TableStyleMedium7" showFirstColumn="0" showLastColumn="0" showRowStripes="1" showColumnStripes="0"/>
</table>
</file>

<file path=xl/tables/table31.xml><?xml version="1.0" encoding="utf-8"?>
<table xmlns="http://schemas.openxmlformats.org/spreadsheetml/2006/main" id="63" name="Tableau14142664" displayName="Tableau14142664" ref="A18:B31" totalsRowShown="0" headerRowDxfId="125" dataDxfId="123" headerRowBorderDxfId="124" tableBorderDxfId="122" totalsRowBorderDxfId="121">
  <autoFilter ref="A18:B31"/>
  <tableColumns count="2">
    <tableColumn id="1" name="Donnée" dataDxfId="120"/>
    <tableColumn id="2" name="Quantité" dataDxfId="119">
      <calculatedColumnFormula>E3</calculatedColumnFormula>
    </tableColumn>
  </tableColumns>
  <tableStyleInfo name="TableStyleMedium7" showFirstColumn="0" showLastColumn="0" showRowStripes="1" showColumnStripes="0"/>
</table>
</file>

<file path=xl/tables/table32.xml><?xml version="1.0" encoding="utf-8"?>
<table xmlns="http://schemas.openxmlformats.org/spreadsheetml/2006/main" id="64" name="Tableau25152765" displayName="Tableau25152765" ref="D18:E31" totalsRowShown="0" headerRowDxfId="118" dataDxfId="116" headerRowBorderDxfId="117" tableBorderDxfId="115" totalsRowBorderDxfId="114">
  <autoFilter ref="D18:E31"/>
  <tableColumns count="2">
    <tableColumn id="1" name="Donnée" dataDxfId="113"/>
    <tableColumn id="2" name="Quantité" dataDxfId="112"/>
  </tableColumns>
  <tableStyleInfo name="TableStyleMedium7" showFirstColumn="0" showLastColumn="0" showRowStripes="1" showColumnStripes="0"/>
</table>
</file>

<file path=xl/tables/table33.xml><?xml version="1.0" encoding="utf-8"?>
<table xmlns="http://schemas.openxmlformats.org/spreadsheetml/2006/main" id="38" name="Tableau3939" displayName="Tableau3939" ref="A18:B46" totalsRowShown="0" headerRowDxfId="145" dataDxfId="143" headerRowBorderDxfId="144" tableBorderDxfId="142" totalsRowBorderDxfId="141">
  <autoFilter ref="A18:B46"/>
  <tableColumns count="2">
    <tableColumn id="1" name="Donnée" dataDxfId="140"/>
    <tableColumn id="2" name="Quantité" dataDxfId="139"/>
  </tableColumns>
  <tableStyleInfo name="TableStyleMedium7" showFirstColumn="0" showLastColumn="0" showRowStripes="1" showColumnStripes="0"/>
</table>
</file>

<file path=xl/tables/table34.xml><?xml version="1.0" encoding="utf-8"?>
<table xmlns="http://schemas.openxmlformats.org/spreadsheetml/2006/main" id="49" name="Tableau3350" displayName="Tableau3350" ref="G18:H40" totalsRowShown="0" headerRowDxfId="138" dataDxfId="136" headerRowBorderDxfId="137" tableBorderDxfId="135" totalsRowBorderDxfId="134">
  <autoFilter ref="G18:H40"/>
  <tableColumns count="2">
    <tableColumn id="1" name="Donnée" dataDxfId="133"/>
    <tableColumn id="2" name="Quantité" dataDxfId="132"/>
  </tableColumns>
  <tableStyleInfo name="TableStyleMedium7" showFirstColumn="0" showLastColumn="0" showRowStripes="1" showColumnStripes="0"/>
</table>
</file>

<file path=xl/tables/table35.xml><?xml version="1.0" encoding="utf-8"?>
<table xmlns="http://schemas.openxmlformats.org/spreadsheetml/2006/main" id="50" name="Tableau41151" displayName="Tableau41151" ref="D18:E54" totalsRowShown="0" headerRowDxfId="131" dataDxfId="129" headerRowBorderDxfId="130" tableBorderDxfId="128">
  <autoFilter ref="D18:E54"/>
  <tableColumns count="2">
    <tableColumn id="1" name="Donnée" dataDxfId="127"/>
    <tableColumn id="2" name="Quantité" dataDxfId="126"/>
  </tableColumns>
  <tableStyleInfo name="TableStyleMedium7" showFirstColumn="0" showLastColumn="0" showRowStripes="1" showColumnStripes="0"/>
</table>
</file>

<file path=xl/tables/table36.xml><?xml version="1.0" encoding="utf-8"?>
<table xmlns="http://schemas.openxmlformats.org/spreadsheetml/2006/main" id="66" name="Tableau25152767" displayName="Tableau25152767" ref="D18:E27" totalsRowShown="0" headerRowDxfId="111" dataDxfId="109" headerRowBorderDxfId="110" tableBorderDxfId="108" totalsRowBorderDxfId="107">
  <autoFilter ref="D18:E27"/>
  <tableColumns count="2">
    <tableColumn id="1" name="Donnée" dataDxfId="106"/>
    <tableColumn id="2" name="Quantité" dataDxfId="105"/>
  </tableColumns>
  <tableStyleInfo name="TableStyleMedium7" showFirstColumn="0" showLastColumn="0" showRowStripes="1" showColumnStripes="0"/>
</table>
</file>

<file path=xl/tables/table37.xml><?xml version="1.0" encoding="utf-8"?>
<table xmlns="http://schemas.openxmlformats.org/spreadsheetml/2006/main" id="51" name="Tableau1414266452" displayName="Tableau1414266452" ref="A18:B29" totalsRowShown="0" headerRowDxfId="104" dataDxfId="102" headerRowBorderDxfId="103" tableBorderDxfId="101" totalsRowBorderDxfId="100">
  <autoFilter ref="A18:B29"/>
  <tableColumns count="2">
    <tableColumn id="1" name="Donnée" dataDxfId="99"/>
    <tableColumn id="2" name="Quantité" dataDxfId="98">
      <calculatedColumnFormula>E3</calculatedColumnFormula>
    </tableColumn>
  </tableColumns>
  <tableStyleInfo name="TableStyleMedium7" showFirstColumn="0" showLastColumn="0" showRowStripes="1" showColumnStripes="0"/>
</table>
</file>

<file path=xl/tables/table38.xml><?xml version="1.0" encoding="utf-8"?>
<table xmlns="http://schemas.openxmlformats.org/spreadsheetml/2006/main" id="68" name="Tableau25152769" displayName="Tableau25152769" ref="D16:E33" totalsRowShown="0" headerRowDxfId="97" dataDxfId="95" headerRowBorderDxfId="96" tableBorderDxfId="94" totalsRowBorderDxfId="93">
  <autoFilter ref="D16:E33"/>
  <tableColumns count="2">
    <tableColumn id="1" name="Donnée" dataDxfId="92"/>
    <tableColumn id="2" name="Quantité" dataDxfId="91"/>
  </tableColumns>
  <tableStyleInfo name="TableStyleMedium7" showFirstColumn="0" showLastColumn="0" showRowStripes="1" showColumnStripes="0"/>
</table>
</file>

<file path=xl/tables/table39.xml><?xml version="1.0" encoding="utf-8"?>
<table xmlns="http://schemas.openxmlformats.org/spreadsheetml/2006/main" id="52" name="Tableau141426645253" displayName="Tableau141426645253" ref="A16:B29" totalsRowShown="0" headerRowDxfId="90" dataDxfId="88" headerRowBorderDxfId="89" tableBorderDxfId="87" totalsRowBorderDxfId="86">
  <autoFilter ref="A16:B29"/>
  <tableColumns count="2">
    <tableColumn id="1" name="Donnée" dataDxfId="85"/>
    <tableColumn id="2" name="Quantité" dataDxfId="84">
      <calculatedColumnFormula>E3</calculatedColumnFormula>
    </tableColumn>
  </tableColumns>
  <tableStyleInfo name="TableStyleMedium7" showFirstColumn="0" showLastColumn="0" showRowStripes="1" showColumnStripes="0"/>
</table>
</file>

<file path=xl/tables/table40.xml><?xml version="1.0" encoding="utf-8"?>
<table xmlns="http://schemas.openxmlformats.org/spreadsheetml/2006/main" id="54" name="Tableau2515276955" displayName="Tableau2515276955" ref="D16:E33" totalsRowShown="0" headerRowDxfId="83" dataDxfId="81" headerRowBorderDxfId="82" tableBorderDxfId="80" totalsRowBorderDxfId="79">
  <autoFilter ref="D16:E33"/>
  <tableColumns count="2">
    <tableColumn id="1" name="Donnée" dataDxfId="78"/>
    <tableColumn id="2" name="Quantité" dataDxfId="77"/>
  </tableColumns>
  <tableStyleInfo name="TableStyleMedium7" showFirstColumn="0" showLastColumn="0" showRowStripes="1" showColumnStripes="0"/>
</table>
</file>

<file path=xl/tables/table41.xml><?xml version="1.0" encoding="utf-8"?>
<table xmlns="http://schemas.openxmlformats.org/spreadsheetml/2006/main" id="57" name="Tableau14142664525358" displayName="Tableau14142664525358" ref="A16:B29" totalsRowShown="0" headerRowDxfId="76" dataDxfId="74" headerRowBorderDxfId="75" tableBorderDxfId="73" totalsRowBorderDxfId="72">
  <autoFilter ref="A16:B29"/>
  <tableColumns count="2">
    <tableColumn id="1" name="Donnée" dataDxfId="71"/>
    <tableColumn id="2" name="Quantité" dataDxfId="70">
      <calculatedColumnFormula>E3</calculatedColumnFormula>
    </tableColumn>
  </tableColumns>
  <tableStyleInfo name="TableStyleMedium7" showFirstColumn="0" showLastColumn="0" showRowStripes="1" showColumnStripes="0"/>
</table>
</file>

<file path=xl/tables/table42.xml><?xml version="1.0" encoding="utf-8"?>
<table xmlns="http://schemas.openxmlformats.org/spreadsheetml/2006/main" id="71" name="Tableau14142672" displayName="Tableau14142672" ref="A16:B30" totalsRowShown="0" headerRowDxfId="69" dataDxfId="67" headerRowBorderDxfId="68" tableBorderDxfId="66" totalsRowBorderDxfId="65">
  <autoFilter ref="A16:B30"/>
  <tableColumns count="2">
    <tableColumn id="1" name="Donnée" dataDxfId="64"/>
    <tableColumn id="2" name="Quantité" dataDxfId="63"/>
  </tableColumns>
  <tableStyleInfo name="TableStyleMedium7" showFirstColumn="0" showLastColumn="0" showRowStripes="1" showColumnStripes="0"/>
</table>
</file>

<file path=xl/tables/table43.xml><?xml version="1.0" encoding="utf-8"?>
<table xmlns="http://schemas.openxmlformats.org/spreadsheetml/2006/main" id="72" name="Tableau25152773" displayName="Tableau25152773" ref="D16:E30" totalsRowShown="0" headerRowDxfId="62" dataDxfId="60" headerRowBorderDxfId="61" tableBorderDxfId="59" totalsRowBorderDxfId="58">
  <autoFilter ref="D16:E30"/>
  <tableColumns count="2">
    <tableColumn id="1" name="Donnée" dataDxfId="57"/>
    <tableColumn id="2" name="Quantité" dataDxfId="56">
      <calculatedColumnFormula>10/24/60</calculatedColumnFormula>
    </tableColumn>
  </tableColumns>
  <tableStyleInfo name="TableStyleMedium7" showFirstColumn="0" showLastColumn="0" showRowStripes="1" showColumnStripes="0"/>
</table>
</file>

<file path=xl/tables/table44.xml><?xml version="1.0" encoding="utf-8"?>
<table xmlns="http://schemas.openxmlformats.org/spreadsheetml/2006/main" id="73" name="Tableau14142674" displayName="Tableau14142674" ref="A16:B33" totalsRowShown="0" headerRowDxfId="55" dataDxfId="53" headerRowBorderDxfId="54" tableBorderDxfId="52" totalsRowBorderDxfId="51">
  <autoFilter ref="A16:B33"/>
  <tableColumns count="2">
    <tableColumn id="1" name="Donnée" dataDxfId="50"/>
    <tableColumn id="2" name="Quantité" dataDxfId="49"/>
  </tableColumns>
  <tableStyleInfo name="TableStyleMedium7" showFirstColumn="0" showLastColumn="0" showRowStripes="1" showColumnStripes="0"/>
</table>
</file>

<file path=xl/tables/table45.xml><?xml version="1.0" encoding="utf-8"?>
<table xmlns="http://schemas.openxmlformats.org/spreadsheetml/2006/main" id="74" name="Tableau25152775" displayName="Tableau25152775" ref="D16:E33" totalsRowShown="0" headerRowDxfId="48" dataDxfId="46" headerRowBorderDxfId="47" tableBorderDxfId="45" totalsRowBorderDxfId="44">
  <autoFilter ref="D16:E33"/>
  <tableColumns count="2">
    <tableColumn id="1" name="Donnée" dataDxfId="43"/>
    <tableColumn id="2" name="Quantité" dataDxfId="42"/>
  </tableColumns>
  <tableStyleInfo name="TableStyleMedium7" showFirstColumn="0" showLastColumn="0" showRowStripes="1" showColumnStripes="0"/>
</table>
</file>

<file path=xl/tables/table46.xml><?xml version="1.0" encoding="utf-8"?>
<table xmlns="http://schemas.openxmlformats.org/spreadsheetml/2006/main" id="75" name="Tableau14142676" displayName="Tableau14142676" ref="A16:B28" totalsRowShown="0" headerRowDxfId="41" dataDxfId="39" headerRowBorderDxfId="40" tableBorderDxfId="38" totalsRowBorderDxfId="37">
  <autoFilter ref="A16:B28"/>
  <tableColumns count="2">
    <tableColumn id="1" name="Donnée" dataDxfId="36"/>
    <tableColumn id="2" name="Quantité" dataDxfId="35"/>
  </tableColumns>
  <tableStyleInfo name="TableStyleMedium7" showFirstColumn="0" showLastColumn="0" showRowStripes="1" showColumnStripes="0"/>
</table>
</file>

<file path=xl/tables/table47.xml><?xml version="1.0" encoding="utf-8"?>
<table xmlns="http://schemas.openxmlformats.org/spreadsheetml/2006/main" id="76" name="Tableau25152777" displayName="Tableau25152777" ref="D16:E28" totalsRowShown="0" headerRowDxfId="34" dataDxfId="32" headerRowBorderDxfId="33" tableBorderDxfId="31" totalsRowBorderDxfId="30">
  <autoFilter ref="D16:E28"/>
  <tableColumns count="2">
    <tableColumn id="1" name="Donnée" dataDxfId="29"/>
    <tableColumn id="2" name="Quantité" dataDxfId="28"/>
  </tableColumns>
  <tableStyleInfo name="TableStyleMedium7" showFirstColumn="0" showLastColumn="0" showRowStripes="1" showColumnStripes="0"/>
</table>
</file>

<file path=xl/tables/table48.xml><?xml version="1.0" encoding="utf-8"?>
<table xmlns="http://schemas.openxmlformats.org/spreadsheetml/2006/main" id="79" name="Tableau1414267880" displayName="Tableau1414267880" ref="A16:B28" totalsRowShown="0" headerRowDxfId="27" dataDxfId="25" headerRowBorderDxfId="26" tableBorderDxfId="24" totalsRowBorderDxfId="23">
  <autoFilter ref="A16:B28"/>
  <tableColumns count="2">
    <tableColumn id="1" name="Donnée" dataDxfId="22"/>
    <tableColumn id="2" name="Quantité" dataDxfId="21"/>
  </tableColumns>
  <tableStyleInfo name="TableStyleMedium7" showFirstColumn="0" showLastColumn="0" showRowStripes="1" showColumnStripes="0"/>
</table>
</file>

<file path=xl/tables/table49.xml><?xml version="1.0" encoding="utf-8"?>
<table xmlns="http://schemas.openxmlformats.org/spreadsheetml/2006/main" id="80" name="Tableau2515277981" displayName="Tableau2515277981" ref="D16:E28" totalsRowShown="0" headerRowDxfId="20" dataDxfId="18" headerRowBorderDxfId="19" tableBorderDxfId="17" totalsRowBorderDxfId="16">
  <autoFilter ref="D16:E28"/>
  <tableColumns count="2">
    <tableColumn id="1" name="Donnée" dataDxfId="15"/>
    <tableColumn id="2" name="Quantité" dataDxfId="14"/>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1.bin"/><Relationship Id="rId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3.bin"/><Relationship Id="rId4" Type="http://schemas.openxmlformats.org/officeDocument/2006/relationships/table" Target="../tables/table2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printerSettings" Target="../printerSettings/printerSettings14.bin"/><Relationship Id="rId4" Type="http://schemas.openxmlformats.org/officeDocument/2006/relationships/table" Target="../tables/table30.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16.bin"/><Relationship Id="rId4" Type="http://schemas.openxmlformats.org/officeDocument/2006/relationships/table" Target="../tables/table3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pageSetUpPr fitToPage="1"/>
  </sheetPr>
  <dimension ref="A1:H31"/>
  <sheetViews>
    <sheetView workbookViewId="0">
      <selection activeCell="G4" sqref="G4"/>
    </sheetView>
  </sheetViews>
  <sheetFormatPr baseColWidth="10" defaultRowHeight="15" x14ac:dyDescent="0.25"/>
  <cols>
    <col min="1" max="1" width="17"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71</v>
      </c>
      <c r="E2" s="654"/>
      <c r="F2" s="654"/>
      <c r="G2" s="654"/>
      <c r="H2" s="655"/>
    </row>
    <row r="3" spans="1:8" ht="15" customHeight="1" x14ac:dyDescent="0.25">
      <c r="A3" s="656" t="s">
        <v>2</v>
      </c>
      <c r="B3" s="658"/>
      <c r="C3" s="659"/>
      <c r="D3" s="660"/>
      <c r="E3" s="1" t="s">
        <v>3</v>
      </c>
      <c r="F3" s="1" t="s">
        <v>4</v>
      </c>
      <c r="G3" s="1" t="s">
        <v>5</v>
      </c>
      <c r="H3" s="2" t="s">
        <v>6</v>
      </c>
    </row>
    <row r="4" spans="1:8" ht="16.5" thickBot="1" x14ac:dyDescent="0.3">
      <c r="A4" s="657"/>
      <c r="B4" s="661"/>
      <c r="C4" s="662"/>
      <c r="D4" s="663"/>
      <c r="E4" s="3">
        <v>8</v>
      </c>
      <c r="F4" s="85" t="s">
        <v>4</v>
      </c>
      <c r="G4" s="3" t="s">
        <v>154</v>
      </c>
      <c r="H4" s="4" t="s">
        <v>153</v>
      </c>
    </row>
    <row r="5" spans="1:8" x14ac:dyDescent="0.25">
      <c r="A5" s="664" t="s">
        <v>8</v>
      </c>
      <c r="B5" s="665"/>
      <c r="C5" s="665"/>
      <c r="D5" s="665"/>
      <c r="E5" s="665"/>
      <c r="F5" s="665"/>
      <c r="G5" s="665"/>
      <c r="H5" s="666"/>
    </row>
    <row r="6" spans="1:8" ht="96.75" customHeight="1" x14ac:dyDescent="0.25">
      <c r="A6" s="667" t="s">
        <v>72</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t="s">
        <v>145</v>
      </c>
      <c r="B9" s="9">
        <v>1</v>
      </c>
      <c r="C9" s="675" t="s">
        <v>155</v>
      </c>
      <c r="D9" s="676"/>
      <c r="E9" s="10" t="s">
        <v>156</v>
      </c>
      <c r="F9" s="9">
        <v>1</v>
      </c>
      <c r="G9" s="675" t="s">
        <v>158</v>
      </c>
      <c r="H9" s="681"/>
    </row>
    <row r="10" spans="1:8" ht="25.5" x14ac:dyDescent="0.25">
      <c r="A10" s="8" t="s">
        <v>157</v>
      </c>
      <c r="B10" s="9">
        <v>1</v>
      </c>
      <c r="C10" s="677" t="s">
        <v>158</v>
      </c>
      <c r="D10" s="678"/>
      <c r="E10" s="10" t="s">
        <v>159</v>
      </c>
      <c r="F10" s="9">
        <v>1</v>
      </c>
      <c r="G10" s="682" t="s">
        <v>15</v>
      </c>
      <c r="H10" s="683"/>
    </row>
    <row r="11" spans="1:8" x14ac:dyDescent="0.25">
      <c r="A11" s="12" t="s">
        <v>16</v>
      </c>
      <c r="B11" s="13"/>
      <c r="C11" s="13"/>
      <c r="D11" s="13"/>
      <c r="E11" s="13"/>
      <c r="F11" s="13"/>
      <c r="G11" s="13"/>
      <c r="H11" s="14"/>
    </row>
    <row r="12" spans="1:8" x14ac:dyDescent="0.25">
      <c r="A12" s="687" t="s">
        <v>160</v>
      </c>
      <c r="B12" s="688"/>
      <c r="C12" s="688"/>
      <c r="D12" s="688"/>
      <c r="E12" s="688"/>
      <c r="F12" s="688"/>
      <c r="G12" s="688"/>
      <c r="H12" s="689"/>
    </row>
    <row r="13" spans="1:8" x14ac:dyDescent="0.25">
      <c r="A13" s="690"/>
      <c r="B13" s="691"/>
      <c r="C13" s="691"/>
      <c r="D13" s="691"/>
      <c r="E13" s="691"/>
      <c r="F13" s="691"/>
      <c r="G13" s="691"/>
      <c r="H13" s="692"/>
    </row>
    <row r="14" spans="1:8" x14ac:dyDescent="0.25">
      <c r="A14" s="693"/>
      <c r="B14" s="694"/>
      <c r="C14" s="694"/>
      <c r="D14" s="694"/>
      <c r="E14" s="694"/>
      <c r="F14" s="694"/>
      <c r="G14" s="694"/>
      <c r="H14" s="695"/>
    </row>
    <row r="15" spans="1:8" x14ac:dyDescent="0.25">
      <c r="A15" s="12" t="s">
        <v>17</v>
      </c>
      <c r="B15" s="21"/>
      <c r="C15" s="21"/>
      <c r="D15" s="21"/>
      <c r="E15" s="21"/>
      <c r="F15" s="21"/>
      <c r="G15" s="21"/>
      <c r="H15" s="22"/>
    </row>
    <row r="16" spans="1:8" x14ac:dyDescent="0.25">
      <c r="A16" s="23" t="s">
        <v>18</v>
      </c>
      <c r="B16" s="24" t="s">
        <v>3</v>
      </c>
      <c r="C16" s="16"/>
      <c r="D16" s="23" t="s">
        <v>18</v>
      </c>
      <c r="E16" s="24" t="s">
        <v>3</v>
      </c>
      <c r="F16" s="16"/>
      <c r="G16" s="16"/>
      <c r="H16" s="17"/>
    </row>
    <row r="17" spans="1:8" x14ac:dyDescent="0.25">
      <c r="A17" s="102" t="s">
        <v>147</v>
      </c>
      <c r="B17" s="87">
        <f>E4</f>
        <v>8</v>
      </c>
      <c r="C17" s="57"/>
      <c r="D17" s="58"/>
      <c r="E17" s="56"/>
      <c r="F17" s="57"/>
      <c r="G17" s="59"/>
      <c r="H17" s="60"/>
    </row>
    <row r="18" spans="1:8" x14ac:dyDescent="0.25">
      <c r="A18" s="105" t="s">
        <v>149</v>
      </c>
      <c r="B18" s="90"/>
      <c r="C18" s="62"/>
      <c r="D18" s="63"/>
      <c r="E18" s="56"/>
      <c r="F18" s="62"/>
      <c r="G18" s="62"/>
      <c r="H18" s="64"/>
    </row>
    <row r="19" spans="1:8" ht="30" x14ac:dyDescent="0.25">
      <c r="A19" s="103" t="s">
        <v>148</v>
      </c>
      <c r="B19" s="56">
        <v>3</v>
      </c>
      <c r="C19" s="62"/>
      <c r="D19" s="63"/>
      <c r="E19" s="56"/>
      <c r="F19" s="62"/>
      <c r="G19" s="62"/>
      <c r="H19" s="64"/>
    </row>
    <row r="20" spans="1:8" x14ac:dyDescent="0.25">
      <c r="A20" s="65" t="s">
        <v>151</v>
      </c>
      <c r="B20" s="107">
        <f>B19*B17</f>
        <v>24</v>
      </c>
      <c r="C20" s="62"/>
      <c r="D20" s="63"/>
      <c r="E20" s="56"/>
      <c r="F20" s="62"/>
      <c r="G20" s="62"/>
      <c r="H20" s="64"/>
    </row>
    <row r="21" spans="1:8" x14ac:dyDescent="0.25">
      <c r="A21" s="108" t="s">
        <v>150</v>
      </c>
      <c r="B21" s="90"/>
      <c r="C21" s="62"/>
      <c r="D21" s="65"/>
      <c r="E21" s="56"/>
      <c r="F21" s="62"/>
      <c r="G21" s="62"/>
      <c r="H21" s="64"/>
    </row>
    <row r="22" spans="1:8" ht="30" x14ac:dyDescent="0.25">
      <c r="A22" s="103" t="s">
        <v>148</v>
      </c>
      <c r="B22" s="56">
        <v>10</v>
      </c>
      <c r="C22" s="62"/>
      <c r="D22" s="66"/>
      <c r="E22" s="56"/>
      <c r="F22" s="62"/>
      <c r="G22" s="67"/>
      <c r="H22" s="68"/>
    </row>
    <row r="23" spans="1:8" x14ac:dyDescent="0.25">
      <c r="A23" s="65" t="s">
        <v>151</v>
      </c>
      <c r="B23" s="106">
        <f>B22*B17</f>
        <v>80</v>
      </c>
      <c r="C23" s="62"/>
      <c r="D23" s="63"/>
      <c r="E23" s="56"/>
      <c r="F23" s="62"/>
      <c r="G23" s="71"/>
      <c r="H23" s="72"/>
    </row>
    <row r="24" spans="1:8" x14ac:dyDescent="0.25">
      <c r="A24" s="65"/>
      <c r="B24" s="56"/>
      <c r="C24" s="62"/>
      <c r="D24" s="66"/>
      <c r="E24" s="56"/>
      <c r="F24" s="62"/>
      <c r="G24" s="71"/>
      <c r="H24" s="73"/>
    </row>
    <row r="25" spans="1:8" ht="26.25" x14ac:dyDescent="0.25">
      <c r="A25" s="109" t="s">
        <v>152</v>
      </c>
      <c r="B25" s="114">
        <f>B20+B23</f>
        <v>104</v>
      </c>
      <c r="C25" s="62"/>
      <c r="D25" s="65"/>
      <c r="E25" s="74"/>
      <c r="F25" s="62"/>
      <c r="G25" s="75"/>
      <c r="H25" s="76"/>
    </row>
    <row r="26" spans="1:8" x14ac:dyDescent="0.25">
      <c r="A26" s="65"/>
      <c r="B26" s="115">
        <f>B25/60/24</f>
        <v>7.2222222222222229E-2</v>
      </c>
      <c r="C26" s="62"/>
      <c r="D26" s="65"/>
      <c r="E26" s="74"/>
      <c r="F26" s="62"/>
      <c r="G26" s="62"/>
      <c r="H26" s="64"/>
    </row>
    <row r="27" spans="1:8" x14ac:dyDescent="0.25">
      <c r="A27" s="65"/>
      <c r="B27" s="56"/>
      <c r="C27" s="62"/>
      <c r="D27" s="65"/>
      <c r="E27" s="74"/>
      <c r="F27" s="62"/>
      <c r="G27" s="62"/>
      <c r="H27" s="64"/>
    </row>
    <row r="28" spans="1:8" x14ac:dyDescent="0.25">
      <c r="A28" s="38" t="s">
        <v>63</v>
      </c>
      <c r="B28" s="39"/>
      <c r="C28" s="39"/>
      <c r="D28" s="39"/>
      <c r="E28" s="39"/>
      <c r="F28" s="679" t="s">
        <v>64</v>
      </c>
      <c r="G28" s="679"/>
      <c r="H28" s="680"/>
    </row>
    <row r="29" spans="1:8" ht="25.5" x14ac:dyDescent="0.25">
      <c r="A29" s="40" t="s">
        <v>11</v>
      </c>
      <c r="B29" s="41" t="s">
        <v>12</v>
      </c>
      <c r="C29" s="41" t="s">
        <v>4</v>
      </c>
      <c r="D29" s="41" t="s">
        <v>65</v>
      </c>
      <c r="E29" s="42" t="s">
        <v>66</v>
      </c>
      <c r="F29" s="43" t="s">
        <v>67</v>
      </c>
      <c r="G29" s="43" t="s">
        <v>68</v>
      </c>
      <c r="H29" s="44" t="s">
        <v>69</v>
      </c>
    </row>
    <row r="30" spans="1:8" x14ac:dyDescent="0.25">
      <c r="A30" s="45"/>
      <c r="B30" s="9"/>
      <c r="C30" s="46"/>
      <c r="D30" s="9"/>
      <c r="E30" s="47"/>
      <c r="F30" s="29"/>
      <c r="G30" s="28"/>
      <c r="H30" s="48"/>
    </row>
    <row r="31" spans="1:8" ht="15.75" thickBot="1" x14ac:dyDescent="0.3">
      <c r="A31" s="49"/>
      <c r="B31" s="50"/>
      <c r="C31" s="51"/>
      <c r="D31" s="50" t="str">
        <f>IF(A31="","",VLOOKUP(A31,$O$3:$P$13,2,FALSE))</f>
        <v/>
      </c>
      <c r="E31" s="52" t="str">
        <f>IF(A31="","",B31*D31)</f>
        <v/>
      </c>
      <c r="F31" s="53"/>
      <c r="G31" s="53"/>
      <c r="H31" s="54"/>
    </row>
  </sheetData>
  <mergeCells count="18">
    <mergeCell ref="C9:D9"/>
    <mergeCell ref="C10:D10"/>
    <mergeCell ref="F28:H28"/>
    <mergeCell ref="G9:H9"/>
    <mergeCell ref="G10:H10"/>
    <mergeCell ref="A12:H14"/>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90"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pageSetUpPr fitToPage="1"/>
  </sheetPr>
  <dimension ref="A1:L44"/>
  <sheetViews>
    <sheetView zoomScale="40" zoomScaleNormal="40" workbookViewId="0">
      <selection activeCell="G4" sqref="G4"/>
    </sheetView>
  </sheetViews>
  <sheetFormatPr baseColWidth="10" defaultRowHeight="15" x14ac:dyDescent="0.25"/>
  <cols>
    <col min="1" max="1" width="18" customWidth="1"/>
    <col min="4" max="4" width="19.140625" customWidth="1"/>
    <col min="5" max="5" width="12" bestFit="1" customWidth="1"/>
    <col min="6" max="6" width="15.5703125" bestFit="1" customWidth="1"/>
    <col min="7" max="7" width="10.42578125" bestFit="1" customWidth="1"/>
    <col min="8" max="8" width="23.28515625" customWidth="1"/>
  </cols>
  <sheetData>
    <row r="1" spans="1:8" ht="15.75" x14ac:dyDescent="0.25">
      <c r="A1" s="646" t="s">
        <v>0</v>
      </c>
      <c r="B1" s="647"/>
      <c r="C1" s="648"/>
      <c r="D1" s="646" t="s">
        <v>1</v>
      </c>
      <c r="E1" s="647"/>
      <c r="F1" s="647"/>
      <c r="G1" s="647"/>
      <c r="H1" s="649"/>
    </row>
    <row r="2" spans="1:8" ht="33.75" customHeight="1" thickBot="1" x14ac:dyDescent="0.3">
      <c r="A2" s="650" t="s">
        <v>70</v>
      </c>
      <c r="B2" s="651"/>
      <c r="C2" s="652"/>
      <c r="D2" s="684" t="s">
        <v>73</v>
      </c>
      <c r="E2" s="685"/>
      <c r="F2" s="685"/>
      <c r="G2" s="685"/>
      <c r="H2" s="686"/>
    </row>
    <row r="3" spans="1:8" ht="15" customHeight="1" x14ac:dyDescent="0.25">
      <c r="A3" s="656" t="s">
        <v>2</v>
      </c>
      <c r="B3" s="658"/>
      <c r="C3" s="659"/>
      <c r="D3" s="660"/>
      <c r="E3" s="1" t="s">
        <v>3</v>
      </c>
      <c r="F3" s="1" t="s">
        <v>4</v>
      </c>
      <c r="G3" s="1" t="s">
        <v>5</v>
      </c>
      <c r="H3" s="2" t="s">
        <v>6</v>
      </c>
    </row>
    <row r="4" spans="1:8" ht="16.5" thickBot="1" x14ac:dyDescent="0.3">
      <c r="A4" s="657"/>
      <c r="B4" s="661"/>
      <c r="C4" s="662"/>
      <c r="D4" s="663"/>
      <c r="E4" s="3">
        <v>223.8</v>
      </c>
      <c r="F4" s="85" t="s">
        <v>7</v>
      </c>
      <c r="G4" s="3" t="s">
        <v>139</v>
      </c>
      <c r="H4" s="4" t="s">
        <v>138</v>
      </c>
    </row>
    <row r="5" spans="1:8" x14ac:dyDescent="0.25">
      <c r="A5" s="664" t="s">
        <v>8</v>
      </c>
      <c r="B5" s="665"/>
      <c r="C5" s="665"/>
      <c r="D5" s="665"/>
      <c r="E5" s="665"/>
      <c r="F5" s="665"/>
      <c r="G5" s="665"/>
      <c r="H5" s="666"/>
    </row>
    <row r="6" spans="1:8" ht="76.5" customHeight="1" x14ac:dyDescent="0.25">
      <c r="A6" s="667" t="s">
        <v>74</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t="s">
        <v>143</v>
      </c>
      <c r="B9" s="9">
        <v>5</v>
      </c>
      <c r="C9" s="675" t="s">
        <v>144</v>
      </c>
      <c r="D9" s="676"/>
      <c r="E9" s="10" t="s">
        <v>145</v>
      </c>
      <c r="F9" s="9">
        <v>1</v>
      </c>
      <c r="G9" s="696" t="s">
        <v>146</v>
      </c>
      <c r="H9" s="697"/>
    </row>
    <row r="10" spans="1:8" x14ac:dyDescent="0.25">
      <c r="A10" s="8"/>
      <c r="B10" s="9"/>
      <c r="C10" s="677"/>
      <c r="D10" s="678"/>
      <c r="E10" s="10"/>
      <c r="F10" s="9"/>
      <c r="G10" s="682"/>
      <c r="H10" s="683"/>
    </row>
    <row r="11" spans="1:8" x14ac:dyDescent="0.25">
      <c r="A11" s="12" t="s">
        <v>16</v>
      </c>
      <c r="B11" s="13"/>
      <c r="C11" s="13"/>
      <c r="D11" s="13"/>
      <c r="E11" s="13"/>
      <c r="F11" s="13"/>
      <c r="G11" s="13"/>
      <c r="H11" s="14"/>
    </row>
    <row r="12" spans="1:8" x14ac:dyDescent="0.25">
      <c r="A12" s="687" t="s">
        <v>187</v>
      </c>
      <c r="B12" s="688"/>
      <c r="C12" s="688"/>
      <c r="D12" s="688"/>
      <c r="E12" s="688"/>
      <c r="F12" s="688"/>
      <c r="G12" s="688"/>
      <c r="H12" s="689"/>
    </row>
    <row r="13" spans="1:8" x14ac:dyDescent="0.25">
      <c r="A13" s="690"/>
      <c r="B13" s="691"/>
      <c r="C13" s="691"/>
      <c r="D13" s="691"/>
      <c r="E13" s="691"/>
      <c r="F13" s="691"/>
      <c r="G13" s="691"/>
      <c r="H13" s="692"/>
    </row>
    <row r="14" spans="1:8" x14ac:dyDescent="0.25">
      <c r="A14" s="693"/>
      <c r="B14" s="694"/>
      <c r="C14" s="694"/>
      <c r="D14" s="694"/>
      <c r="E14" s="694"/>
      <c r="F14" s="694"/>
      <c r="G14" s="694"/>
      <c r="H14" s="695"/>
    </row>
    <row r="15" spans="1:8" x14ac:dyDescent="0.25">
      <c r="A15" s="12" t="s">
        <v>17</v>
      </c>
      <c r="B15" s="21"/>
      <c r="C15" s="21"/>
      <c r="D15" s="21"/>
      <c r="E15" s="21"/>
      <c r="F15" s="21"/>
      <c r="G15" s="21"/>
      <c r="H15" s="22"/>
    </row>
    <row r="16" spans="1:8" x14ac:dyDescent="0.25">
      <c r="A16" s="23" t="s">
        <v>18</v>
      </c>
      <c r="B16" s="24" t="s">
        <v>3</v>
      </c>
      <c r="C16" s="16"/>
      <c r="D16" s="23" t="s">
        <v>18</v>
      </c>
      <c r="E16" s="24" t="s">
        <v>3</v>
      </c>
      <c r="F16" s="16"/>
      <c r="G16" s="16"/>
      <c r="H16" s="17"/>
    </row>
    <row r="17" spans="1:12" x14ac:dyDescent="0.25">
      <c r="A17" s="55" t="s">
        <v>129</v>
      </c>
      <c r="B17" s="87">
        <f t="shared" ref="B17" si="0">E4</f>
        <v>223.8</v>
      </c>
      <c r="C17" s="57"/>
      <c r="D17" s="112" t="s">
        <v>20</v>
      </c>
      <c r="E17" s="94"/>
      <c r="F17" s="57"/>
      <c r="G17" s="59"/>
      <c r="H17" s="60"/>
    </row>
    <row r="18" spans="1:12" x14ac:dyDescent="0.25">
      <c r="A18" s="61" t="s">
        <v>134</v>
      </c>
      <c r="B18" s="56">
        <v>0.2</v>
      </c>
      <c r="C18" s="62"/>
      <c r="D18" s="27" t="s">
        <v>22</v>
      </c>
      <c r="E18" s="25">
        <v>25</v>
      </c>
      <c r="F18" s="62"/>
      <c r="G18" s="62"/>
      <c r="H18" s="64"/>
    </row>
    <row r="19" spans="1:12" x14ac:dyDescent="0.25">
      <c r="A19" s="55" t="s">
        <v>135</v>
      </c>
      <c r="B19" s="56">
        <f>B18*B17</f>
        <v>44.760000000000005</v>
      </c>
      <c r="C19" s="62"/>
      <c r="D19" s="27" t="s">
        <v>24</v>
      </c>
      <c r="E19" s="25">
        <v>2.5</v>
      </c>
      <c r="F19" s="62"/>
      <c r="G19" s="62"/>
      <c r="H19" s="64"/>
    </row>
    <row r="20" spans="1:12" x14ac:dyDescent="0.25">
      <c r="A20" s="93" t="s">
        <v>130</v>
      </c>
      <c r="B20" s="94"/>
      <c r="C20" s="62"/>
      <c r="D20" s="27" t="s">
        <v>26</v>
      </c>
      <c r="E20" s="25">
        <f>E18/E19</f>
        <v>10</v>
      </c>
      <c r="F20" s="62"/>
      <c r="G20" s="62"/>
      <c r="H20" s="64"/>
    </row>
    <row r="21" spans="1:12" x14ac:dyDescent="0.25">
      <c r="A21" s="26" t="s">
        <v>27</v>
      </c>
      <c r="B21" s="25">
        <v>1000</v>
      </c>
      <c r="C21" s="62"/>
      <c r="D21" s="27" t="s">
        <v>28</v>
      </c>
      <c r="E21" s="25">
        <f>E20/B22</f>
        <v>10</v>
      </c>
      <c r="F21" s="62"/>
      <c r="G21" s="62"/>
      <c r="H21" s="64"/>
    </row>
    <row r="22" spans="1:12" x14ac:dyDescent="0.25">
      <c r="A22" s="26" t="s">
        <v>29</v>
      </c>
      <c r="B22" s="25">
        <f>B21/1000</f>
        <v>1</v>
      </c>
      <c r="C22" s="62"/>
      <c r="D22" s="97" t="s">
        <v>30</v>
      </c>
      <c r="E22" s="25">
        <f>ROUNDUP(E21,0)</f>
        <v>10</v>
      </c>
      <c r="F22" s="62"/>
      <c r="G22" s="67"/>
      <c r="H22" s="68"/>
    </row>
    <row r="23" spans="1:12" ht="26.25" x14ac:dyDescent="0.25">
      <c r="A23" s="27" t="s">
        <v>131</v>
      </c>
      <c r="B23" s="25">
        <f>B19/B22</f>
        <v>44.760000000000005</v>
      </c>
      <c r="C23" s="62"/>
      <c r="D23" s="27" t="s">
        <v>32</v>
      </c>
      <c r="E23" s="25">
        <f>E22*B31</f>
        <v>373.33333333333326</v>
      </c>
      <c r="F23" s="62"/>
      <c r="G23" s="71"/>
      <c r="H23" s="72"/>
    </row>
    <row r="24" spans="1:12" x14ac:dyDescent="0.25">
      <c r="A24" s="26" t="s">
        <v>33</v>
      </c>
      <c r="B24" s="25">
        <v>10</v>
      </c>
      <c r="C24" s="62"/>
      <c r="D24" s="97" t="s">
        <v>34</v>
      </c>
      <c r="E24" s="25">
        <f>E23/60</f>
        <v>6.2222222222222205</v>
      </c>
      <c r="F24" s="62"/>
      <c r="G24" s="71"/>
      <c r="H24" s="73"/>
    </row>
    <row r="25" spans="1:12" x14ac:dyDescent="0.25">
      <c r="A25" s="26" t="s">
        <v>35</v>
      </c>
      <c r="B25" s="25">
        <v>6</v>
      </c>
      <c r="C25" s="62"/>
      <c r="D25" s="27" t="s">
        <v>36</v>
      </c>
      <c r="E25" s="30">
        <f>+G43</f>
        <v>27</v>
      </c>
      <c r="F25" s="62"/>
      <c r="G25" s="75"/>
      <c r="H25" s="76"/>
    </row>
    <row r="26" spans="1:12" x14ac:dyDescent="0.25">
      <c r="A26" s="26" t="s">
        <v>37</v>
      </c>
      <c r="B26" s="25">
        <v>6</v>
      </c>
      <c r="C26" s="62"/>
      <c r="D26" s="27" t="s">
        <v>38</v>
      </c>
      <c r="E26" s="30">
        <v>50</v>
      </c>
      <c r="F26" s="62"/>
      <c r="G26" s="62"/>
      <c r="H26" s="64"/>
    </row>
    <row r="27" spans="1:12" ht="26.25" x14ac:dyDescent="0.25">
      <c r="A27" s="26" t="s">
        <v>39</v>
      </c>
      <c r="B27" s="25">
        <v>6</v>
      </c>
      <c r="C27" s="62"/>
      <c r="D27" s="27" t="s">
        <v>40</v>
      </c>
      <c r="E27" s="30">
        <f>E25/E26*60</f>
        <v>32.400000000000006</v>
      </c>
      <c r="F27" s="62"/>
      <c r="G27" s="62"/>
      <c r="H27" s="64"/>
    </row>
    <row r="28" spans="1:12" x14ac:dyDescent="0.25">
      <c r="A28" s="26" t="s">
        <v>41</v>
      </c>
      <c r="B28" s="25">
        <f>SUM(B24:B27)</f>
        <v>28</v>
      </c>
      <c r="C28" s="62"/>
      <c r="D28" s="27" t="s">
        <v>42</v>
      </c>
      <c r="E28" s="25">
        <f>E24</f>
        <v>6.2222222222222205</v>
      </c>
      <c r="F28" s="62"/>
      <c r="G28" s="62"/>
      <c r="H28" s="64"/>
    </row>
    <row r="29" spans="1:12" x14ac:dyDescent="0.25">
      <c r="A29" s="27" t="s">
        <v>43</v>
      </c>
      <c r="B29" s="31">
        <f>60/80</f>
        <v>0.75</v>
      </c>
      <c r="C29" s="62"/>
      <c r="D29" s="27" t="s">
        <v>44</v>
      </c>
      <c r="E29" s="25">
        <f>E27</f>
        <v>32.400000000000006</v>
      </c>
      <c r="F29" s="62"/>
      <c r="G29" s="62"/>
      <c r="H29" s="64"/>
      <c r="L29" s="81"/>
    </row>
    <row r="30" spans="1:12" x14ac:dyDescent="0.25">
      <c r="A30" s="95" t="s">
        <v>45</v>
      </c>
      <c r="B30" s="32">
        <f>80/60</f>
        <v>1.3333333333333333</v>
      </c>
      <c r="C30" s="62"/>
      <c r="D30" s="27" t="s">
        <v>46</v>
      </c>
      <c r="E30" s="25">
        <v>5</v>
      </c>
      <c r="F30" s="62"/>
      <c r="G30" s="62"/>
      <c r="H30" s="64"/>
      <c r="K30" s="101"/>
    </row>
    <row r="31" spans="1:12" x14ac:dyDescent="0.25">
      <c r="A31" s="27" t="s">
        <v>47</v>
      </c>
      <c r="B31" s="25">
        <f>B28*B30</f>
        <v>37.333333333333329</v>
      </c>
      <c r="C31" s="62"/>
      <c r="D31" s="27" t="s">
        <v>48</v>
      </c>
      <c r="E31" s="25">
        <f>E27</f>
        <v>32.400000000000006</v>
      </c>
      <c r="F31" s="62"/>
      <c r="G31" s="62"/>
      <c r="H31" s="64"/>
    </row>
    <row r="32" spans="1:12" x14ac:dyDescent="0.25">
      <c r="A32" s="27" t="s">
        <v>49</v>
      </c>
      <c r="B32" s="33">
        <f>60/B31</f>
        <v>1.6071428571428574</v>
      </c>
      <c r="C32" s="62"/>
      <c r="D32" s="27" t="s">
        <v>50</v>
      </c>
      <c r="E32" s="25">
        <f>SUM(E28:E31)</f>
        <v>76.02222222222224</v>
      </c>
      <c r="F32" s="62"/>
      <c r="G32" s="62"/>
      <c r="H32" s="64"/>
    </row>
    <row r="33" spans="1:8" ht="26.25" x14ac:dyDescent="0.25">
      <c r="A33" s="27" t="s">
        <v>51</v>
      </c>
      <c r="B33" s="34">
        <f>B32*60</f>
        <v>96.428571428571445</v>
      </c>
      <c r="C33" s="62"/>
      <c r="D33" s="27" t="s">
        <v>52</v>
      </c>
      <c r="E33" s="25">
        <f>E32/E28</f>
        <v>12.217857142857149</v>
      </c>
      <c r="F33" s="62"/>
      <c r="G33" s="62"/>
      <c r="H33" s="64"/>
    </row>
    <row r="34" spans="1:8" x14ac:dyDescent="0.25">
      <c r="A34" s="27" t="s">
        <v>53</v>
      </c>
      <c r="B34" s="25">
        <f>B33*B22</f>
        <v>96.428571428571445</v>
      </c>
      <c r="C34" s="62"/>
      <c r="D34" s="97" t="s">
        <v>54</v>
      </c>
      <c r="E34" s="25">
        <f>ROUNDUP(E33,0)</f>
        <v>13</v>
      </c>
      <c r="F34" s="62"/>
      <c r="G34" s="62"/>
      <c r="H34" s="64"/>
    </row>
    <row r="35" spans="1:8" ht="26.25" x14ac:dyDescent="0.25">
      <c r="A35" s="27" t="s">
        <v>55</v>
      </c>
      <c r="B35" s="25">
        <f>B34*B29</f>
        <v>72.321428571428584</v>
      </c>
      <c r="C35" s="62"/>
      <c r="D35" s="27" t="s">
        <v>56</v>
      </c>
      <c r="E35" s="32">
        <f>E34*E20</f>
        <v>130</v>
      </c>
      <c r="F35" s="62"/>
      <c r="G35" s="62"/>
      <c r="H35" s="64"/>
    </row>
    <row r="36" spans="1:8" ht="26.25" x14ac:dyDescent="0.25">
      <c r="A36" s="96" t="s">
        <v>132</v>
      </c>
      <c r="B36" s="35">
        <f>B19/B35</f>
        <v>0.61890370370370362</v>
      </c>
      <c r="C36" s="62"/>
      <c r="D36" s="27" t="s">
        <v>58</v>
      </c>
      <c r="E36" s="32">
        <f>B19/E35</f>
        <v>0.34430769230769237</v>
      </c>
      <c r="F36" s="62"/>
      <c r="G36" s="62"/>
      <c r="H36" s="64"/>
    </row>
    <row r="37" spans="1:8" ht="26.25" x14ac:dyDescent="0.25">
      <c r="A37" s="110" t="s">
        <v>133</v>
      </c>
      <c r="B37" s="111">
        <f>B36/24</f>
        <v>2.578765432098765E-2</v>
      </c>
      <c r="C37" s="62"/>
      <c r="D37" s="97" t="s">
        <v>54</v>
      </c>
      <c r="E37" s="25">
        <f>ROUNDUP(E36,0)</f>
        <v>1</v>
      </c>
      <c r="F37" s="62"/>
      <c r="G37" s="62"/>
      <c r="H37" s="64"/>
    </row>
    <row r="38" spans="1:8" ht="26.25" x14ac:dyDescent="0.25">
      <c r="A38" s="81"/>
      <c r="B38" s="62"/>
      <c r="C38" s="62"/>
      <c r="D38" s="95" t="s">
        <v>60</v>
      </c>
      <c r="E38" s="25">
        <f>E32*E39</f>
        <v>380.1111111111112</v>
      </c>
      <c r="F38" s="62"/>
      <c r="G38" s="81"/>
      <c r="H38" s="64"/>
    </row>
    <row r="39" spans="1:8" ht="26.25" x14ac:dyDescent="0.25">
      <c r="A39" s="82"/>
      <c r="B39" s="62"/>
      <c r="C39" s="62"/>
      <c r="D39" s="98" t="s">
        <v>61</v>
      </c>
      <c r="E39" s="37">
        <f>ROUNDUP(B19/E20,0)</f>
        <v>5</v>
      </c>
      <c r="F39" s="62"/>
      <c r="G39" s="62"/>
      <c r="H39" s="64"/>
    </row>
    <row r="40" spans="1:8" ht="26.25" x14ac:dyDescent="0.25">
      <c r="A40" s="81"/>
      <c r="B40" s="81"/>
      <c r="C40" s="62"/>
      <c r="D40" s="99" t="s">
        <v>62</v>
      </c>
      <c r="E40" s="36">
        <f>E38/60/24</f>
        <v>0.26396604938271612</v>
      </c>
      <c r="F40" s="62"/>
      <c r="G40" s="62"/>
      <c r="H40" s="64"/>
    </row>
    <row r="41" spans="1:8" x14ac:dyDescent="0.25">
      <c r="A41" s="38" t="s">
        <v>63</v>
      </c>
      <c r="B41" s="39"/>
      <c r="C41" s="39"/>
      <c r="D41" s="39"/>
      <c r="E41" s="39"/>
      <c r="F41" s="679" t="s">
        <v>64</v>
      </c>
      <c r="G41" s="679"/>
      <c r="H41" s="680"/>
    </row>
    <row r="42" spans="1:8" ht="25.5" x14ac:dyDescent="0.25">
      <c r="A42" s="40" t="s">
        <v>11</v>
      </c>
      <c r="B42" s="41" t="s">
        <v>12</v>
      </c>
      <c r="C42" s="41" t="s">
        <v>4</v>
      </c>
      <c r="D42" s="41" t="s">
        <v>65</v>
      </c>
      <c r="E42" s="42" t="s">
        <v>66</v>
      </c>
      <c r="F42" s="43" t="s">
        <v>67</v>
      </c>
      <c r="G42" s="43" t="s">
        <v>68</v>
      </c>
      <c r="H42" s="44" t="s">
        <v>69</v>
      </c>
    </row>
    <row r="43" spans="1:8" ht="45" x14ac:dyDescent="0.25">
      <c r="A43" s="45" t="s">
        <v>136</v>
      </c>
      <c r="B43" s="9">
        <f>B19*E19</f>
        <v>111.9</v>
      </c>
      <c r="C43" s="46" t="s">
        <v>119</v>
      </c>
      <c r="D43" s="9">
        <v>3</v>
      </c>
      <c r="E43" s="47">
        <f>B43*D43</f>
        <v>335.70000000000005</v>
      </c>
      <c r="F43" s="100" t="s">
        <v>137</v>
      </c>
      <c r="G43" s="28">
        <v>27</v>
      </c>
      <c r="H43" s="48">
        <v>5</v>
      </c>
    </row>
    <row r="44" spans="1:8" ht="15.75" thickBot="1" x14ac:dyDescent="0.3">
      <c r="A44" s="49"/>
      <c r="B44" s="50"/>
      <c r="C44" s="51"/>
      <c r="D44" s="50" t="str">
        <f>IF(A44="","",VLOOKUP(A44,$O$3:$P$13,2,FALSE))</f>
        <v/>
      </c>
      <c r="E44" s="52" t="str">
        <f>IF(A44="","",B44*D44)</f>
        <v/>
      </c>
      <c r="F44" s="53"/>
      <c r="G44" s="53"/>
      <c r="H44" s="54"/>
    </row>
  </sheetData>
  <mergeCells count="18">
    <mergeCell ref="C9:D9"/>
    <mergeCell ref="C10:D10"/>
    <mergeCell ref="F41:H41"/>
    <mergeCell ref="G9:H9"/>
    <mergeCell ref="G10:H10"/>
    <mergeCell ref="A12:H14"/>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72"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pageSetUpPr fitToPage="1"/>
  </sheetPr>
  <dimension ref="A1:H28"/>
  <sheetViews>
    <sheetView workbookViewId="0">
      <selection activeCell="G4" sqref="G4"/>
    </sheetView>
  </sheetViews>
  <sheetFormatPr baseColWidth="10" defaultRowHeight="15" x14ac:dyDescent="0.25"/>
  <cols>
    <col min="1" max="1" width="17.42578125" customWidth="1"/>
    <col min="2" max="2" width="12.140625" bestFit="1"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75</v>
      </c>
      <c r="E2" s="654"/>
      <c r="F2" s="654"/>
      <c r="G2" s="654"/>
      <c r="H2" s="655"/>
    </row>
    <row r="3" spans="1:8" ht="15" customHeight="1" x14ac:dyDescent="0.25">
      <c r="A3" s="656" t="s">
        <v>2</v>
      </c>
      <c r="B3" s="658"/>
      <c r="C3" s="659"/>
      <c r="D3" s="660"/>
      <c r="E3" s="1" t="s">
        <v>3</v>
      </c>
      <c r="F3" s="1" t="s">
        <v>4</v>
      </c>
      <c r="G3" s="1" t="s">
        <v>5</v>
      </c>
      <c r="H3" s="2" t="s">
        <v>6</v>
      </c>
    </row>
    <row r="4" spans="1:8" ht="16.5" thickBot="1" x14ac:dyDescent="0.3">
      <c r="A4" s="657"/>
      <c r="B4" s="661"/>
      <c r="C4" s="662"/>
      <c r="D4" s="663"/>
      <c r="E4" s="3">
        <v>300</v>
      </c>
      <c r="F4" s="85" t="s">
        <v>530</v>
      </c>
      <c r="G4" s="3" t="s">
        <v>575</v>
      </c>
      <c r="H4" s="729">
        <f>B19</f>
        <v>0.20833333333333334</v>
      </c>
    </row>
    <row r="5" spans="1:8" x14ac:dyDescent="0.25">
      <c r="A5" s="664" t="s">
        <v>8</v>
      </c>
      <c r="B5" s="665"/>
      <c r="C5" s="665"/>
      <c r="D5" s="665"/>
      <c r="E5" s="665"/>
      <c r="F5" s="665"/>
      <c r="G5" s="665"/>
      <c r="H5" s="666"/>
    </row>
    <row r="6" spans="1:8" ht="69.75" customHeight="1" x14ac:dyDescent="0.25">
      <c r="A6" s="667" t="s">
        <v>76</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t="s">
        <v>140</v>
      </c>
      <c r="B9" s="9">
        <v>1</v>
      </c>
      <c r="C9" s="696" t="s">
        <v>141</v>
      </c>
      <c r="D9" s="698"/>
      <c r="E9" s="10" t="s">
        <v>127</v>
      </c>
      <c r="F9" s="9">
        <v>1</v>
      </c>
      <c r="G9" s="675" t="s">
        <v>128</v>
      </c>
      <c r="H9" s="681"/>
    </row>
    <row r="10" spans="1:8" x14ac:dyDescent="0.25">
      <c r="A10" s="8"/>
      <c r="B10" s="9"/>
      <c r="C10" s="677"/>
      <c r="D10" s="678"/>
      <c r="E10" s="10"/>
      <c r="F10" s="9"/>
      <c r="G10" s="682"/>
      <c r="H10" s="683"/>
    </row>
    <row r="11" spans="1:8" x14ac:dyDescent="0.25">
      <c r="A11" s="12" t="s">
        <v>16</v>
      </c>
      <c r="B11" s="13"/>
      <c r="C11" s="13"/>
      <c r="D11" s="13"/>
      <c r="E11" s="13"/>
      <c r="F11" s="13"/>
      <c r="G11" s="13"/>
      <c r="H11" s="14"/>
    </row>
    <row r="12" spans="1:8" ht="24.75" customHeight="1" x14ac:dyDescent="0.25">
      <c r="A12" s="726" t="s">
        <v>142</v>
      </c>
      <c r="B12" s="727"/>
      <c r="C12" s="727"/>
      <c r="D12" s="727"/>
      <c r="E12" s="727"/>
      <c r="F12" s="727"/>
      <c r="G12" s="727"/>
      <c r="H12" s="728"/>
    </row>
    <row r="13" spans="1:8" x14ac:dyDescent="0.25">
      <c r="A13" s="12" t="s">
        <v>17</v>
      </c>
      <c r="B13" s="21"/>
      <c r="C13" s="21"/>
      <c r="D13" s="21"/>
      <c r="E13" s="21"/>
      <c r="F13" s="21"/>
      <c r="G13" s="21"/>
      <c r="H13" s="22"/>
    </row>
    <row r="14" spans="1:8" x14ac:dyDescent="0.25">
      <c r="A14" s="23" t="s">
        <v>18</v>
      </c>
      <c r="B14" s="24" t="s">
        <v>3</v>
      </c>
      <c r="C14" s="16"/>
      <c r="D14" s="62"/>
      <c r="E14" s="62"/>
      <c r="F14" s="16"/>
      <c r="G14" s="16"/>
      <c r="H14" s="17"/>
    </row>
    <row r="15" spans="1:8" x14ac:dyDescent="0.25">
      <c r="A15" s="89" t="s">
        <v>123</v>
      </c>
      <c r="B15" s="92">
        <f>E4</f>
        <v>300</v>
      </c>
      <c r="C15" s="57"/>
      <c r="D15" s="62"/>
      <c r="E15" s="62"/>
      <c r="F15" s="57"/>
      <c r="G15" s="59"/>
      <c r="H15" s="60"/>
    </row>
    <row r="16" spans="1:8" x14ac:dyDescent="0.25">
      <c r="A16" s="88" t="s">
        <v>124</v>
      </c>
      <c r="B16" s="90"/>
      <c r="C16" s="62"/>
      <c r="D16" s="62"/>
      <c r="E16" s="62"/>
      <c r="F16" s="62"/>
      <c r="G16" s="62"/>
      <c r="H16" s="64"/>
    </row>
    <row r="17" spans="1:8" x14ac:dyDescent="0.25">
      <c r="A17" s="63" t="s">
        <v>125</v>
      </c>
      <c r="B17" s="56">
        <v>1</v>
      </c>
      <c r="C17" s="62"/>
      <c r="D17" s="62"/>
      <c r="E17" s="62"/>
      <c r="F17" s="62"/>
      <c r="G17" s="62"/>
      <c r="H17" s="64"/>
    </row>
    <row r="18" spans="1:8" ht="26.25" x14ac:dyDescent="0.25">
      <c r="A18" s="65" t="s">
        <v>126</v>
      </c>
      <c r="B18" s="56">
        <f>B17*B15</f>
        <v>300</v>
      </c>
      <c r="C18" s="62"/>
      <c r="D18" s="62"/>
      <c r="E18" s="62"/>
      <c r="F18" s="62"/>
      <c r="G18" s="62"/>
      <c r="H18" s="64"/>
    </row>
    <row r="19" spans="1:8" x14ac:dyDescent="0.25">
      <c r="A19" s="63"/>
      <c r="B19" s="113">
        <f>B18/60/24</f>
        <v>0.20833333333333334</v>
      </c>
      <c r="C19" s="62"/>
      <c r="D19" s="62"/>
      <c r="E19" s="62"/>
      <c r="F19" s="62"/>
      <c r="G19" s="62"/>
      <c r="H19" s="64"/>
    </row>
    <row r="20" spans="1:8" x14ac:dyDescent="0.25">
      <c r="A20" s="63" t="s">
        <v>574</v>
      </c>
      <c r="B20" s="56">
        <f>300/5</f>
        <v>60</v>
      </c>
      <c r="C20" s="62"/>
      <c r="D20" s="62"/>
      <c r="E20" s="62"/>
      <c r="F20" s="62"/>
      <c r="G20" s="62"/>
      <c r="H20" s="64"/>
    </row>
    <row r="21" spans="1:8" x14ac:dyDescent="0.25">
      <c r="A21" s="69"/>
      <c r="B21" s="70"/>
      <c r="C21" s="62"/>
      <c r="D21" s="62"/>
      <c r="E21" s="62"/>
      <c r="F21" s="62"/>
      <c r="G21" s="62"/>
      <c r="H21" s="64"/>
    </row>
    <row r="22" spans="1:8" x14ac:dyDescent="0.25">
      <c r="A22" s="81"/>
      <c r="B22" s="62"/>
      <c r="C22" s="62"/>
      <c r="D22" s="62"/>
      <c r="E22" s="62"/>
      <c r="F22" s="62"/>
      <c r="G22" s="81"/>
      <c r="H22" s="64"/>
    </row>
    <row r="23" spans="1:8" x14ac:dyDescent="0.25">
      <c r="A23" s="82"/>
      <c r="B23" s="62"/>
      <c r="C23" s="62"/>
      <c r="D23" s="62"/>
      <c r="E23" s="62"/>
      <c r="F23" s="62"/>
      <c r="G23" s="62"/>
      <c r="H23" s="64"/>
    </row>
    <row r="24" spans="1:8" x14ac:dyDescent="0.25">
      <c r="A24" s="81"/>
      <c r="B24" s="81"/>
      <c r="C24" s="62"/>
      <c r="D24" s="62"/>
      <c r="E24" s="62"/>
      <c r="F24" s="62"/>
      <c r="G24" s="62"/>
      <c r="H24" s="64"/>
    </row>
    <row r="25" spans="1:8" x14ac:dyDescent="0.25">
      <c r="A25" s="38" t="s">
        <v>63</v>
      </c>
      <c r="B25" s="39"/>
      <c r="C25" s="39"/>
      <c r="D25" s="39"/>
      <c r="E25" s="39"/>
      <c r="F25" s="679" t="s">
        <v>64</v>
      </c>
      <c r="G25" s="679"/>
      <c r="H25" s="680"/>
    </row>
    <row r="26" spans="1:8" ht="25.5" x14ac:dyDescent="0.25">
      <c r="A26" s="40" t="s">
        <v>11</v>
      </c>
      <c r="B26" s="41" t="s">
        <v>12</v>
      </c>
      <c r="C26" s="41" t="s">
        <v>4</v>
      </c>
      <c r="D26" s="41" t="s">
        <v>65</v>
      </c>
      <c r="E26" s="42" t="s">
        <v>66</v>
      </c>
      <c r="F26" s="43" t="s">
        <v>67</v>
      </c>
      <c r="G26" s="43" t="s">
        <v>68</v>
      </c>
      <c r="H26" s="44" t="s">
        <v>69</v>
      </c>
    </row>
    <row r="27" spans="1:8" x14ac:dyDescent="0.25">
      <c r="A27" s="45"/>
      <c r="B27" s="9"/>
      <c r="C27" s="46"/>
      <c r="D27" s="9"/>
      <c r="E27" s="47"/>
      <c r="F27" s="29"/>
      <c r="G27" s="28"/>
      <c r="H27" s="48"/>
    </row>
    <row r="28" spans="1:8" ht="15.75" thickBot="1" x14ac:dyDescent="0.3">
      <c r="A28" s="49"/>
      <c r="B28" s="50"/>
      <c r="C28" s="51"/>
      <c r="D28" s="50" t="str">
        <f>IF(A28="","",VLOOKUP(A28,$O$3:$P$12,2,FALSE))</f>
        <v/>
      </c>
      <c r="E28" s="52" t="str">
        <f>IF(A28="","",B28*D28)</f>
        <v/>
      </c>
      <c r="F28" s="53"/>
      <c r="G28" s="53"/>
      <c r="H28" s="54"/>
    </row>
  </sheetData>
  <mergeCells count="18">
    <mergeCell ref="C9:D9"/>
    <mergeCell ref="C10:D10"/>
    <mergeCell ref="F25:H25"/>
    <mergeCell ref="G9:H9"/>
    <mergeCell ref="G10:H10"/>
    <mergeCell ref="A12:H12"/>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8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pageSetUpPr fitToPage="1"/>
  </sheetPr>
  <dimension ref="A1:K41"/>
  <sheetViews>
    <sheetView zoomScale="55" zoomScaleNormal="55" workbookViewId="0">
      <selection activeCell="G4" sqref="G4"/>
    </sheetView>
  </sheetViews>
  <sheetFormatPr baseColWidth="10" defaultRowHeight="15" x14ac:dyDescent="0.25"/>
  <cols>
    <col min="1" max="1" width="19.42578125" customWidth="1"/>
    <col min="4" max="4" width="15.42578125" customWidth="1"/>
    <col min="6" max="6" width="28.28515625" customWidth="1"/>
    <col min="11" max="11" width="12.140625" bestFit="1"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78</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263.52</v>
      </c>
      <c r="F4" s="85" t="s">
        <v>7</v>
      </c>
      <c r="G4" s="3" t="s">
        <v>184</v>
      </c>
      <c r="H4" s="729">
        <f>E19</f>
        <v>2.1772222222222221E-2</v>
      </c>
    </row>
    <row r="5" spans="1:8" x14ac:dyDescent="0.25">
      <c r="A5" s="664" t="s">
        <v>8</v>
      </c>
      <c r="B5" s="665"/>
      <c r="C5" s="665"/>
      <c r="D5" s="665"/>
      <c r="E5" s="665"/>
      <c r="F5" s="665"/>
      <c r="G5" s="665"/>
      <c r="H5" s="666"/>
    </row>
    <row r="6" spans="1:8" ht="66" customHeight="1" x14ac:dyDescent="0.25">
      <c r="A6" s="667" t="s">
        <v>77</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t="s">
        <v>168</v>
      </c>
      <c r="B9" s="9">
        <v>1</v>
      </c>
      <c r="C9" s="675" t="s">
        <v>169</v>
      </c>
      <c r="D9" s="676"/>
      <c r="E9" s="10"/>
      <c r="F9" s="9"/>
      <c r="G9" s="675"/>
      <c r="H9" s="681"/>
    </row>
    <row r="10" spans="1:8" x14ac:dyDescent="0.25">
      <c r="A10" s="8" t="s">
        <v>143</v>
      </c>
      <c r="B10" s="9">
        <v>2</v>
      </c>
      <c r="C10" s="677" t="s">
        <v>180</v>
      </c>
      <c r="D10" s="678"/>
      <c r="E10" s="10"/>
      <c r="F10" s="9"/>
      <c r="G10" s="682"/>
      <c r="H10" s="683"/>
    </row>
    <row r="11" spans="1:8" x14ac:dyDescent="0.25">
      <c r="A11" s="12" t="s">
        <v>16</v>
      </c>
      <c r="B11" s="13"/>
      <c r="C11" s="13"/>
      <c r="D11" s="13"/>
      <c r="E11" s="13"/>
      <c r="F11" s="13"/>
      <c r="G11" s="13"/>
      <c r="H11" s="14"/>
    </row>
    <row r="12" spans="1:8" x14ac:dyDescent="0.25">
      <c r="A12" s="699" t="s">
        <v>183</v>
      </c>
      <c r="B12" s="700"/>
      <c r="C12" s="700"/>
      <c r="D12" s="700"/>
      <c r="E12" s="700"/>
      <c r="F12" s="700"/>
      <c r="G12" s="700"/>
      <c r="H12" s="701"/>
    </row>
    <row r="13" spans="1:8" x14ac:dyDescent="0.25">
      <c r="A13" s="702"/>
      <c r="B13" s="703"/>
      <c r="C13" s="703"/>
      <c r="D13" s="703"/>
      <c r="E13" s="703"/>
      <c r="F13" s="703"/>
      <c r="G13" s="703"/>
      <c r="H13" s="704"/>
    </row>
    <row r="14" spans="1:8" x14ac:dyDescent="0.25">
      <c r="A14" s="705"/>
      <c r="B14" s="706"/>
      <c r="C14" s="706"/>
      <c r="D14" s="706"/>
      <c r="E14" s="706"/>
      <c r="F14" s="706"/>
      <c r="G14" s="706"/>
      <c r="H14" s="707"/>
    </row>
    <row r="15" spans="1:8" x14ac:dyDescent="0.25">
      <c r="A15" s="12" t="s">
        <v>17</v>
      </c>
      <c r="B15" s="21"/>
      <c r="C15" s="21"/>
      <c r="D15" s="21"/>
      <c r="E15" s="21"/>
      <c r="F15" s="21"/>
      <c r="G15" s="21"/>
      <c r="H15" s="22"/>
    </row>
    <row r="16" spans="1:8" ht="15.75" thickBot="1" x14ac:dyDescent="0.3">
      <c r="A16" s="128" t="s">
        <v>18</v>
      </c>
      <c r="B16" s="129" t="s">
        <v>3</v>
      </c>
      <c r="C16" s="16"/>
      <c r="D16" s="23" t="s">
        <v>18</v>
      </c>
      <c r="E16" s="24" t="s">
        <v>3</v>
      </c>
      <c r="F16" s="16"/>
      <c r="G16" s="16"/>
      <c r="H16" s="17"/>
    </row>
    <row r="17" spans="1:11" ht="39.75" thickBot="1" x14ac:dyDescent="0.3">
      <c r="A17" s="123" t="s">
        <v>164</v>
      </c>
      <c r="B17" s="130"/>
      <c r="C17" s="57"/>
      <c r="D17" s="116" t="s">
        <v>178</v>
      </c>
      <c r="E17" s="117">
        <v>5</v>
      </c>
      <c r="F17" s="57"/>
      <c r="G17" s="59"/>
      <c r="H17" s="60"/>
    </row>
    <row r="18" spans="1:11" ht="15.75" thickBot="1" x14ac:dyDescent="0.3">
      <c r="A18" s="89" t="s">
        <v>165</v>
      </c>
      <c r="B18" s="92">
        <f>E4</f>
        <v>263.52</v>
      </c>
      <c r="C18" s="62"/>
      <c r="D18" s="78"/>
      <c r="E18" s="118">
        <f>E17/60/24</f>
        <v>3.472222222222222E-3</v>
      </c>
      <c r="F18" s="62"/>
      <c r="G18" s="62"/>
      <c r="H18" s="64"/>
    </row>
    <row r="19" spans="1:11" ht="15.75" thickBot="1" x14ac:dyDescent="0.3">
      <c r="A19" s="63" t="s">
        <v>166</v>
      </c>
      <c r="B19" s="56">
        <v>0.06</v>
      </c>
      <c r="C19" s="62"/>
      <c r="D19" s="119" t="s">
        <v>179</v>
      </c>
      <c r="E19" s="120">
        <f>E18+B29</f>
        <v>2.1772222222222221E-2</v>
      </c>
      <c r="F19" s="62"/>
      <c r="G19" s="62"/>
      <c r="H19" s="64"/>
      <c r="K19" s="81"/>
    </row>
    <row r="20" spans="1:11" x14ac:dyDescent="0.25">
      <c r="A20" s="69" t="s">
        <v>135</v>
      </c>
      <c r="B20" s="70">
        <f>B19*B18</f>
        <v>15.811199999999998</v>
      </c>
      <c r="C20" s="62"/>
      <c r="D20" s="62"/>
      <c r="E20" s="62"/>
      <c r="F20" s="62"/>
      <c r="G20" s="62"/>
      <c r="H20" s="64"/>
    </row>
    <row r="21" spans="1:11" x14ac:dyDescent="0.25">
      <c r="A21" s="63" t="s">
        <v>171</v>
      </c>
      <c r="B21" s="56">
        <v>2.5</v>
      </c>
      <c r="C21" s="62"/>
      <c r="D21" s="62"/>
      <c r="E21" s="62"/>
      <c r="F21" s="62"/>
      <c r="G21" s="62"/>
      <c r="H21" s="64"/>
    </row>
    <row r="22" spans="1:11" ht="15.75" thickBot="1" x14ac:dyDescent="0.3">
      <c r="A22" s="78" t="s">
        <v>172</v>
      </c>
      <c r="B22" s="79">
        <f>B21*B20</f>
        <v>39.527999999999992</v>
      </c>
      <c r="C22" s="62"/>
      <c r="D22" s="62"/>
      <c r="E22" s="62"/>
      <c r="F22" s="62"/>
      <c r="G22" s="62"/>
      <c r="H22" s="64"/>
    </row>
    <row r="23" spans="1:11" ht="15.75" thickBot="1" x14ac:dyDescent="0.3">
      <c r="A23" s="126" t="s">
        <v>161</v>
      </c>
      <c r="B23" s="127"/>
      <c r="C23" s="62"/>
      <c r="D23" s="62"/>
      <c r="E23" s="62"/>
      <c r="F23" s="62"/>
      <c r="G23" s="62"/>
      <c r="H23" s="64"/>
    </row>
    <row r="24" spans="1:11" x14ac:dyDescent="0.25">
      <c r="A24" s="125" t="s">
        <v>162</v>
      </c>
      <c r="B24" s="91">
        <v>5</v>
      </c>
      <c r="C24" s="62"/>
      <c r="D24" s="62"/>
      <c r="E24" s="62"/>
      <c r="F24" s="62"/>
      <c r="G24" s="62"/>
      <c r="H24" s="64"/>
    </row>
    <row r="25" spans="1:11" ht="30" x14ac:dyDescent="0.25">
      <c r="A25" s="102" t="s">
        <v>163</v>
      </c>
      <c r="B25" s="56">
        <v>2</v>
      </c>
      <c r="C25" s="62"/>
      <c r="D25" s="62"/>
      <c r="E25" s="62"/>
      <c r="F25" s="62"/>
      <c r="G25" s="62"/>
      <c r="H25" s="64"/>
    </row>
    <row r="26" spans="1:11" x14ac:dyDescent="0.25">
      <c r="A26" s="63" t="s">
        <v>167</v>
      </c>
      <c r="B26" s="56">
        <f>B25*B24</f>
        <v>10</v>
      </c>
      <c r="C26" s="62"/>
      <c r="D26" s="62"/>
      <c r="E26" s="62"/>
      <c r="F26" s="62"/>
      <c r="G26" s="62"/>
      <c r="H26" s="64"/>
    </row>
    <row r="27" spans="1:11" x14ac:dyDescent="0.25">
      <c r="A27" s="66" t="s">
        <v>170</v>
      </c>
      <c r="B27" s="56">
        <f>B26*B19</f>
        <v>0.6</v>
      </c>
      <c r="C27" s="62"/>
      <c r="D27" s="62"/>
      <c r="E27" s="62"/>
      <c r="F27" s="62"/>
      <c r="G27" s="62"/>
      <c r="H27" s="64"/>
    </row>
    <row r="28" spans="1:11" x14ac:dyDescent="0.25">
      <c r="A28" s="63" t="s">
        <v>173</v>
      </c>
      <c r="B28" s="56">
        <f>B18/B26</f>
        <v>26.351999999999997</v>
      </c>
      <c r="C28" s="62"/>
      <c r="D28" s="62"/>
      <c r="E28" s="62"/>
      <c r="F28" s="62"/>
      <c r="G28" s="62"/>
      <c r="H28" s="64"/>
    </row>
    <row r="29" spans="1:11" ht="15.75" thickBot="1" x14ac:dyDescent="0.3">
      <c r="A29" s="78"/>
      <c r="B29" s="118">
        <f>B28/60/24</f>
        <v>1.8299999999999997E-2</v>
      </c>
      <c r="C29" s="62"/>
      <c r="D29" s="62"/>
      <c r="E29" s="62"/>
      <c r="F29" s="62"/>
      <c r="G29" s="62"/>
      <c r="H29" s="64"/>
    </row>
    <row r="30" spans="1:11" ht="15.75" thickBot="1" x14ac:dyDescent="0.3">
      <c r="A30" s="123" t="s">
        <v>174</v>
      </c>
      <c r="B30" s="124"/>
      <c r="C30" s="62"/>
      <c r="D30" s="62"/>
      <c r="E30" s="62"/>
      <c r="F30" s="62"/>
      <c r="G30" s="62"/>
      <c r="H30" s="64"/>
    </row>
    <row r="31" spans="1:11" x14ac:dyDescent="0.25">
      <c r="A31" s="121" t="s">
        <v>175</v>
      </c>
      <c r="B31" s="122">
        <v>25</v>
      </c>
      <c r="C31" s="62"/>
      <c r="D31" s="62"/>
      <c r="E31" s="62"/>
      <c r="F31" s="62"/>
      <c r="G31" s="62"/>
      <c r="H31" s="64"/>
    </row>
    <row r="32" spans="1:11" x14ac:dyDescent="0.25">
      <c r="A32" s="66" t="s">
        <v>176</v>
      </c>
      <c r="B32" s="56">
        <f>B31/B21</f>
        <v>10</v>
      </c>
      <c r="C32" s="62"/>
      <c r="D32" s="62"/>
      <c r="E32" s="62"/>
      <c r="F32" s="62"/>
      <c r="G32" s="62"/>
      <c r="H32" s="64"/>
    </row>
    <row r="33" spans="1:8" x14ac:dyDescent="0.25">
      <c r="A33" s="63" t="s">
        <v>177</v>
      </c>
      <c r="B33" s="56">
        <f>B20/B32</f>
        <v>1.5811199999999999</v>
      </c>
      <c r="C33" s="62"/>
      <c r="D33" s="62"/>
      <c r="E33" s="62"/>
      <c r="F33" s="62"/>
      <c r="G33" s="62"/>
      <c r="H33" s="64"/>
    </row>
    <row r="34" spans="1:8" x14ac:dyDescent="0.25">
      <c r="A34" s="66" t="s">
        <v>54</v>
      </c>
      <c r="B34" s="56">
        <f>ROUNDUP(B33,0)</f>
        <v>2</v>
      </c>
      <c r="C34" s="62"/>
      <c r="D34" s="62"/>
      <c r="E34" s="62"/>
      <c r="F34" s="62"/>
      <c r="G34" s="62"/>
      <c r="H34" s="64"/>
    </row>
    <row r="35" spans="1:8" ht="26.25" x14ac:dyDescent="0.25">
      <c r="A35" s="65" t="s">
        <v>181</v>
      </c>
      <c r="B35" s="56">
        <f>B32/B27</f>
        <v>16.666666666666668</v>
      </c>
      <c r="C35" s="62"/>
      <c r="D35" s="62"/>
      <c r="E35" s="62"/>
      <c r="F35" s="62"/>
      <c r="G35" s="62"/>
      <c r="H35" s="64"/>
    </row>
    <row r="36" spans="1:8" x14ac:dyDescent="0.25">
      <c r="A36" s="78"/>
      <c r="B36" s="118">
        <f>B35/60/24</f>
        <v>1.1574074074074075E-2</v>
      </c>
      <c r="C36" s="62"/>
      <c r="D36" s="62"/>
      <c r="E36" s="62"/>
      <c r="F36" s="62"/>
      <c r="G36" s="62"/>
      <c r="H36" s="64"/>
    </row>
    <row r="37" spans="1:8" ht="26.25" x14ac:dyDescent="0.25">
      <c r="A37" s="65" t="s">
        <v>182</v>
      </c>
      <c r="B37" s="115">
        <f>B29-B36</f>
        <v>6.7259259259259217E-3</v>
      </c>
      <c r="C37" s="62"/>
      <c r="D37" s="62"/>
      <c r="E37" s="62"/>
      <c r="F37" s="62"/>
      <c r="G37" s="62"/>
      <c r="H37" s="64"/>
    </row>
    <row r="38" spans="1:8" x14ac:dyDescent="0.25">
      <c r="A38" s="38" t="s">
        <v>63</v>
      </c>
      <c r="B38" s="39"/>
      <c r="C38" s="39"/>
      <c r="D38" s="39"/>
      <c r="E38" s="39"/>
      <c r="F38" s="679" t="s">
        <v>64</v>
      </c>
      <c r="G38" s="679"/>
      <c r="H38" s="680"/>
    </row>
    <row r="39" spans="1:8" ht="25.5" x14ac:dyDescent="0.25">
      <c r="A39" s="40" t="s">
        <v>11</v>
      </c>
      <c r="B39" s="41" t="s">
        <v>12</v>
      </c>
      <c r="C39" s="41" t="s">
        <v>4</v>
      </c>
      <c r="D39" s="41" t="s">
        <v>65</v>
      </c>
      <c r="E39" s="42" t="s">
        <v>66</v>
      </c>
      <c r="F39" s="43" t="s">
        <v>67</v>
      </c>
      <c r="G39" s="43" t="s">
        <v>68</v>
      </c>
      <c r="H39" s="44" t="s">
        <v>69</v>
      </c>
    </row>
    <row r="40" spans="1:8" ht="30" x14ac:dyDescent="0.25">
      <c r="A40" s="45" t="s">
        <v>136</v>
      </c>
      <c r="B40" s="9">
        <f>B22</f>
        <v>39.527999999999992</v>
      </c>
      <c r="C40" s="46" t="s">
        <v>190</v>
      </c>
      <c r="D40" s="9">
        <v>3</v>
      </c>
      <c r="E40" s="47">
        <f>B40*D40</f>
        <v>118.58399999999997</v>
      </c>
      <c r="F40" s="100" t="s">
        <v>137</v>
      </c>
      <c r="G40" s="28">
        <v>27</v>
      </c>
      <c r="H40" s="48">
        <v>1</v>
      </c>
    </row>
    <row r="41" spans="1:8" ht="15.75" thickBot="1" x14ac:dyDescent="0.3">
      <c r="A41" s="49"/>
      <c r="B41" s="50"/>
      <c r="C41" s="51"/>
      <c r="D41" s="50" t="str">
        <f>IF(A41="","",VLOOKUP(A41,$O$3:$P$13,2,FALSE))</f>
        <v/>
      </c>
      <c r="E41" s="52" t="str">
        <f>IF(A41="","",B41*D41)</f>
        <v/>
      </c>
      <c r="F41" s="53"/>
      <c r="G41" s="53"/>
      <c r="H41" s="54"/>
    </row>
  </sheetData>
  <mergeCells count="18">
    <mergeCell ref="C9:D9"/>
    <mergeCell ref="G9:H9"/>
    <mergeCell ref="C10:D10"/>
    <mergeCell ref="G10:H10"/>
    <mergeCell ref="F38:H38"/>
    <mergeCell ref="A12:H14"/>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72"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pageSetUpPr fitToPage="1"/>
  </sheetPr>
  <dimension ref="A1:M44"/>
  <sheetViews>
    <sheetView zoomScale="55" zoomScaleNormal="55" workbookViewId="0">
      <selection activeCell="G4" sqref="G4"/>
    </sheetView>
  </sheetViews>
  <sheetFormatPr baseColWidth="10" defaultRowHeight="15" x14ac:dyDescent="0.25"/>
  <cols>
    <col min="1" max="1" width="22.140625" customWidth="1"/>
    <col min="4" max="4" width="20.28515625" customWidth="1"/>
    <col min="6" max="6" width="26.28515625" customWidth="1"/>
    <col min="8" max="8" width="22.8554687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79</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303.91000000000003</v>
      </c>
      <c r="F4" s="85" t="s">
        <v>7</v>
      </c>
      <c r="G4" s="3" t="s">
        <v>576</v>
      </c>
      <c r="H4" s="730">
        <f>B37</f>
        <v>4.3773045267489707E-2</v>
      </c>
    </row>
    <row r="5" spans="1:8" x14ac:dyDescent="0.25">
      <c r="A5" s="664">
        <f>M24</f>
        <v>0</v>
      </c>
      <c r="B5" s="665"/>
      <c r="C5" s="665"/>
      <c r="D5" s="665"/>
      <c r="E5" s="665"/>
      <c r="F5" s="665"/>
      <c r="G5" s="665"/>
      <c r="H5" s="666"/>
    </row>
    <row r="6" spans="1:8" ht="78" customHeight="1" x14ac:dyDescent="0.25">
      <c r="A6" s="667" t="s">
        <v>80</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26.25" x14ac:dyDescent="0.25">
      <c r="A9" s="8" t="s">
        <v>143</v>
      </c>
      <c r="B9" s="9">
        <v>5</v>
      </c>
      <c r="C9" s="675" t="s">
        <v>144</v>
      </c>
      <c r="D9" s="676"/>
      <c r="E9" s="10" t="s">
        <v>14</v>
      </c>
      <c r="F9" s="9">
        <v>1</v>
      </c>
      <c r="G9" s="708" t="s">
        <v>146</v>
      </c>
      <c r="H9" s="709"/>
    </row>
    <row r="10" spans="1:8" x14ac:dyDescent="0.25">
      <c r="A10" s="10" t="s">
        <v>145</v>
      </c>
      <c r="B10" s="9">
        <v>1</v>
      </c>
      <c r="C10" s="708" t="s">
        <v>146</v>
      </c>
      <c r="D10" s="709"/>
      <c r="E10" s="10"/>
      <c r="F10" s="9"/>
      <c r="G10" s="682"/>
      <c r="H10" s="683"/>
    </row>
    <row r="11" spans="1:8" x14ac:dyDescent="0.25">
      <c r="A11" s="12" t="s">
        <v>16</v>
      </c>
      <c r="B11" s="13"/>
      <c r="C11" s="13"/>
      <c r="D11" s="13"/>
      <c r="E11" s="13"/>
      <c r="F11" s="13"/>
      <c r="G11" s="13"/>
      <c r="H11" s="14"/>
    </row>
    <row r="12" spans="1:8" x14ac:dyDescent="0.25">
      <c r="A12" s="687" t="s">
        <v>188</v>
      </c>
      <c r="B12" s="688"/>
      <c r="C12" s="688"/>
      <c r="D12" s="688"/>
      <c r="E12" s="688"/>
      <c r="F12" s="688"/>
      <c r="G12" s="688"/>
      <c r="H12" s="689"/>
    </row>
    <row r="13" spans="1:8" x14ac:dyDescent="0.25">
      <c r="A13" s="690"/>
      <c r="B13" s="691"/>
      <c r="C13" s="691"/>
      <c r="D13" s="691"/>
      <c r="E13" s="691"/>
      <c r="F13" s="691"/>
      <c r="G13" s="691"/>
      <c r="H13" s="692"/>
    </row>
    <row r="14" spans="1:8" x14ac:dyDescent="0.25">
      <c r="A14" s="693"/>
      <c r="B14" s="694"/>
      <c r="C14" s="694"/>
      <c r="D14" s="694"/>
      <c r="E14" s="694"/>
      <c r="F14" s="694"/>
      <c r="G14" s="694"/>
      <c r="H14" s="695"/>
    </row>
    <row r="15" spans="1:8" x14ac:dyDescent="0.25">
      <c r="A15" s="12" t="s">
        <v>17</v>
      </c>
      <c r="B15" s="21"/>
      <c r="C15" s="21"/>
      <c r="D15" s="21"/>
      <c r="E15" s="21"/>
      <c r="F15" s="21"/>
      <c r="G15" s="21"/>
      <c r="H15" s="22"/>
    </row>
    <row r="16" spans="1:8" x14ac:dyDescent="0.25">
      <c r="A16" s="23" t="s">
        <v>18</v>
      </c>
      <c r="B16" s="24" t="s">
        <v>3</v>
      </c>
      <c r="C16" s="16"/>
      <c r="D16" s="23" t="s">
        <v>18</v>
      </c>
      <c r="E16" s="24" t="s">
        <v>3</v>
      </c>
      <c r="F16" s="16"/>
      <c r="G16" s="16"/>
      <c r="H16" s="17"/>
    </row>
    <row r="17" spans="1:13" x14ac:dyDescent="0.25">
      <c r="A17" s="102" t="s">
        <v>129</v>
      </c>
      <c r="B17" s="131">
        <f>E4</f>
        <v>303.91000000000003</v>
      </c>
      <c r="C17" s="132"/>
      <c r="D17" s="112" t="s">
        <v>20</v>
      </c>
      <c r="E17" s="133"/>
      <c r="F17" s="132"/>
      <c r="G17" s="134"/>
      <c r="H17" s="135"/>
    </row>
    <row r="18" spans="1:13" x14ac:dyDescent="0.25">
      <c r="A18" s="103" t="s">
        <v>134</v>
      </c>
      <c r="B18" s="74">
        <v>0.2</v>
      </c>
      <c r="C18" s="136"/>
      <c r="D18" s="27" t="s">
        <v>22</v>
      </c>
      <c r="E18" s="30">
        <v>25</v>
      </c>
      <c r="F18" s="136"/>
      <c r="G18" s="136" t="s">
        <v>574</v>
      </c>
      <c r="H18" s="137">
        <f>E4/B36</f>
        <v>289.28571428571433</v>
      </c>
    </row>
    <row r="19" spans="1:13" x14ac:dyDescent="0.25">
      <c r="A19" s="102" t="s">
        <v>135</v>
      </c>
      <c r="B19" s="74">
        <f>B18*B17</f>
        <v>60.782000000000011</v>
      </c>
      <c r="C19" s="136"/>
      <c r="D19" s="27" t="s">
        <v>24</v>
      </c>
      <c r="E19" s="30">
        <v>2.5</v>
      </c>
      <c r="F19" s="136"/>
      <c r="G19" s="136"/>
      <c r="H19" s="137"/>
    </row>
    <row r="20" spans="1:13" x14ac:dyDescent="0.25">
      <c r="A20" s="112" t="s">
        <v>130</v>
      </c>
      <c r="B20" s="133"/>
      <c r="C20" s="136"/>
      <c r="D20" s="27" t="s">
        <v>26</v>
      </c>
      <c r="E20" s="30">
        <f>E18/E19</f>
        <v>10</v>
      </c>
      <c r="F20" s="136"/>
      <c r="G20" s="136"/>
      <c r="H20" s="137"/>
    </row>
    <row r="21" spans="1:13" x14ac:dyDescent="0.25">
      <c r="A21" s="27" t="s">
        <v>27</v>
      </c>
      <c r="B21" s="30">
        <v>800</v>
      </c>
      <c r="C21" s="136"/>
      <c r="D21" s="27" t="s">
        <v>28</v>
      </c>
      <c r="E21" s="30">
        <f>E20/B22</f>
        <v>12.5</v>
      </c>
      <c r="F21" s="136"/>
      <c r="G21" s="136"/>
      <c r="H21" s="137"/>
    </row>
    <row r="22" spans="1:13" x14ac:dyDescent="0.25">
      <c r="A22" s="27" t="s">
        <v>29</v>
      </c>
      <c r="B22" s="30">
        <f>B21/1000</f>
        <v>0.8</v>
      </c>
      <c r="C22" s="136"/>
      <c r="D22" s="97" t="s">
        <v>30</v>
      </c>
      <c r="E22" s="30">
        <f>ROUNDUP(E21,0)</f>
        <v>13</v>
      </c>
      <c r="F22" s="136"/>
      <c r="G22" s="136"/>
      <c r="H22" s="137"/>
    </row>
    <row r="23" spans="1:13" x14ac:dyDescent="0.25">
      <c r="A23" s="27" t="s">
        <v>131</v>
      </c>
      <c r="B23" s="30">
        <f>B19/B22</f>
        <v>75.977500000000006</v>
      </c>
      <c r="C23" s="136"/>
      <c r="D23" s="27" t="s">
        <v>32</v>
      </c>
      <c r="E23" s="30">
        <f>E22*B31</f>
        <v>485.33333333333326</v>
      </c>
      <c r="F23" s="136"/>
      <c r="G23" s="136"/>
      <c r="H23" s="137"/>
    </row>
    <row r="24" spans="1:13" x14ac:dyDescent="0.25">
      <c r="A24" s="27" t="s">
        <v>33</v>
      </c>
      <c r="B24" s="30">
        <v>10</v>
      </c>
      <c r="C24" s="136"/>
      <c r="D24" s="97" t="s">
        <v>34</v>
      </c>
      <c r="E24" s="30">
        <f>E23/60</f>
        <v>8.0888888888888868</v>
      </c>
      <c r="F24" s="136"/>
      <c r="G24" s="136"/>
      <c r="H24" s="137"/>
      <c r="M24" s="150"/>
    </row>
    <row r="25" spans="1:13" x14ac:dyDescent="0.25">
      <c r="A25" s="27" t="s">
        <v>35</v>
      </c>
      <c r="B25" s="30">
        <v>6</v>
      </c>
      <c r="C25" s="136"/>
      <c r="D25" s="27" t="s">
        <v>36</v>
      </c>
      <c r="E25" s="30">
        <f>G43</f>
        <v>8.1999999999999993</v>
      </c>
      <c r="F25" s="136"/>
      <c r="G25" s="136"/>
      <c r="H25" s="137"/>
      <c r="M25" s="101"/>
    </row>
    <row r="26" spans="1:13" x14ac:dyDescent="0.25">
      <c r="A26" s="27" t="s">
        <v>37</v>
      </c>
      <c r="B26" s="30">
        <v>6</v>
      </c>
      <c r="C26" s="136"/>
      <c r="D26" s="27" t="s">
        <v>38</v>
      </c>
      <c r="E26" s="30">
        <v>50</v>
      </c>
      <c r="F26" s="136"/>
      <c r="G26" s="136"/>
      <c r="H26" s="137"/>
    </row>
    <row r="27" spans="1:13" x14ac:dyDescent="0.25">
      <c r="A27" s="27" t="s">
        <v>39</v>
      </c>
      <c r="B27" s="30">
        <v>6</v>
      </c>
      <c r="C27" s="136"/>
      <c r="D27" s="27" t="s">
        <v>40</v>
      </c>
      <c r="E27" s="30">
        <f>E25/E26*60</f>
        <v>9.8399999999999981</v>
      </c>
      <c r="F27" s="136"/>
      <c r="G27" s="136"/>
      <c r="H27" s="137"/>
    </row>
    <row r="28" spans="1:13" x14ac:dyDescent="0.25">
      <c r="A28" s="27" t="s">
        <v>41</v>
      </c>
      <c r="B28" s="30">
        <f>SUM(B24:B27)</f>
        <v>28</v>
      </c>
      <c r="C28" s="136"/>
      <c r="D28" s="27" t="s">
        <v>42</v>
      </c>
      <c r="E28" s="30">
        <f>E24</f>
        <v>8.0888888888888868</v>
      </c>
      <c r="F28" s="136"/>
      <c r="G28" s="136"/>
      <c r="H28" s="137"/>
    </row>
    <row r="29" spans="1:13" x14ac:dyDescent="0.25">
      <c r="A29" s="27" t="s">
        <v>43</v>
      </c>
      <c r="B29" s="138">
        <f>60/80</f>
        <v>0.75</v>
      </c>
      <c r="C29" s="136"/>
      <c r="D29" s="27" t="s">
        <v>44</v>
      </c>
      <c r="E29" s="30">
        <f>E27</f>
        <v>9.8399999999999981</v>
      </c>
      <c r="F29" s="136"/>
      <c r="G29" s="136"/>
      <c r="H29" s="137"/>
    </row>
    <row r="30" spans="1:13" x14ac:dyDescent="0.25">
      <c r="A30" s="95" t="s">
        <v>45</v>
      </c>
      <c r="B30" s="138">
        <f>80/60</f>
        <v>1.3333333333333333</v>
      </c>
      <c r="C30" s="136"/>
      <c r="D30" s="27" t="s">
        <v>46</v>
      </c>
      <c r="E30" s="30">
        <v>5</v>
      </c>
      <c r="F30" s="136"/>
      <c r="G30" s="136"/>
      <c r="H30" s="137"/>
      <c r="M30" s="81"/>
    </row>
    <row r="31" spans="1:13" x14ac:dyDescent="0.25">
      <c r="A31" s="27" t="s">
        <v>47</v>
      </c>
      <c r="B31" s="30">
        <f>B28*B30</f>
        <v>37.333333333333329</v>
      </c>
      <c r="C31" s="136"/>
      <c r="D31" s="27" t="s">
        <v>48</v>
      </c>
      <c r="E31" s="30">
        <f>E27</f>
        <v>9.8399999999999981</v>
      </c>
      <c r="F31" s="136"/>
      <c r="G31" s="136"/>
      <c r="H31" s="137"/>
    </row>
    <row r="32" spans="1:13" x14ac:dyDescent="0.25">
      <c r="A32" s="27" t="s">
        <v>49</v>
      </c>
      <c r="B32" s="139">
        <f>60/B31</f>
        <v>1.6071428571428574</v>
      </c>
      <c r="C32" s="136"/>
      <c r="D32" s="27" t="s">
        <v>50</v>
      </c>
      <c r="E32" s="30">
        <f>SUM(E28:E31)</f>
        <v>32.768888888888881</v>
      </c>
      <c r="F32" s="136"/>
      <c r="G32" s="136"/>
      <c r="H32" s="137"/>
    </row>
    <row r="33" spans="1:8" ht="26.25" x14ac:dyDescent="0.25">
      <c r="A33" s="27" t="s">
        <v>51</v>
      </c>
      <c r="B33" s="140">
        <f>B32*60</f>
        <v>96.428571428571445</v>
      </c>
      <c r="C33" s="136"/>
      <c r="D33" s="27" t="s">
        <v>52</v>
      </c>
      <c r="E33" s="30">
        <f>E32/E28</f>
        <v>4.0510989010989009</v>
      </c>
      <c r="F33" s="136"/>
      <c r="G33" s="136"/>
      <c r="H33" s="137"/>
    </row>
    <row r="34" spans="1:8" x14ac:dyDescent="0.25">
      <c r="A34" s="27" t="s">
        <v>53</v>
      </c>
      <c r="B34" s="30">
        <f>B33*B22</f>
        <v>77.142857142857167</v>
      </c>
      <c r="C34" s="136"/>
      <c r="D34" s="97" t="s">
        <v>54</v>
      </c>
      <c r="E34" s="30">
        <f>ROUNDUP(E33,0)</f>
        <v>5</v>
      </c>
      <c r="F34" s="136"/>
      <c r="G34" s="136"/>
      <c r="H34" s="137"/>
    </row>
    <row r="35" spans="1:8" ht="26.25" x14ac:dyDescent="0.25">
      <c r="A35" s="27" t="s">
        <v>55</v>
      </c>
      <c r="B35" s="30">
        <f>B34*B29</f>
        <v>57.857142857142875</v>
      </c>
      <c r="C35" s="136"/>
      <c r="D35" s="27" t="s">
        <v>56</v>
      </c>
      <c r="E35" s="138">
        <f>E34*E20</f>
        <v>50</v>
      </c>
      <c r="F35" s="136"/>
      <c r="G35" s="136"/>
      <c r="H35" s="137"/>
    </row>
    <row r="36" spans="1:8" ht="26.25" x14ac:dyDescent="0.25">
      <c r="A36" s="96" t="s">
        <v>132</v>
      </c>
      <c r="B36" s="141">
        <f>B19/B35</f>
        <v>1.050553086419753</v>
      </c>
      <c r="C36" s="136"/>
      <c r="D36" s="27" t="s">
        <v>58</v>
      </c>
      <c r="E36" s="138">
        <f>B19/E35</f>
        <v>1.2156400000000003</v>
      </c>
      <c r="F36" s="136"/>
      <c r="G36" s="136"/>
      <c r="H36" s="137"/>
    </row>
    <row r="37" spans="1:8" ht="26.25" x14ac:dyDescent="0.25">
      <c r="A37" s="110" t="s">
        <v>133</v>
      </c>
      <c r="B37" s="142">
        <f>B36/24</f>
        <v>4.3773045267489707E-2</v>
      </c>
      <c r="C37" s="136"/>
      <c r="D37" s="97" t="s">
        <v>54</v>
      </c>
      <c r="E37" s="30">
        <f>ROUNDUP(E36,0)</f>
        <v>2</v>
      </c>
      <c r="F37" s="136"/>
      <c r="G37" s="136"/>
      <c r="H37" s="137"/>
    </row>
    <row r="38" spans="1:8" ht="26.25" x14ac:dyDescent="0.25">
      <c r="A38" s="143"/>
      <c r="B38" s="136"/>
      <c r="C38" s="136"/>
      <c r="D38" s="95" t="s">
        <v>60</v>
      </c>
      <c r="E38" s="30">
        <f>E32*E39</f>
        <v>229.38222222222217</v>
      </c>
      <c r="F38" s="136"/>
      <c r="G38" s="143"/>
      <c r="H38" s="137"/>
    </row>
    <row r="39" spans="1:8" ht="26.25" x14ac:dyDescent="0.25">
      <c r="A39" s="144"/>
      <c r="B39" s="136"/>
      <c r="C39" s="136"/>
      <c r="D39" s="98" t="s">
        <v>61</v>
      </c>
      <c r="E39" s="98">
        <f>ROUNDUP(B19/E20,0)</f>
        <v>7</v>
      </c>
      <c r="F39" s="136"/>
      <c r="G39" s="136"/>
      <c r="H39" s="137"/>
    </row>
    <row r="40" spans="1:8" ht="26.25" x14ac:dyDescent="0.25">
      <c r="A40" s="143"/>
      <c r="B40" s="143"/>
      <c r="C40" s="136"/>
      <c r="D40" s="99" t="s">
        <v>62</v>
      </c>
      <c r="E40" s="145">
        <f>E38/60/24</f>
        <v>0.15929320987654319</v>
      </c>
      <c r="F40" s="136"/>
      <c r="G40" s="136"/>
      <c r="H40" s="137"/>
    </row>
    <row r="41" spans="1:8" x14ac:dyDescent="0.25">
      <c r="A41" s="38" t="s">
        <v>63</v>
      </c>
      <c r="B41" s="39"/>
      <c r="C41" s="39"/>
      <c r="D41" s="39"/>
      <c r="E41" s="39"/>
      <c r="F41" s="679" t="s">
        <v>64</v>
      </c>
      <c r="G41" s="679"/>
      <c r="H41" s="680"/>
    </row>
    <row r="42" spans="1:8" ht="25.5" x14ac:dyDescent="0.25">
      <c r="A42" s="40" t="s">
        <v>11</v>
      </c>
      <c r="B42" s="41" t="s">
        <v>12</v>
      </c>
      <c r="C42" s="41" t="s">
        <v>4</v>
      </c>
      <c r="D42" s="41" t="s">
        <v>65</v>
      </c>
      <c r="E42" s="42" t="s">
        <v>66</v>
      </c>
      <c r="F42" s="43" t="s">
        <v>67</v>
      </c>
      <c r="G42" s="43" t="s">
        <v>68</v>
      </c>
      <c r="H42" s="44" t="s">
        <v>69</v>
      </c>
    </row>
    <row r="43" spans="1:8" ht="55.5" customHeight="1" x14ac:dyDescent="0.25">
      <c r="A43" s="149" t="s">
        <v>185</v>
      </c>
      <c r="B43" s="9">
        <f>B19*E19</f>
        <v>151.95500000000004</v>
      </c>
      <c r="C43" s="46" t="s">
        <v>190</v>
      </c>
      <c r="D43" s="9">
        <v>3</v>
      </c>
      <c r="E43" s="47">
        <f>B43*D43</f>
        <v>455.86500000000012</v>
      </c>
      <c r="F43" s="146" t="s">
        <v>186</v>
      </c>
      <c r="G43" s="147">
        <v>8.1999999999999993</v>
      </c>
      <c r="H43" s="148">
        <v>7</v>
      </c>
    </row>
    <row r="44" spans="1:8" ht="15.75" thickBot="1" x14ac:dyDescent="0.3">
      <c r="A44" s="49"/>
      <c r="B44" s="50"/>
      <c r="C44" s="51"/>
      <c r="D44" s="50" t="str">
        <f>IF(A44="","",VLOOKUP(A44,$O$3:$P$13,2,FALSE))</f>
        <v/>
      </c>
      <c r="E44" s="52" t="str">
        <f>IF(A44="","",B44*D44)</f>
        <v/>
      </c>
      <c r="F44" s="53"/>
      <c r="G44" s="53"/>
      <c r="H44" s="54"/>
    </row>
  </sheetData>
  <mergeCells count="18">
    <mergeCell ref="C9:D9"/>
    <mergeCell ref="G9:H9"/>
    <mergeCell ref="C10:D10"/>
    <mergeCell ref="G10:H10"/>
    <mergeCell ref="F41:H41"/>
    <mergeCell ref="A12:H14"/>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63"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pageSetUpPr fitToPage="1"/>
  </sheetPr>
  <dimension ref="A1:O44"/>
  <sheetViews>
    <sheetView zoomScale="40" zoomScaleNormal="40" workbookViewId="0">
      <selection activeCell="G4" sqref="G4"/>
    </sheetView>
  </sheetViews>
  <sheetFormatPr baseColWidth="10" defaultRowHeight="15" x14ac:dyDescent="0.25"/>
  <cols>
    <col min="1" max="1" width="16" customWidth="1"/>
    <col min="4" max="4" width="22.710937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81</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3100</v>
      </c>
      <c r="F4" s="85" t="s">
        <v>7</v>
      </c>
      <c r="G4" s="3" t="s">
        <v>577</v>
      </c>
      <c r="H4" s="730">
        <f>B37</f>
        <v>0.53580246913580243</v>
      </c>
    </row>
    <row r="5" spans="1:8" x14ac:dyDescent="0.25">
      <c r="A5" s="664" t="s">
        <v>8</v>
      </c>
      <c r="B5" s="665"/>
      <c r="C5" s="665"/>
      <c r="D5" s="665"/>
      <c r="E5" s="665"/>
      <c r="F5" s="665"/>
      <c r="G5" s="665"/>
      <c r="H5" s="666"/>
    </row>
    <row r="6" spans="1:8" ht="100.5" customHeight="1" x14ac:dyDescent="0.25">
      <c r="A6" s="667" t="s">
        <v>82</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25.5" x14ac:dyDescent="0.25">
      <c r="A9" s="10" t="s">
        <v>145</v>
      </c>
      <c r="B9" s="9">
        <v>1</v>
      </c>
      <c r="C9" s="708" t="s">
        <v>191</v>
      </c>
      <c r="D9" s="709"/>
      <c r="E9" s="10" t="s">
        <v>14</v>
      </c>
      <c r="F9" s="9">
        <v>1</v>
      </c>
      <c r="G9" s="708" t="s">
        <v>15</v>
      </c>
      <c r="H9" s="709"/>
    </row>
    <row r="10" spans="1:8" x14ac:dyDescent="0.25">
      <c r="A10" s="8"/>
      <c r="B10" s="9"/>
      <c r="C10" s="677"/>
      <c r="D10" s="678"/>
      <c r="E10" s="10"/>
      <c r="F10" s="9"/>
      <c r="G10" s="682"/>
      <c r="H10" s="683"/>
    </row>
    <row r="11" spans="1:8" x14ac:dyDescent="0.25">
      <c r="A11" s="12" t="s">
        <v>16</v>
      </c>
      <c r="B11" s="13"/>
      <c r="C11" s="13"/>
      <c r="D11" s="13"/>
      <c r="E11" s="13"/>
      <c r="F11" s="13"/>
      <c r="G11" s="13"/>
      <c r="H11" s="14"/>
    </row>
    <row r="12" spans="1:8" x14ac:dyDescent="0.25">
      <c r="A12" s="699" t="s">
        <v>192</v>
      </c>
      <c r="B12" s="700"/>
      <c r="C12" s="700"/>
      <c r="D12" s="700"/>
      <c r="E12" s="700"/>
      <c r="F12" s="700"/>
      <c r="G12" s="700"/>
      <c r="H12" s="701"/>
    </row>
    <row r="13" spans="1:8" x14ac:dyDescent="0.25">
      <c r="A13" s="702"/>
      <c r="B13" s="703"/>
      <c r="C13" s="703"/>
      <c r="D13" s="703"/>
      <c r="E13" s="703"/>
      <c r="F13" s="703"/>
      <c r="G13" s="703"/>
      <c r="H13" s="704"/>
    </row>
    <row r="14" spans="1:8" x14ac:dyDescent="0.25">
      <c r="A14" s="705"/>
      <c r="B14" s="706"/>
      <c r="C14" s="706"/>
      <c r="D14" s="706"/>
      <c r="E14" s="706"/>
      <c r="F14" s="706"/>
      <c r="G14" s="706"/>
      <c r="H14" s="707"/>
    </row>
    <row r="15" spans="1:8" x14ac:dyDescent="0.25">
      <c r="A15" s="12" t="s">
        <v>17</v>
      </c>
      <c r="B15" s="21"/>
      <c r="C15" s="21"/>
      <c r="D15" s="21"/>
      <c r="E15" s="21"/>
      <c r="F15" s="21"/>
      <c r="G15" s="21"/>
      <c r="H15" s="22"/>
    </row>
    <row r="16" spans="1:8" x14ac:dyDescent="0.25">
      <c r="A16" s="23" t="s">
        <v>18</v>
      </c>
      <c r="B16" s="24" t="s">
        <v>3</v>
      </c>
      <c r="C16" s="16"/>
      <c r="D16" s="23" t="s">
        <v>18</v>
      </c>
      <c r="E16" s="24" t="s">
        <v>3</v>
      </c>
      <c r="F16" s="16"/>
      <c r="G16" s="16"/>
      <c r="H16" s="17"/>
    </row>
    <row r="17" spans="1:15" x14ac:dyDescent="0.25">
      <c r="A17" s="151" t="s">
        <v>19</v>
      </c>
      <c r="B17" s="131">
        <f>E4</f>
        <v>3100</v>
      </c>
      <c r="C17" s="132"/>
      <c r="D17" s="86" t="s">
        <v>20</v>
      </c>
      <c r="E17" s="30"/>
      <c r="F17" s="57"/>
      <c r="G17" s="59"/>
      <c r="H17" s="60"/>
    </row>
    <row r="18" spans="1:15" x14ac:dyDescent="0.25">
      <c r="A18" s="152" t="s">
        <v>21</v>
      </c>
      <c r="B18" s="30">
        <v>0.3</v>
      </c>
      <c r="C18" s="136"/>
      <c r="D18" s="27" t="s">
        <v>22</v>
      </c>
      <c r="E18" s="30">
        <v>26</v>
      </c>
      <c r="F18" s="62"/>
      <c r="G18" s="62"/>
      <c r="H18" s="64"/>
    </row>
    <row r="19" spans="1:15" x14ac:dyDescent="0.25">
      <c r="A19" s="151" t="s">
        <v>23</v>
      </c>
      <c r="B19" s="30">
        <f>B17*B18</f>
        <v>930</v>
      </c>
      <c r="C19" s="136"/>
      <c r="D19" s="27" t="s">
        <v>24</v>
      </c>
      <c r="E19" s="30">
        <v>1.5</v>
      </c>
      <c r="F19" s="62"/>
      <c r="G19" s="62"/>
      <c r="H19" s="64"/>
    </row>
    <row r="20" spans="1:15" ht="26.25" x14ac:dyDescent="0.25">
      <c r="A20" s="86" t="s">
        <v>25</v>
      </c>
      <c r="B20" s="30"/>
      <c r="C20" s="136"/>
      <c r="D20" s="27" t="s">
        <v>26</v>
      </c>
      <c r="E20" s="30">
        <f>E18/E19</f>
        <v>17.333333333333332</v>
      </c>
      <c r="F20" s="62"/>
      <c r="G20" s="62"/>
      <c r="H20" s="64"/>
    </row>
    <row r="21" spans="1:15" x14ac:dyDescent="0.25">
      <c r="A21" s="27" t="s">
        <v>27</v>
      </c>
      <c r="B21" s="30">
        <v>1000</v>
      </c>
      <c r="C21" s="136"/>
      <c r="D21" s="27" t="s">
        <v>28</v>
      </c>
      <c r="E21" s="30">
        <f>E20/B22</f>
        <v>17.333333333333332</v>
      </c>
      <c r="F21" s="62"/>
      <c r="G21" s="62"/>
      <c r="H21" s="64"/>
    </row>
    <row r="22" spans="1:15" x14ac:dyDescent="0.25">
      <c r="A22" s="27" t="s">
        <v>29</v>
      </c>
      <c r="B22" s="30">
        <f>B21/1000</f>
        <v>1</v>
      </c>
      <c r="C22" s="136"/>
      <c r="D22" s="97" t="s">
        <v>30</v>
      </c>
      <c r="E22" s="30">
        <f>ROUNDUP(E21,0)</f>
        <v>18</v>
      </c>
      <c r="F22" s="62"/>
      <c r="G22" s="67" t="s">
        <v>574</v>
      </c>
      <c r="H22" s="68">
        <f>E4/B36</f>
        <v>241.07142857142861</v>
      </c>
    </row>
    <row r="23" spans="1:15" ht="26.25" x14ac:dyDescent="0.25">
      <c r="A23" s="153" t="s">
        <v>31</v>
      </c>
      <c r="B23" s="100">
        <f>B19/B22</f>
        <v>930</v>
      </c>
      <c r="C23" s="136"/>
      <c r="D23" s="27" t="s">
        <v>32</v>
      </c>
      <c r="E23" s="30">
        <f>E22*B31</f>
        <v>671.99999999999989</v>
      </c>
      <c r="F23" s="62"/>
      <c r="G23" s="71"/>
      <c r="H23" s="72"/>
    </row>
    <row r="24" spans="1:15" x14ac:dyDescent="0.25">
      <c r="A24" s="27" t="s">
        <v>33</v>
      </c>
      <c r="B24" s="30">
        <v>10</v>
      </c>
      <c r="C24" s="136"/>
      <c r="D24" s="97" t="s">
        <v>34</v>
      </c>
      <c r="E24" s="30">
        <f>E23/60</f>
        <v>11.199999999999998</v>
      </c>
      <c r="F24" s="62"/>
      <c r="G24" s="71"/>
      <c r="H24" s="73"/>
    </row>
    <row r="25" spans="1:15" x14ac:dyDescent="0.25">
      <c r="A25" s="27" t="s">
        <v>35</v>
      </c>
      <c r="B25" s="30">
        <v>6</v>
      </c>
      <c r="C25" s="136"/>
      <c r="D25" s="27" t="s">
        <v>36</v>
      </c>
      <c r="E25" s="30">
        <v>1</v>
      </c>
      <c r="F25" s="62"/>
      <c r="G25" s="75"/>
      <c r="H25" s="76"/>
    </row>
    <row r="26" spans="1:15" x14ac:dyDescent="0.25">
      <c r="A26" s="27" t="s">
        <v>37</v>
      </c>
      <c r="B26" s="30">
        <v>6</v>
      </c>
      <c r="C26" s="136"/>
      <c r="D26" s="27" t="s">
        <v>38</v>
      </c>
      <c r="E26" s="30">
        <v>30</v>
      </c>
      <c r="F26" s="62"/>
      <c r="G26" s="62"/>
      <c r="H26" s="64"/>
    </row>
    <row r="27" spans="1:15" x14ac:dyDescent="0.25">
      <c r="A27" s="27" t="s">
        <v>39</v>
      </c>
      <c r="B27" s="30">
        <v>6</v>
      </c>
      <c r="C27" s="136"/>
      <c r="D27" s="27" t="s">
        <v>40</v>
      </c>
      <c r="E27" s="30">
        <f>E25/E26*60</f>
        <v>2</v>
      </c>
      <c r="F27" s="62"/>
      <c r="G27" s="62"/>
      <c r="H27" s="64"/>
    </row>
    <row r="28" spans="1:15" x14ac:dyDescent="0.25">
      <c r="A28" s="27" t="s">
        <v>41</v>
      </c>
      <c r="B28" s="30">
        <f>SUM(B24:B27)</f>
        <v>28</v>
      </c>
      <c r="C28" s="136"/>
      <c r="D28" s="27" t="s">
        <v>42</v>
      </c>
      <c r="E28" s="30">
        <f>E24</f>
        <v>11.199999999999998</v>
      </c>
      <c r="F28" s="62"/>
      <c r="G28" s="62"/>
      <c r="H28" s="64"/>
    </row>
    <row r="29" spans="1:15" x14ac:dyDescent="0.25">
      <c r="A29" s="27" t="s">
        <v>43</v>
      </c>
      <c r="B29" s="138">
        <f>60/80</f>
        <v>0.75</v>
      </c>
      <c r="C29" s="136"/>
      <c r="D29" s="27" t="s">
        <v>44</v>
      </c>
      <c r="E29" s="30">
        <f>E27</f>
        <v>2</v>
      </c>
      <c r="F29" s="62"/>
      <c r="G29" s="62"/>
      <c r="H29" s="64"/>
      <c r="O29" s="101"/>
    </row>
    <row r="30" spans="1:15" x14ac:dyDescent="0.25">
      <c r="A30" s="95" t="s">
        <v>45</v>
      </c>
      <c r="B30" s="138">
        <f>80/60</f>
        <v>1.3333333333333333</v>
      </c>
      <c r="C30" s="136"/>
      <c r="D30" s="27" t="s">
        <v>46</v>
      </c>
      <c r="E30" s="30">
        <v>2</v>
      </c>
      <c r="F30" s="62"/>
      <c r="G30" s="62"/>
      <c r="H30" s="64"/>
    </row>
    <row r="31" spans="1:15" x14ac:dyDescent="0.25">
      <c r="A31" s="27" t="s">
        <v>47</v>
      </c>
      <c r="B31" s="30">
        <f>B28*B30</f>
        <v>37.333333333333329</v>
      </c>
      <c r="C31" s="136"/>
      <c r="D31" s="27" t="s">
        <v>48</v>
      </c>
      <c r="E31" s="30">
        <f>E27</f>
        <v>2</v>
      </c>
      <c r="F31" s="62"/>
      <c r="G31" s="62"/>
      <c r="H31" s="64"/>
    </row>
    <row r="32" spans="1:15" x14ac:dyDescent="0.25">
      <c r="A32" s="27" t="s">
        <v>49</v>
      </c>
      <c r="B32" s="139">
        <f>60/B31</f>
        <v>1.6071428571428574</v>
      </c>
      <c r="C32" s="136"/>
      <c r="D32" s="27" t="s">
        <v>50</v>
      </c>
      <c r="E32" s="30">
        <f>SUM(E28:E31)</f>
        <v>17.199999999999996</v>
      </c>
      <c r="F32" s="62"/>
      <c r="G32" s="62"/>
      <c r="H32" s="64"/>
    </row>
    <row r="33" spans="1:8" ht="26.25" x14ac:dyDescent="0.25">
      <c r="A33" s="27" t="s">
        <v>51</v>
      </c>
      <c r="B33" s="140">
        <f>B32*60</f>
        <v>96.428571428571445</v>
      </c>
      <c r="C33" s="136"/>
      <c r="D33" s="27" t="s">
        <v>52</v>
      </c>
      <c r="E33" s="30">
        <f>E32/E28</f>
        <v>1.5357142857142856</v>
      </c>
      <c r="F33" s="62"/>
      <c r="G33" s="62"/>
      <c r="H33" s="64"/>
    </row>
    <row r="34" spans="1:8" ht="26.25" x14ac:dyDescent="0.25">
      <c r="A34" s="27" t="s">
        <v>53</v>
      </c>
      <c r="B34" s="30">
        <f>B33*B22</f>
        <v>96.428571428571445</v>
      </c>
      <c r="C34" s="136"/>
      <c r="D34" s="97" t="s">
        <v>54</v>
      </c>
      <c r="E34" s="30">
        <f>ROUNDUP(E33,0)</f>
        <v>2</v>
      </c>
      <c r="F34" s="62"/>
      <c r="G34" s="62"/>
      <c r="H34" s="64"/>
    </row>
    <row r="35" spans="1:8" ht="26.25" x14ac:dyDescent="0.25">
      <c r="A35" s="27" t="s">
        <v>55</v>
      </c>
      <c r="B35" s="30">
        <f>B34*B29</f>
        <v>72.321428571428584</v>
      </c>
      <c r="C35" s="136"/>
      <c r="D35" s="27" t="s">
        <v>56</v>
      </c>
      <c r="E35" s="138">
        <f>E34*E20</f>
        <v>34.666666666666664</v>
      </c>
      <c r="F35" s="62"/>
      <c r="G35" s="62"/>
      <c r="H35" s="64"/>
    </row>
    <row r="36" spans="1:8" ht="26.25" x14ac:dyDescent="0.25">
      <c r="A36" s="96" t="s">
        <v>57</v>
      </c>
      <c r="B36" s="141">
        <f>B19/B35</f>
        <v>12.859259259259257</v>
      </c>
      <c r="C36" s="136"/>
      <c r="D36" s="27" t="s">
        <v>58</v>
      </c>
      <c r="E36" s="138">
        <f>B19/E35</f>
        <v>26.82692307692308</v>
      </c>
      <c r="F36" s="62"/>
      <c r="G36" s="62"/>
      <c r="H36" s="64"/>
    </row>
    <row r="37" spans="1:8" ht="39" x14ac:dyDescent="0.25">
      <c r="A37" s="96" t="s">
        <v>59</v>
      </c>
      <c r="B37" s="145">
        <f>B36/24</f>
        <v>0.53580246913580243</v>
      </c>
      <c r="C37" s="136"/>
      <c r="D37" s="97" t="s">
        <v>54</v>
      </c>
      <c r="E37" s="30">
        <f>ROUNDUP(E36,0)</f>
        <v>27</v>
      </c>
      <c r="F37" s="62"/>
      <c r="G37" s="62"/>
      <c r="H37" s="64"/>
    </row>
    <row r="38" spans="1:8" x14ac:dyDescent="0.25">
      <c r="A38" s="143"/>
      <c r="B38" s="136"/>
      <c r="C38" s="136"/>
      <c r="D38" s="95" t="s">
        <v>60</v>
      </c>
      <c r="E38" s="30">
        <f>E37*E32*E34</f>
        <v>928.79999999999973</v>
      </c>
      <c r="F38" s="62"/>
      <c r="G38" s="81"/>
      <c r="H38" s="64"/>
    </row>
    <row r="39" spans="1:8" ht="26.25" x14ac:dyDescent="0.25">
      <c r="A39" s="144"/>
      <c r="B39" s="136"/>
      <c r="C39" s="136"/>
      <c r="D39" s="98" t="s">
        <v>61</v>
      </c>
      <c r="E39" s="98">
        <f>ROUNDUP(B19/E20,0)</f>
        <v>54</v>
      </c>
      <c r="F39" s="62"/>
      <c r="G39" s="62"/>
      <c r="H39" s="64"/>
    </row>
    <row r="40" spans="1:8" x14ac:dyDescent="0.25">
      <c r="A40" s="143"/>
      <c r="B40" s="143"/>
      <c r="C40" s="136"/>
      <c r="D40" s="99" t="s">
        <v>62</v>
      </c>
      <c r="E40" s="145">
        <f>E38/60/24</f>
        <v>0.6449999999999998</v>
      </c>
      <c r="F40" s="62"/>
      <c r="G40" s="62"/>
      <c r="H40" s="64"/>
    </row>
    <row r="41" spans="1:8" x14ac:dyDescent="0.25">
      <c r="A41" s="38" t="s">
        <v>63</v>
      </c>
      <c r="B41" s="39"/>
      <c r="C41" s="39"/>
      <c r="D41" s="39"/>
      <c r="E41" s="39"/>
      <c r="F41" s="679" t="s">
        <v>64</v>
      </c>
      <c r="G41" s="679"/>
      <c r="H41" s="680"/>
    </row>
    <row r="42" spans="1:8" ht="25.5" x14ac:dyDescent="0.25">
      <c r="A42" s="40" t="s">
        <v>11</v>
      </c>
      <c r="B42" s="41" t="s">
        <v>12</v>
      </c>
      <c r="C42" s="41" t="s">
        <v>4</v>
      </c>
      <c r="D42" s="41" t="s">
        <v>65</v>
      </c>
      <c r="E42" s="42" t="s">
        <v>66</v>
      </c>
      <c r="F42" s="43" t="s">
        <v>67</v>
      </c>
      <c r="G42" s="43" t="s">
        <v>68</v>
      </c>
      <c r="H42" s="44" t="s">
        <v>69</v>
      </c>
    </row>
    <row r="43" spans="1:8" x14ac:dyDescent="0.25">
      <c r="A43" s="45" t="s">
        <v>189</v>
      </c>
      <c r="B43" s="9">
        <f>B19*E19</f>
        <v>1395</v>
      </c>
      <c r="C43" s="46" t="s">
        <v>190</v>
      </c>
      <c r="D43" s="9"/>
      <c r="E43" s="47"/>
      <c r="F43" s="29"/>
      <c r="G43" s="28"/>
      <c r="H43" s="48"/>
    </row>
    <row r="44" spans="1:8" ht="15.75" thickBot="1" x14ac:dyDescent="0.3">
      <c r="A44" s="49"/>
      <c r="B44" s="50"/>
      <c r="C44" s="51"/>
      <c r="D44" s="50" t="str">
        <f>IF(A44="","",VLOOKUP(A44,$O$3:$P$13,2,FALSE))</f>
        <v/>
      </c>
      <c r="E44" s="52" t="str">
        <f>IF(A44="","",B44*D44)</f>
        <v/>
      </c>
      <c r="F44" s="53"/>
      <c r="G44" s="53"/>
      <c r="H44" s="54"/>
    </row>
  </sheetData>
  <mergeCells count="18">
    <mergeCell ref="C9:D9"/>
    <mergeCell ref="G9:H9"/>
    <mergeCell ref="C10:D10"/>
    <mergeCell ref="G10:H10"/>
    <mergeCell ref="F41:H41"/>
    <mergeCell ref="A12:H14"/>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81"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pageSetUpPr fitToPage="1"/>
  </sheetPr>
  <dimension ref="A1:K49"/>
  <sheetViews>
    <sheetView zoomScale="25" zoomScaleNormal="25" workbookViewId="0">
      <selection activeCell="G4" sqref="G4"/>
    </sheetView>
  </sheetViews>
  <sheetFormatPr baseColWidth="10" defaultRowHeight="15" x14ac:dyDescent="0.25"/>
  <cols>
    <col min="1" max="1" width="23.5703125" customWidth="1"/>
    <col min="3" max="3" width="24.140625" customWidth="1"/>
    <col min="4" max="4" width="20.140625" customWidth="1"/>
    <col min="5" max="5" width="28.28515625" style="175" bestFit="1" customWidth="1"/>
    <col min="7" max="7" width="34.7109375" bestFit="1" customWidth="1"/>
    <col min="8" max="8" width="12.7109375" customWidth="1"/>
    <col min="12" max="12" width="18.8554687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83</v>
      </c>
      <c r="E2" s="654"/>
      <c r="F2" s="654"/>
      <c r="G2" s="654"/>
      <c r="H2" s="655"/>
    </row>
    <row r="3" spans="1:8" x14ac:dyDescent="0.25">
      <c r="A3" s="656" t="s">
        <v>2</v>
      </c>
      <c r="B3" s="658"/>
      <c r="C3" s="659"/>
      <c r="D3" s="660"/>
      <c r="E3" s="166" t="s">
        <v>3</v>
      </c>
      <c r="F3" s="1" t="s">
        <v>4</v>
      </c>
      <c r="G3" s="1" t="s">
        <v>5</v>
      </c>
      <c r="H3" s="2" t="s">
        <v>6</v>
      </c>
    </row>
    <row r="4" spans="1:8" ht="16.5" thickBot="1" x14ac:dyDescent="0.3">
      <c r="A4" s="657"/>
      <c r="B4" s="661"/>
      <c r="C4" s="662"/>
      <c r="D4" s="663"/>
      <c r="E4" s="167">
        <v>1500</v>
      </c>
      <c r="F4" s="85" t="s">
        <v>118</v>
      </c>
      <c r="G4" s="3" t="s">
        <v>271</v>
      </c>
      <c r="H4" s="4" t="s">
        <v>272</v>
      </c>
    </row>
    <row r="5" spans="1:8" x14ac:dyDescent="0.25">
      <c r="A5" s="664" t="s">
        <v>8</v>
      </c>
      <c r="B5" s="665"/>
      <c r="C5" s="665"/>
      <c r="D5" s="665"/>
      <c r="E5" s="665"/>
      <c r="F5" s="665"/>
      <c r="G5" s="665"/>
      <c r="H5" s="666"/>
    </row>
    <row r="6" spans="1:8" ht="129.75" customHeight="1" x14ac:dyDescent="0.25">
      <c r="A6" s="667" t="s">
        <v>266</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168" t="s">
        <v>11</v>
      </c>
      <c r="F8" s="6" t="s">
        <v>3</v>
      </c>
      <c r="G8" s="673" t="s">
        <v>13</v>
      </c>
      <c r="H8" s="674"/>
    </row>
    <row r="9" spans="1:8" ht="15.75" x14ac:dyDescent="0.25">
      <c r="A9" s="5" t="s">
        <v>145</v>
      </c>
      <c r="B9" s="6">
        <v>1</v>
      </c>
      <c r="C9" s="675" t="s">
        <v>206</v>
      </c>
      <c r="D9" s="676"/>
      <c r="E9" s="209" t="s">
        <v>259</v>
      </c>
      <c r="F9" s="6">
        <v>2</v>
      </c>
      <c r="G9" s="675" t="s">
        <v>264</v>
      </c>
      <c r="H9" s="681"/>
    </row>
    <row r="10" spans="1:8" ht="15.75" x14ac:dyDescent="0.25">
      <c r="A10" s="5" t="s">
        <v>256</v>
      </c>
      <c r="B10" s="6">
        <v>6</v>
      </c>
      <c r="C10" s="675" t="s">
        <v>258</v>
      </c>
      <c r="D10" s="676"/>
      <c r="E10" s="209" t="s">
        <v>260</v>
      </c>
      <c r="F10" s="6">
        <v>6</v>
      </c>
      <c r="G10" s="675" t="s">
        <v>263</v>
      </c>
      <c r="H10" s="681"/>
    </row>
    <row r="11" spans="1:8" x14ac:dyDescent="0.25">
      <c r="A11" s="8" t="s">
        <v>257</v>
      </c>
      <c r="B11" s="9">
        <v>1</v>
      </c>
      <c r="C11" s="675" t="s">
        <v>230</v>
      </c>
      <c r="D11" s="676"/>
      <c r="E11" s="169" t="s">
        <v>261</v>
      </c>
      <c r="F11" s="9">
        <v>1</v>
      </c>
      <c r="G11" s="675" t="s">
        <v>262</v>
      </c>
      <c r="H11" s="681"/>
    </row>
    <row r="12" spans="1:8" x14ac:dyDescent="0.25">
      <c r="A12" s="8"/>
      <c r="B12" s="9"/>
      <c r="C12" s="677"/>
      <c r="D12" s="678"/>
      <c r="E12" s="169"/>
      <c r="F12" s="9"/>
      <c r="G12" s="682"/>
      <c r="H12" s="683"/>
    </row>
    <row r="13" spans="1:8" x14ac:dyDescent="0.25">
      <c r="A13" s="12" t="s">
        <v>16</v>
      </c>
      <c r="B13" s="13"/>
      <c r="C13" s="13"/>
      <c r="D13" s="13"/>
      <c r="E13" s="170"/>
      <c r="F13" s="13"/>
      <c r="G13" s="13"/>
      <c r="H13" s="14"/>
    </row>
    <row r="14" spans="1:8" x14ac:dyDescent="0.25">
      <c r="A14" s="699" t="s">
        <v>265</v>
      </c>
      <c r="B14" s="700"/>
      <c r="C14" s="700"/>
      <c r="D14" s="700"/>
      <c r="E14" s="700"/>
      <c r="F14" s="700"/>
      <c r="G14" s="700"/>
      <c r="H14" s="701"/>
    </row>
    <row r="15" spans="1:8" x14ac:dyDescent="0.25">
      <c r="A15" s="702"/>
      <c r="B15" s="703"/>
      <c r="C15" s="703"/>
      <c r="D15" s="703"/>
      <c r="E15" s="703"/>
      <c r="F15" s="703"/>
      <c r="G15" s="703"/>
      <c r="H15" s="704"/>
    </row>
    <row r="16" spans="1:8" x14ac:dyDescent="0.25">
      <c r="A16" s="702"/>
      <c r="B16" s="703"/>
      <c r="C16" s="703"/>
      <c r="D16" s="703"/>
      <c r="E16" s="703"/>
      <c r="F16" s="703"/>
      <c r="G16" s="703"/>
      <c r="H16" s="704"/>
    </row>
    <row r="17" spans="1:8" x14ac:dyDescent="0.25">
      <c r="A17" s="705"/>
      <c r="B17" s="706"/>
      <c r="C17" s="706"/>
      <c r="D17" s="706"/>
      <c r="E17" s="706"/>
      <c r="F17" s="706"/>
      <c r="G17" s="706"/>
      <c r="H17" s="707"/>
    </row>
    <row r="18" spans="1:8" x14ac:dyDescent="0.25">
      <c r="A18" s="12" t="s">
        <v>17</v>
      </c>
      <c r="B18" s="21"/>
      <c r="C18" s="21"/>
      <c r="D18" s="21"/>
      <c r="E18" s="171"/>
      <c r="F18" s="21"/>
      <c r="G18" s="21"/>
      <c r="H18" s="22"/>
    </row>
    <row r="19" spans="1:8" ht="15.75" thickBot="1" x14ac:dyDescent="0.3">
      <c r="A19" s="23" t="s">
        <v>18</v>
      </c>
      <c r="B19" s="24" t="s">
        <v>3</v>
      </c>
      <c r="C19" s="23" t="s">
        <v>18</v>
      </c>
      <c r="D19" s="172" t="s">
        <v>3</v>
      </c>
      <c r="E19" s="202" t="s">
        <v>246</v>
      </c>
      <c r="F19" s="202" t="s">
        <v>247</v>
      </c>
      <c r="G19" s="202" t="s">
        <v>249</v>
      </c>
      <c r="H19" s="202" t="s">
        <v>248</v>
      </c>
    </row>
    <row r="20" spans="1:8" ht="15.75" thickBot="1" x14ac:dyDescent="0.3">
      <c r="A20" s="165" t="s">
        <v>20</v>
      </c>
      <c r="B20" s="30"/>
      <c r="C20" s="191" t="s">
        <v>202</v>
      </c>
      <c r="D20" s="176"/>
      <c r="E20" s="181" t="s">
        <v>224</v>
      </c>
      <c r="F20" s="184" t="s">
        <v>250</v>
      </c>
      <c r="G20" s="181" t="s">
        <v>224</v>
      </c>
      <c r="H20" s="184" t="s">
        <v>251</v>
      </c>
    </row>
    <row r="21" spans="1:8" ht="15.75" thickBot="1" x14ac:dyDescent="0.3">
      <c r="A21" s="27" t="s">
        <v>22</v>
      </c>
      <c r="B21" s="30">
        <v>26</v>
      </c>
      <c r="C21" s="153" t="s">
        <v>27</v>
      </c>
      <c r="D21" s="163">
        <v>1000</v>
      </c>
      <c r="E21" s="182" t="s">
        <v>225</v>
      </c>
      <c r="F21" s="183"/>
      <c r="G21" s="182" t="s">
        <v>225</v>
      </c>
      <c r="H21" s="182"/>
    </row>
    <row r="22" spans="1:8" x14ac:dyDescent="0.25">
      <c r="A22" s="27" t="s">
        <v>24</v>
      </c>
      <c r="B22" s="30">
        <v>1.8</v>
      </c>
      <c r="C22" s="153" t="s">
        <v>29</v>
      </c>
      <c r="D22" s="163">
        <f>D21/1000</f>
        <v>1</v>
      </c>
      <c r="E22" s="196" t="s">
        <v>226</v>
      </c>
      <c r="F22" s="185">
        <v>0.4</v>
      </c>
      <c r="G22" s="196" t="s">
        <v>226</v>
      </c>
      <c r="H22" s="188">
        <f>0.2</f>
        <v>0.2</v>
      </c>
    </row>
    <row r="23" spans="1:8" x14ac:dyDescent="0.25">
      <c r="A23" s="27" t="s">
        <v>26</v>
      </c>
      <c r="B23" s="159">
        <f>B21/B22</f>
        <v>14.444444444444445</v>
      </c>
      <c r="C23" s="192" t="s">
        <v>205</v>
      </c>
      <c r="D23" s="83">
        <v>1.5</v>
      </c>
      <c r="E23" s="164" t="s">
        <v>236</v>
      </c>
      <c r="F23" s="164">
        <v>0.3</v>
      </c>
      <c r="G23" s="164" t="s">
        <v>240</v>
      </c>
      <c r="H23" s="72">
        <v>0.3</v>
      </c>
    </row>
    <row r="24" spans="1:8" x14ac:dyDescent="0.25">
      <c r="A24" s="157" t="s">
        <v>197</v>
      </c>
      <c r="B24" s="159">
        <v>4560.83</v>
      </c>
      <c r="C24" s="192" t="s">
        <v>204</v>
      </c>
      <c r="D24" s="83">
        <v>4.5</v>
      </c>
      <c r="E24" s="164" t="s">
        <v>237</v>
      </c>
      <c r="F24" s="186">
        <v>6</v>
      </c>
      <c r="G24" s="164" t="s">
        <v>241</v>
      </c>
      <c r="H24" s="189">
        <v>6</v>
      </c>
    </row>
    <row r="25" spans="1:8" x14ac:dyDescent="0.25">
      <c r="A25" s="157" t="s">
        <v>23</v>
      </c>
      <c r="B25" s="160">
        <f>E4</f>
        <v>1500</v>
      </c>
      <c r="C25" s="153" t="s">
        <v>203</v>
      </c>
      <c r="D25" s="163">
        <f>D24*D23</f>
        <v>6.75</v>
      </c>
      <c r="E25" s="164" t="s">
        <v>238</v>
      </c>
      <c r="F25" s="186">
        <v>2</v>
      </c>
      <c r="G25" s="164" t="s">
        <v>242</v>
      </c>
      <c r="H25" s="189">
        <v>2</v>
      </c>
    </row>
    <row r="26" spans="1:8" x14ac:dyDescent="0.25">
      <c r="A26" s="27" t="s">
        <v>36</v>
      </c>
      <c r="B26" s="30">
        <f>+G48</f>
        <v>9.6</v>
      </c>
      <c r="C26" s="191" t="s">
        <v>207</v>
      </c>
      <c r="D26" s="176"/>
      <c r="E26" s="164" t="s">
        <v>227</v>
      </c>
      <c r="F26" s="164">
        <f>ROUNDUP(F22/F23,0)</f>
        <v>2</v>
      </c>
      <c r="G26" s="186" t="s">
        <v>227</v>
      </c>
      <c r="H26" s="189">
        <f>ROUNDUP(H22/H23,0)</f>
        <v>1</v>
      </c>
    </row>
    <row r="27" spans="1:8" x14ac:dyDescent="0.25">
      <c r="A27" s="27" t="s">
        <v>38</v>
      </c>
      <c r="B27" s="30">
        <v>60</v>
      </c>
      <c r="C27" s="193" t="s">
        <v>208</v>
      </c>
      <c r="D27" s="176">
        <v>8</v>
      </c>
      <c r="E27" s="197" t="s">
        <v>228</v>
      </c>
      <c r="F27" s="164"/>
      <c r="G27" s="197" t="s">
        <v>228</v>
      </c>
      <c r="H27" s="164"/>
    </row>
    <row r="28" spans="1:8" x14ac:dyDescent="0.25">
      <c r="A28" s="27" t="s">
        <v>40</v>
      </c>
      <c r="B28" s="30">
        <f>B26/B27*60</f>
        <v>9.6</v>
      </c>
      <c r="C28" s="194" t="s">
        <v>209</v>
      </c>
      <c r="D28" s="83">
        <v>15</v>
      </c>
      <c r="E28" s="164" t="s">
        <v>253</v>
      </c>
      <c r="F28" s="164">
        <v>2</v>
      </c>
      <c r="G28" s="164" t="s">
        <v>253</v>
      </c>
      <c r="H28" s="164">
        <v>8</v>
      </c>
    </row>
    <row r="29" spans="1:8" x14ac:dyDescent="0.25">
      <c r="A29" s="27" t="s">
        <v>198</v>
      </c>
      <c r="B29" s="30">
        <v>5</v>
      </c>
      <c r="C29" s="193" t="s">
        <v>210</v>
      </c>
      <c r="D29" s="83">
        <v>4</v>
      </c>
      <c r="E29" s="164" t="s">
        <v>252</v>
      </c>
      <c r="F29" s="164">
        <f>118.37+128.13+92.7+110.37</f>
        <v>449.57</v>
      </c>
      <c r="G29" s="164" t="s">
        <v>252</v>
      </c>
      <c r="H29" s="164">
        <f>118.37+128.13+92.7+110.37</f>
        <v>449.57</v>
      </c>
    </row>
    <row r="30" spans="1:8" x14ac:dyDescent="0.25">
      <c r="A30" s="27" t="s">
        <v>199</v>
      </c>
      <c r="B30" s="30">
        <f>B28</f>
        <v>9.6</v>
      </c>
      <c r="C30" s="193" t="s">
        <v>211</v>
      </c>
      <c r="D30" s="83">
        <f>D29+D27</f>
        <v>12</v>
      </c>
      <c r="E30" s="164" t="s">
        <v>229</v>
      </c>
      <c r="F30" s="164">
        <v>2.1339999999999999</v>
      </c>
      <c r="G30" s="164" t="s">
        <v>229</v>
      </c>
      <c r="H30" s="164">
        <v>2.1339999999999999</v>
      </c>
    </row>
    <row r="31" spans="1:8" x14ac:dyDescent="0.25">
      <c r="A31" s="27" t="s">
        <v>200</v>
      </c>
      <c r="B31" s="30">
        <v>5</v>
      </c>
      <c r="C31" s="193" t="s">
        <v>212</v>
      </c>
      <c r="D31" s="83">
        <f>D29+D28</f>
        <v>19</v>
      </c>
      <c r="E31" s="164" t="s">
        <v>239</v>
      </c>
      <c r="F31" s="164">
        <f>ROUNDUP(1.5/F30,0)</f>
        <v>1</v>
      </c>
      <c r="G31" s="164" t="s">
        <v>239</v>
      </c>
      <c r="H31" s="164">
        <f>ROUNDUP(H28/H30,0)</f>
        <v>4</v>
      </c>
    </row>
    <row r="32" spans="1:8" ht="15.75" thickBot="1" x14ac:dyDescent="0.3">
      <c r="A32" s="27" t="s">
        <v>201</v>
      </c>
      <c r="B32" s="30">
        <f>B28</f>
        <v>9.6</v>
      </c>
      <c r="C32" s="193" t="s">
        <v>213</v>
      </c>
      <c r="D32" s="83">
        <v>3</v>
      </c>
      <c r="E32" s="198" t="s">
        <v>230</v>
      </c>
      <c r="F32" s="186"/>
      <c r="G32" s="198" t="s">
        <v>230</v>
      </c>
      <c r="H32" s="189"/>
    </row>
    <row r="33" spans="1:11" x14ac:dyDescent="0.25">
      <c r="A33" s="27" t="s">
        <v>50</v>
      </c>
      <c r="B33" s="30">
        <f>SUM(B29:B32)</f>
        <v>29.200000000000003</v>
      </c>
      <c r="C33" s="193" t="s">
        <v>214</v>
      </c>
      <c r="D33" s="83">
        <v>2</v>
      </c>
      <c r="E33" s="199" t="s">
        <v>243</v>
      </c>
      <c r="F33" s="200"/>
      <c r="G33" s="203" t="s">
        <v>243</v>
      </c>
      <c r="H33" s="204"/>
    </row>
    <row r="34" spans="1:11" ht="26.25" x14ac:dyDescent="0.25">
      <c r="A34" s="27" t="s">
        <v>52</v>
      </c>
      <c r="B34" s="30">
        <f>B33/B29</f>
        <v>5.8400000000000007</v>
      </c>
      <c r="C34" s="193" t="s">
        <v>215</v>
      </c>
      <c r="D34" s="83">
        <f>D33+D32</f>
        <v>5</v>
      </c>
      <c r="E34" s="201" t="s">
        <v>231</v>
      </c>
      <c r="F34" s="164">
        <f>F31*F24*F26</f>
        <v>12</v>
      </c>
      <c r="G34" s="205" t="s">
        <v>231</v>
      </c>
      <c r="H34" s="72">
        <f>H31*H24*H26</f>
        <v>24</v>
      </c>
    </row>
    <row r="35" spans="1:11" x14ac:dyDescent="0.25">
      <c r="A35" s="97" t="s">
        <v>54</v>
      </c>
      <c r="B35" s="30">
        <f>ROUNDUP(B34,0)</f>
        <v>6</v>
      </c>
      <c r="C35" s="193" t="s">
        <v>216</v>
      </c>
      <c r="D35" s="83">
        <f>D30*D32</f>
        <v>36</v>
      </c>
      <c r="E35" s="187" t="s">
        <v>232</v>
      </c>
      <c r="F35" s="187">
        <f>F34*F29</f>
        <v>5394.84</v>
      </c>
      <c r="G35" s="206" t="s">
        <v>232</v>
      </c>
      <c r="H35" s="187">
        <f>H34*H29</f>
        <v>10789.68</v>
      </c>
    </row>
    <row r="36" spans="1:11" ht="26.25" x14ac:dyDescent="0.25">
      <c r="A36" s="98" t="s">
        <v>61</v>
      </c>
      <c r="B36" s="98">
        <f>ROUNDUP(B25/B23,0)</f>
        <v>104</v>
      </c>
      <c r="C36" s="193" t="s">
        <v>217</v>
      </c>
      <c r="D36" s="83">
        <f>D31*D33</f>
        <v>38</v>
      </c>
      <c r="E36" s="187" t="s">
        <v>233</v>
      </c>
      <c r="F36" s="179">
        <f>F35/(F25*1000)/24</f>
        <v>0.11239250000000001</v>
      </c>
      <c r="G36" s="206" t="s">
        <v>233</v>
      </c>
      <c r="H36" s="179">
        <f>H35/(H25*1000)/24</f>
        <v>0.22478500000000001</v>
      </c>
    </row>
    <row r="37" spans="1:11" ht="26.25" x14ac:dyDescent="0.25">
      <c r="A37" s="27" t="s">
        <v>56</v>
      </c>
      <c r="B37" s="138">
        <f>B35*B23</f>
        <v>86.666666666666671</v>
      </c>
      <c r="C37" s="195" t="s">
        <v>244</v>
      </c>
      <c r="D37" s="177">
        <f>D36+D35</f>
        <v>74</v>
      </c>
      <c r="E37" s="187" t="s">
        <v>234</v>
      </c>
      <c r="F37" s="187">
        <v>1.1499999999999999</v>
      </c>
      <c r="G37" s="206" t="s">
        <v>234</v>
      </c>
      <c r="H37" s="190">
        <v>1.1499999999999999</v>
      </c>
    </row>
    <row r="38" spans="1:11" x14ac:dyDescent="0.25">
      <c r="A38" s="27" t="s">
        <v>58</v>
      </c>
      <c r="B38" s="138">
        <f>B25/B37</f>
        <v>17.307692307692307</v>
      </c>
      <c r="C38" s="193" t="s">
        <v>218</v>
      </c>
      <c r="D38" s="83">
        <f>8/6</f>
        <v>1.3333333333333333</v>
      </c>
      <c r="E38" s="164" t="s">
        <v>235</v>
      </c>
      <c r="F38" s="179">
        <f>F36*F37</f>
        <v>0.129251375</v>
      </c>
      <c r="G38" s="164" t="s">
        <v>235</v>
      </c>
      <c r="H38" s="179">
        <f>H36*H37</f>
        <v>0.25850275</v>
      </c>
    </row>
    <row r="39" spans="1:11" x14ac:dyDescent="0.25">
      <c r="A39" s="97" t="s">
        <v>54</v>
      </c>
      <c r="B39" s="30">
        <f>ROUNDUP(B38,0)</f>
        <v>18</v>
      </c>
      <c r="C39" s="193" t="s">
        <v>219</v>
      </c>
      <c r="D39" s="83">
        <f>1.3</f>
        <v>1.3</v>
      </c>
      <c r="E39" s="178"/>
      <c r="F39" s="62"/>
      <c r="G39" s="81"/>
      <c r="H39" s="81"/>
    </row>
    <row r="40" spans="1:11" ht="26.25" x14ac:dyDescent="0.25">
      <c r="A40" s="95" t="s">
        <v>60</v>
      </c>
      <c r="B40" s="30">
        <f>B39*B33*B35</f>
        <v>3153.6000000000004</v>
      </c>
      <c r="C40" s="193" t="s">
        <v>220</v>
      </c>
      <c r="D40" s="83">
        <f>D38*D37</f>
        <v>98.666666666666657</v>
      </c>
      <c r="E40" s="178" t="s">
        <v>269</v>
      </c>
      <c r="F40" s="62">
        <f>F22*F29*F28</f>
        <v>359.65600000000001</v>
      </c>
      <c r="G40" s="81" t="s">
        <v>268</v>
      </c>
      <c r="H40" s="81">
        <f>H29*H28*H22</f>
        <v>719.31200000000001</v>
      </c>
    </row>
    <row r="41" spans="1:11" x14ac:dyDescent="0.25">
      <c r="A41" s="99" t="s">
        <v>62</v>
      </c>
      <c r="B41" s="180">
        <f>B40/60/24</f>
        <v>2.1900000000000004</v>
      </c>
      <c r="C41" s="193" t="s">
        <v>221</v>
      </c>
      <c r="D41" s="83">
        <f>D40*D39</f>
        <v>128.26666666666665</v>
      </c>
      <c r="E41" s="178" t="s">
        <v>267</v>
      </c>
      <c r="F41" s="62">
        <f>F40*B22</f>
        <v>647.38080000000002</v>
      </c>
      <c r="G41" s="81" t="s">
        <v>267</v>
      </c>
      <c r="H41" s="81">
        <f>H40*B22</f>
        <v>1294.7616</v>
      </c>
    </row>
    <row r="42" spans="1:11" ht="26.25" x14ac:dyDescent="0.25">
      <c r="A42" s="157"/>
      <c r="B42" s="158"/>
      <c r="C42" s="193" t="s">
        <v>222</v>
      </c>
      <c r="D42" s="83">
        <f>B24/D25*D41</f>
        <v>86667.031308641977</v>
      </c>
      <c r="E42" s="178"/>
      <c r="F42" s="62"/>
      <c r="G42" s="207" t="s">
        <v>254</v>
      </c>
      <c r="H42" s="208">
        <f>F38+H38+D44+B41</f>
        <v>3.5808447651463196</v>
      </c>
    </row>
    <row r="43" spans="1:11" x14ac:dyDescent="0.25">
      <c r="A43" s="157"/>
      <c r="B43" s="158"/>
      <c r="C43" s="193" t="s">
        <v>245</v>
      </c>
      <c r="D43" s="83">
        <f>D42/3600</f>
        <v>24.07417536351166</v>
      </c>
      <c r="E43" s="178"/>
      <c r="F43" s="62"/>
      <c r="G43" s="81" t="s">
        <v>255</v>
      </c>
      <c r="H43" s="81">
        <f>H42/8*24</f>
        <v>10.742534295438958</v>
      </c>
    </row>
    <row r="44" spans="1:11" x14ac:dyDescent="0.25">
      <c r="A44" s="157"/>
      <c r="B44" s="158"/>
      <c r="C44" s="193"/>
      <c r="D44" s="179">
        <f>D43/24</f>
        <v>1.0030906401463191</v>
      </c>
      <c r="E44" s="178"/>
      <c r="F44" s="156"/>
      <c r="G44" s="81" t="s">
        <v>270</v>
      </c>
      <c r="H44" s="81">
        <f>B25/(H42*24)</f>
        <v>17.453981978871443</v>
      </c>
    </row>
    <row r="45" spans="1:11" x14ac:dyDescent="0.25">
      <c r="A45" s="157"/>
      <c r="B45" s="158"/>
      <c r="C45" s="193" t="s">
        <v>223</v>
      </c>
      <c r="D45" s="83">
        <f>D42/B24</f>
        <v>19.002469135802471</v>
      </c>
      <c r="E45" s="178"/>
      <c r="F45" s="156"/>
      <c r="G45" s="81"/>
      <c r="H45" s="81"/>
    </row>
    <row r="46" spans="1:11" x14ac:dyDescent="0.25">
      <c r="A46" s="38" t="s">
        <v>63</v>
      </c>
      <c r="B46" s="39"/>
      <c r="C46" s="39"/>
      <c r="D46" s="39"/>
      <c r="E46" s="173"/>
      <c r="F46" s="154" t="s">
        <v>64</v>
      </c>
      <c r="G46" s="154"/>
      <c r="H46" s="155"/>
    </row>
    <row r="47" spans="1:11" ht="25.5" x14ac:dyDescent="0.25">
      <c r="A47" s="40" t="s">
        <v>11</v>
      </c>
      <c r="B47" s="41" t="s">
        <v>12</v>
      </c>
      <c r="C47" s="41" t="s">
        <v>4</v>
      </c>
      <c r="D47" s="41" t="s">
        <v>65</v>
      </c>
      <c r="E47" s="174" t="s">
        <v>66</v>
      </c>
      <c r="F47" s="43" t="s">
        <v>67</v>
      </c>
      <c r="G47" s="43" t="s">
        <v>68</v>
      </c>
      <c r="H47" s="44" t="s">
        <v>69</v>
      </c>
    </row>
    <row r="48" spans="1:11" s="223" customFormat="1" ht="118.5" customHeight="1" x14ac:dyDescent="0.25">
      <c r="A48" s="211" t="s">
        <v>194</v>
      </c>
      <c r="B48" s="210">
        <f>H41</f>
        <v>1294.7616</v>
      </c>
      <c r="C48" s="212" t="s">
        <v>119</v>
      </c>
      <c r="D48" s="210">
        <v>12.57</v>
      </c>
      <c r="E48" s="213">
        <f>D48*B48</f>
        <v>16275.153312</v>
      </c>
      <c r="F48" s="220" t="s">
        <v>193</v>
      </c>
      <c r="G48" s="218">
        <v>9.6</v>
      </c>
      <c r="H48" s="219">
        <v>18</v>
      </c>
      <c r="K48" s="224"/>
    </row>
    <row r="49" spans="1:8" s="223" customFormat="1" ht="15.75" thickBot="1" x14ac:dyDescent="0.3">
      <c r="A49" s="214" t="s">
        <v>195</v>
      </c>
      <c r="B49" s="215">
        <f>F41</f>
        <v>647.38080000000002</v>
      </c>
      <c r="C49" s="216" t="s">
        <v>119</v>
      </c>
      <c r="D49" s="215">
        <v>9.73</v>
      </c>
      <c r="E49" s="217">
        <f>IF(A49="","",B49*D49)</f>
        <v>6299.0151840000008</v>
      </c>
      <c r="F49" s="221" t="s">
        <v>196</v>
      </c>
      <c r="G49" s="221" t="s">
        <v>196</v>
      </c>
      <c r="H49" s="222"/>
    </row>
  </sheetData>
  <mergeCells count="21">
    <mergeCell ref="C9:D9"/>
    <mergeCell ref="C10:D10"/>
    <mergeCell ref="G9:H9"/>
    <mergeCell ref="G10:H10"/>
    <mergeCell ref="A14:H17"/>
    <mergeCell ref="C11:D11"/>
    <mergeCell ref="G11:H11"/>
    <mergeCell ref="C12:D12"/>
    <mergeCell ref="G12:H12"/>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52"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pageSetUpPr fitToPage="1"/>
  </sheetPr>
  <dimension ref="A1:M49"/>
  <sheetViews>
    <sheetView zoomScale="40" zoomScaleNormal="40" workbookViewId="0">
      <selection activeCell="K16" sqref="K16:O30"/>
    </sheetView>
  </sheetViews>
  <sheetFormatPr baseColWidth="10" defaultRowHeight="15" x14ac:dyDescent="0.25"/>
  <cols>
    <col min="1" max="1" width="17.7109375" customWidth="1"/>
    <col min="4" max="4" width="25.140625" customWidth="1"/>
    <col min="5" max="5" width="16.7109375" customWidth="1"/>
    <col min="7" max="7" width="23"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84</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306.15300000000002</v>
      </c>
      <c r="F4" s="85" t="s">
        <v>119</v>
      </c>
      <c r="G4" s="3" t="s">
        <v>578</v>
      </c>
      <c r="H4" s="4" t="s">
        <v>549</v>
      </c>
    </row>
    <row r="5" spans="1:8" x14ac:dyDescent="0.25">
      <c r="A5" s="664" t="s">
        <v>8</v>
      </c>
      <c r="B5" s="665"/>
      <c r="C5" s="665"/>
      <c r="D5" s="665"/>
      <c r="E5" s="665"/>
      <c r="F5" s="665"/>
      <c r="G5" s="665"/>
      <c r="H5" s="666"/>
    </row>
    <row r="6" spans="1:8" ht="62.25" customHeight="1" x14ac:dyDescent="0.25">
      <c r="A6" s="667" t="s">
        <v>85</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t="s">
        <v>579</v>
      </c>
      <c r="B9" s="9">
        <v>1</v>
      </c>
      <c r="C9" s="675"/>
      <c r="D9" s="676"/>
      <c r="E9" s="10" t="s">
        <v>580</v>
      </c>
      <c r="F9" s="9">
        <v>5</v>
      </c>
      <c r="G9" s="675"/>
      <c r="H9" s="681"/>
    </row>
    <row r="10" spans="1:8" x14ac:dyDescent="0.25">
      <c r="A10" s="8" t="s">
        <v>257</v>
      </c>
      <c r="B10" s="9">
        <v>1</v>
      </c>
      <c r="C10" s="731"/>
      <c r="D10" s="732"/>
      <c r="E10" s="10" t="s">
        <v>261</v>
      </c>
      <c r="F10" s="9">
        <v>1</v>
      </c>
      <c r="G10" s="733"/>
      <c r="H10" s="734"/>
    </row>
    <row r="11" spans="1:8" ht="24.75" customHeight="1" x14ac:dyDescent="0.25">
      <c r="A11" s="8" t="s">
        <v>256</v>
      </c>
      <c r="B11" s="9">
        <v>4</v>
      </c>
      <c r="C11" s="677"/>
      <c r="D11" s="678"/>
      <c r="E11" s="10"/>
      <c r="F11" s="9"/>
      <c r="G11" s="682"/>
      <c r="H11" s="683"/>
    </row>
    <row r="12" spans="1:8" x14ac:dyDescent="0.25">
      <c r="A12" s="12" t="s">
        <v>16</v>
      </c>
      <c r="B12" s="13"/>
      <c r="C12" s="13"/>
      <c r="D12" s="13"/>
      <c r="E12" s="13"/>
      <c r="F12" s="13"/>
      <c r="G12" s="13"/>
      <c r="H12" s="14"/>
    </row>
    <row r="13" spans="1:8" x14ac:dyDescent="0.25">
      <c r="A13" s="699" t="s">
        <v>581</v>
      </c>
      <c r="B13" s="700"/>
      <c r="C13" s="700"/>
      <c r="D13" s="700"/>
      <c r="E13" s="700"/>
      <c r="F13" s="700"/>
      <c r="G13" s="700"/>
      <c r="H13" s="701"/>
    </row>
    <row r="14" spans="1:8" x14ac:dyDescent="0.25">
      <c r="A14" s="702"/>
      <c r="B14" s="703"/>
      <c r="C14" s="703"/>
      <c r="D14" s="703"/>
      <c r="E14" s="703"/>
      <c r="F14" s="703"/>
      <c r="G14" s="703"/>
      <c r="H14" s="704"/>
    </row>
    <row r="15" spans="1:8" x14ac:dyDescent="0.25">
      <c r="A15" s="705"/>
      <c r="B15" s="706"/>
      <c r="C15" s="706"/>
      <c r="D15" s="706"/>
      <c r="E15" s="706"/>
      <c r="F15" s="706"/>
      <c r="G15" s="706"/>
      <c r="H15" s="707"/>
    </row>
    <row r="16" spans="1:8" x14ac:dyDescent="0.25">
      <c r="A16" s="12" t="s">
        <v>17</v>
      </c>
      <c r="B16" s="21"/>
      <c r="C16" s="21"/>
      <c r="D16" s="21"/>
      <c r="E16" s="21"/>
      <c r="F16" s="21"/>
      <c r="G16" s="21"/>
      <c r="H16" s="22"/>
    </row>
    <row r="17" spans="1:13" ht="15.75" thickBot="1" x14ac:dyDescent="0.3">
      <c r="A17" s="23" t="s">
        <v>18</v>
      </c>
      <c r="B17" s="24" t="s">
        <v>3</v>
      </c>
      <c r="C17" s="16"/>
      <c r="D17" s="23" t="s">
        <v>18</v>
      </c>
      <c r="E17" s="24" t="s">
        <v>3</v>
      </c>
      <c r="F17" s="16"/>
      <c r="G17" s="249" t="s">
        <v>18</v>
      </c>
      <c r="H17" s="250" t="s">
        <v>3</v>
      </c>
    </row>
    <row r="18" spans="1:13" ht="15.75" thickBot="1" x14ac:dyDescent="0.3">
      <c r="A18" s="165" t="s">
        <v>20</v>
      </c>
      <c r="B18" s="30"/>
      <c r="C18" s="57"/>
      <c r="D18" s="234" t="s">
        <v>274</v>
      </c>
      <c r="E18" s="229"/>
      <c r="F18" s="57"/>
      <c r="G18" s="242" t="s">
        <v>224</v>
      </c>
      <c r="H18" s="184"/>
    </row>
    <row r="19" spans="1:13" ht="27" thickBot="1" x14ac:dyDescent="0.3">
      <c r="A19" s="27" t="s">
        <v>22</v>
      </c>
      <c r="B19" s="30">
        <v>26</v>
      </c>
      <c r="C19" s="62"/>
      <c r="D19" s="230" t="s">
        <v>275</v>
      </c>
      <c r="E19" s="70">
        <v>3.7</v>
      </c>
      <c r="F19" s="62"/>
      <c r="G19" s="243" t="s">
        <v>225</v>
      </c>
      <c r="H19" s="183"/>
    </row>
    <row r="20" spans="1:13" x14ac:dyDescent="0.25">
      <c r="A20" s="27" t="s">
        <v>24</v>
      </c>
      <c r="B20" s="30">
        <v>2.5</v>
      </c>
      <c r="C20" s="62"/>
      <c r="D20" s="230" t="s">
        <v>276</v>
      </c>
      <c r="E20" s="70">
        <f>ROUND(E19*SIN(RADIANS(E21)),2)</f>
        <v>2.62</v>
      </c>
      <c r="F20" s="62"/>
      <c r="G20" s="244" t="s">
        <v>226</v>
      </c>
      <c r="H20" s="185">
        <f>B22</f>
        <v>0.04</v>
      </c>
    </row>
    <row r="21" spans="1:13" x14ac:dyDescent="0.25">
      <c r="A21" s="27" t="s">
        <v>26</v>
      </c>
      <c r="B21" s="159">
        <f>B19/B20</f>
        <v>10.4</v>
      </c>
      <c r="C21" s="62"/>
      <c r="D21" s="230" t="s">
        <v>277</v>
      </c>
      <c r="E21" s="29">
        <v>45</v>
      </c>
      <c r="F21" s="62"/>
      <c r="G21" s="187" t="s">
        <v>299</v>
      </c>
      <c r="H21" s="164">
        <v>0.3</v>
      </c>
    </row>
    <row r="22" spans="1:13" x14ac:dyDescent="0.25">
      <c r="A22" s="104" t="s">
        <v>166</v>
      </c>
      <c r="B22" s="159">
        <v>0.04</v>
      </c>
      <c r="C22" s="62"/>
      <c r="D22" s="230" t="s">
        <v>278</v>
      </c>
      <c r="E22" s="29">
        <f>2*1000</f>
        <v>2000</v>
      </c>
      <c r="F22" s="62"/>
      <c r="G22" s="187" t="s">
        <v>301</v>
      </c>
      <c r="H22" s="186">
        <v>6</v>
      </c>
    </row>
    <row r="23" spans="1:13" x14ac:dyDescent="0.25">
      <c r="A23" s="157" t="s">
        <v>23</v>
      </c>
      <c r="B23" s="160">
        <f>B24/B20</f>
        <v>122.46120000000001</v>
      </c>
      <c r="C23" s="62"/>
      <c r="D23" s="230" t="s">
        <v>279</v>
      </c>
      <c r="E23" s="29">
        <f>30*1000</f>
        <v>30000</v>
      </c>
      <c r="F23" s="62"/>
      <c r="G23" s="187" t="s">
        <v>300</v>
      </c>
      <c r="H23" s="186">
        <v>2</v>
      </c>
      <c r="M23" s="150"/>
    </row>
    <row r="24" spans="1:13" x14ac:dyDescent="0.25">
      <c r="A24" s="63" t="s">
        <v>273</v>
      </c>
      <c r="B24" s="87">
        <f>E4</f>
        <v>306.15300000000002</v>
      </c>
      <c r="C24" s="62"/>
      <c r="D24" s="230" t="s">
        <v>280</v>
      </c>
      <c r="E24" s="29">
        <f>ROUNDUP(B44/E20,0)</f>
        <v>3</v>
      </c>
      <c r="F24" s="62"/>
      <c r="G24" s="187" t="s">
        <v>227</v>
      </c>
      <c r="H24" s="164">
        <f>ROUNDUP(H20/H21,0)</f>
        <v>1</v>
      </c>
      <c r="M24" s="150"/>
    </row>
    <row r="25" spans="1:13" x14ac:dyDescent="0.25">
      <c r="A25" s="65" t="s">
        <v>36</v>
      </c>
      <c r="B25" s="74">
        <f>G48</f>
        <v>16.600000000000001</v>
      </c>
      <c r="C25" s="62"/>
      <c r="D25" s="230" t="s">
        <v>281</v>
      </c>
      <c r="E25" s="29">
        <f>B45*E24</f>
        <v>1348.71</v>
      </c>
      <c r="F25" s="62"/>
      <c r="G25" s="245" t="s">
        <v>228</v>
      </c>
      <c r="H25" s="164"/>
    </row>
    <row r="26" spans="1:13" x14ac:dyDescent="0.25">
      <c r="A26" s="65" t="s">
        <v>38</v>
      </c>
      <c r="B26" s="74">
        <v>60</v>
      </c>
      <c r="C26" s="62"/>
      <c r="D26" s="230" t="s">
        <v>282</v>
      </c>
      <c r="E26" s="70">
        <f>8/6</f>
        <v>1.3333333333333333</v>
      </c>
      <c r="F26" s="62"/>
      <c r="G26" s="187" t="s">
        <v>229</v>
      </c>
      <c r="H26" s="164">
        <v>2.1339999999999999</v>
      </c>
    </row>
    <row r="27" spans="1:13" ht="26.25" x14ac:dyDescent="0.25">
      <c r="A27" s="65" t="s">
        <v>40</v>
      </c>
      <c r="B27" s="74">
        <f>B25/B26*60</f>
        <v>16.600000000000001</v>
      </c>
      <c r="C27" s="62"/>
      <c r="D27" s="230" t="s">
        <v>283</v>
      </c>
      <c r="E27" s="70">
        <f>3</f>
        <v>3</v>
      </c>
      <c r="F27" s="62"/>
      <c r="G27" s="187" t="s">
        <v>239</v>
      </c>
      <c r="H27" s="164">
        <f>ROUNDUP(B44/H26,0)</f>
        <v>4</v>
      </c>
    </row>
    <row r="28" spans="1:13" ht="27" thickBot="1" x14ac:dyDescent="0.3">
      <c r="A28" s="65" t="s">
        <v>198</v>
      </c>
      <c r="B28" s="74">
        <v>5</v>
      </c>
      <c r="C28" s="62"/>
      <c r="D28" s="230" t="s">
        <v>284</v>
      </c>
      <c r="E28" s="70">
        <v>2</v>
      </c>
      <c r="F28" s="62"/>
      <c r="G28" s="246" t="s">
        <v>230</v>
      </c>
      <c r="H28" s="186"/>
    </row>
    <row r="29" spans="1:13" x14ac:dyDescent="0.25">
      <c r="A29" s="65" t="s">
        <v>199</v>
      </c>
      <c r="B29" s="74">
        <f>B27</f>
        <v>16.600000000000001</v>
      </c>
      <c r="C29" s="62"/>
      <c r="D29" s="230" t="s">
        <v>285</v>
      </c>
      <c r="E29" s="70">
        <f>(E27+E28)*E25</f>
        <v>6743.55</v>
      </c>
      <c r="F29" s="62"/>
      <c r="G29" s="247" t="s">
        <v>243</v>
      </c>
      <c r="H29" s="200"/>
    </row>
    <row r="30" spans="1:13" ht="26.25" x14ac:dyDescent="0.25">
      <c r="A30" s="65" t="s">
        <v>200</v>
      </c>
      <c r="B30" s="74">
        <v>5</v>
      </c>
      <c r="C30" s="62"/>
      <c r="D30" s="230" t="s">
        <v>286</v>
      </c>
      <c r="E30" s="70">
        <f>E29</f>
        <v>6743.55</v>
      </c>
      <c r="F30" s="62"/>
      <c r="G30" s="248" t="s">
        <v>231</v>
      </c>
      <c r="H30" s="164">
        <f>H27*H22*H24</f>
        <v>24</v>
      </c>
    </row>
    <row r="31" spans="1:13" x14ac:dyDescent="0.25">
      <c r="A31" s="65" t="s">
        <v>201</v>
      </c>
      <c r="B31" s="74">
        <f>B27</f>
        <v>16.600000000000001</v>
      </c>
      <c r="C31" s="62"/>
      <c r="D31" s="230" t="s">
        <v>287</v>
      </c>
      <c r="E31" s="69">
        <f>E29/E22</f>
        <v>3.371775</v>
      </c>
      <c r="F31" s="62"/>
      <c r="G31" s="187" t="s">
        <v>232</v>
      </c>
      <c r="H31" s="187">
        <f>H30*B45</f>
        <v>10789.68</v>
      </c>
    </row>
    <row r="32" spans="1:13" x14ac:dyDescent="0.25">
      <c r="A32" s="65" t="s">
        <v>50</v>
      </c>
      <c r="B32" s="74">
        <f>SUM(B28:B31)</f>
        <v>43.2</v>
      </c>
      <c r="C32" s="62"/>
      <c r="D32" s="230" t="s">
        <v>288</v>
      </c>
      <c r="E32" s="231">
        <f>E30/E23</f>
        <v>0.22478500000000001</v>
      </c>
      <c r="F32" s="62"/>
      <c r="G32" s="187" t="s">
        <v>233</v>
      </c>
      <c r="H32" s="236">
        <f>H31/(H23*1000)/24</f>
        <v>0.22478500000000001</v>
      </c>
    </row>
    <row r="33" spans="1:8" ht="39" x14ac:dyDescent="0.25">
      <c r="A33" s="65" t="s">
        <v>52</v>
      </c>
      <c r="B33" s="74">
        <f>B32/B28</f>
        <v>8.64</v>
      </c>
      <c r="C33" s="62"/>
      <c r="D33" s="230" t="s">
        <v>289</v>
      </c>
      <c r="E33" s="231">
        <f>((E31+E32)*E26)</f>
        <v>4.7954133333333333</v>
      </c>
      <c r="F33" s="62"/>
      <c r="G33" s="187" t="s">
        <v>234</v>
      </c>
      <c r="H33" s="187">
        <v>1.1499999999999999</v>
      </c>
    </row>
    <row r="34" spans="1:8" ht="26.25" x14ac:dyDescent="0.25">
      <c r="A34" s="225" t="s">
        <v>54</v>
      </c>
      <c r="B34" s="74">
        <f>ROUNDUP(B33,0)</f>
        <v>9</v>
      </c>
      <c r="C34" s="62"/>
      <c r="D34" s="235" t="s">
        <v>290</v>
      </c>
      <c r="E34" s="69">
        <v>1.3</v>
      </c>
      <c r="F34" s="62"/>
      <c r="G34" s="187" t="s">
        <v>235</v>
      </c>
      <c r="H34" s="236">
        <f>H32*H33</f>
        <v>0.25850275</v>
      </c>
    </row>
    <row r="35" spans="1:8" ht="39" x14ac:dyDescent="0.25">
      <c r="A35" s="65" t="s">
        <v>61</v>
      </c>
      <c r="B35" s="227">
        <f>ROUNDUP(B23/B21,0)</f>
        <v>12</v>
      </c>
      <c r="C35" s="62"/>
      <c r="D35" s="230" t="s">
        <v>291</v>
      </c>
      <c r="E35" s="232">
        <f>E33*E34</f>
        <v>6.2340373333333332</v>
      </c>
      <c r="F35" s="62"/>
      <c r="G35" s="62"/>
      <c r="H35" s="64"/>
    </row>
    <row r="36" spans="1:8" ht="26.25" x14ac:dyDescent="0.25">
      <c r="A36" s="238" t="s">
        <v>297</v>
      </c>
      <c r="B36" s="239">
        <v>4</v>
      </c>
      <c r="C36" s="62"/>
      <c r="D36" s="230"/>
      <c r="E36" s="233">
        <f>E35/24</f>
        <v>0.25975155555555557</v>
      </c>
      <c r="F36" s="62"/>
      <c r="G36" s="600" t="s">
        <v>254</v>
      </c>
      <c r="H36" s="601">
        <f>H34+E36</f>
        <v>0.51825430555555552</v>
      </c>
    </row>
    <row r="37" spans="1:8" ht="26.25" x14ac:dyDescent="0.25">
      <c r="A37" s="65" t="s">
        <v>56</v>
      </c>
      <c r="B37" s="159">
        <f>B34*B21</f>
        <v>93.600000000000009</v>
      </c>
      <c r="C37" s="62"/>
      <c r="D37" s="230" t="s">
        <v>292</v>
      </c>
      <c r="E37" s="232">
        <f>(B23/B22)/E35</f>
        <v>491.09908014667013</v>
      </c>
      <c r="F37" s="62"/>
      <c r="G37" s="598" t="s">
        <v>255</v>
      </c>
      <c r="H37" s="602">
        <f>H36/8*24</f>
        <v>1.5547629166666666</v>
      </c>
    </row>
    <row r="38" spans="1:8" ht="26.25" x14ac:dyDescent="0.25">
      <c r="A38" s="65" t="s">
        <v>58</v>
      </c>
      <c r="B38" s="159">
        <f>B23/B37</f>
        <v>1.3083461538461538</v>
      </c>
      <c r="C38" s="62"/>
      <c r="D38" s="230" t="s">
        <v>293</v>
      </c>
      <c r="E38" s="70">
        <f>E35/(B23/B22)*3600</f>
        <v>7.3304963204672164</v>
      </c>
      <c r="F38" s="62"/>
      <c r="G38" s="599" t="s">
        <v>270</v>
      </c>
      <c r="H38" s="603">
        <f>E4/12.5</f>
        <v>24.492240000000002</v>
      </c>
    </row>
    <row r="39" spans="1:8" ht="15.75" x14ac:dyDescent="0.25">
      <c r="A39" s="225" t="s">
        <v>54</v>
      </c>
      <c r="B39" s="74">
        <f>ROUNDUP(B38,0)</f>
        <v>2</v>
      </c>
      <c r="C39" s="62"/>
      <c r="D39" s="230"/>
      <c r="E39" s="233"/>
      <c r="F39" s="62"/>
      <c r="G39" s="81"/>
      <c r="H39" s="64"/>
    </row>
    <row r="40" spans="1:8" x14ac:dyDescent="0.25">
      <c r="A40" s="240" t="s">
        <v>298</v>
      </c>
      <c r="B40" s="239">
        <v>3</v>
      </c>
      <c r="C40" s="62"/>
      <c r="D40" s="230"/>
      <c r="E40" s="29"/>
      <c r="F40" s="62"/>
      <c r="G40" s="62"/>
      <c r="H40" s="64"/>
    </row>
    <row r="41" spans="1:8" ht="26.25" x14ac:dyDescent="0.25">
      <c r="A41" s="226" t="s">
        <v>60</v>
      </c>
      <c r="B41" s="228">
        <f>B40*B32*B36</f>
        <v>518.40000000000009</v>
      </c>
      <c r="C41" s="62"/>
      <c r="D41" s="230"/>
      <c r="E41" s="29"/>
      <c r="F41" s="62"/>
      <c r="G41" s="62"/>
      <c r="H41" s="64"/>
    </row>
    <row r="42" spans="1:8" ht="26.25" x14ac:dyDescent="0.25">
      <c r="A42" s="241" t="s">
        <v>62</v>
      </c>
      <c r="B42" s="180">
        <f>B41/60/24</f>
        <v>0.3600000000000001</v>
      </c>
      <c r="D42" s="230"/>
      <c r="E42" s="29"/>
      <c r="H42" s="64"/>
    </row>
    <row r="43" spans="1:8" x14ac:dyDescent="0.25">
      <c r="A43" s="237" t="s">
        <v>295</v>
      </c>
      <c r="B43" s="79"/>
      <c r="D43" s="230"/>
      <c r="E43" s="29"/>
      <c r="H43" s="64"/>
    </row>
    <row r="44" spans="1:8" x14ac:dyDescent="0.25">
      <c r="A44" s="63" t="s">
        <v>253</v>
      </c>
      <c r="B44" s="56">
        <v>7</v>
      </c>
      <c r="H44" s="64"/>
    </row>
    <row r="45" spans="1:8" x14ac:dyDescent="0.25">
      <c r="A45" s="63" t="s">
        <v>296</v>
      </c>
      <c r="B45" s="56">
        <f>118.37+128.13+92.7+110.37</f>
        <v>449.57</v>
      </c>
      <c r="H45" s="64"/>
    </row>
    <row r="46" spans="1:8" x14ac:dyDescent="0.25">
      <c r="A46" s="710" t="s">
        <v>63</v>
      </c>
      <c r="B46" s="679"/>
      <c r="C46" s="679"/>
      <c r="D46" s="679"/>
      <c r="E46" s="711"/>
      <c r="F46" s="679" t="s">
        <v>64</v>
      </c>
      <c r="G46" s="679"/>
      <c r="H46" s="680"/>
    </row>
    <row r="47" spans="1:8" ht="25.5" x14ac:dyDescent="0.25">
      <c r="A47" s="40" t="s">
        <v>11</v>
      </c>
      <c r="B47" s="41" t="s">
        <v>12</v>
      </c>
      <c r="C47" s="41" t="s">
        <v>4</v>
      </c>
      <c r="D47" s="41" t="s">
        <v>65</v>
      </c>
      <c r="E47" s="42" t="s">
        <v>66</v>
      </c>
      <c r="F47" s="43" t="s">
        <v>67</v>
      </c>
      <c r="G47" s="43" t="s">
        <v>68</v>
      </c>
      <c r="H47" s="44" t="s">
        <v>69</v>
      </c>
    </row>
    <row r="48" spans="1:8" ht="120" x14ac:dyDescent="0.25">
      <c r="A48" s="45" t="s">
        <v>583</v>
      </c>
      <c r="B48" s="9">
        <f>E4</f>
        <v>306.15300000000002</v>
      </c>
      <c r="C48" s="46" t="s">
        <v>190</v>
      </c>
      <c r="D48" s="9">
        <f>49</f>
        <v>49</v>
      </c>
      <c r="E48" s="47">
        <f>D48*B48</f>
        <v>15001.497000000001</v>
      </c>
      <c r="F48" s="100" t="s">
        <v>294</v>
      </c>
      <c r="G48" s="28">
        <v>16.600000000000001</v>
      </c>
      <c r="H48" s="48"/>
    </row>
    <row r="49" spans="1:8" ht="15.75" thickBot="1" x14ac:dyDescent="0.3">
      <c r="A49" s="49"/>
      <c r="B49" s="50"/>
      <c r="C49" s="51"/>
      <c r="D49" s="50" t="str">
        <f>IF(A49="","",VLOOKUP(A49,$O$3:$P$14,2,FALSE))</f>
        <v/>
      </c>
      <c r="E49" s="52" t="str">
        <f>IF(A49="","",B49*D49)</f>
        <v/>
      </c>
      <c r="F49" s="53"/>
      <c r="G49" s="53"/>
      <c r="H49" s="54"/>
    </row>
  </sheetData>
  <mergeCells count="19">
    <mergeCell ref="C9:D9"/>
    <mergeCell ref="G9:H9"/>
    <mergeCell ref="C11:D11"/>
    <mergeCell ref="G11:H11"/>
    <mergeCell ref="F46:H46"/>
    <mergeCell ref="A13:H15"/>
    <mergeCell ref="A46:E46"/>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68"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pageSetUpPr fitToPage="1"/>
  </sheetPr>
  <dimension ref="A1:H49"/>
  <sheetViews>
    <sheetView zoomScale="55" zoomScaleNormal="55" workbookViewId="0">
      <selection activeCell="G4" sqref="G4"/>
    </sheetView>
  </sheetViews>
  <sheetFormatPr baseColWidth="10" defaultRowHeight="15" x14ac:dyDescent="0.25"/>
  <cols>
    <col min="1" max="1" width="20" customWidth="1"/>
    <col min="4" max="4" width="21.28515625" customWidth="1"/>
    <col min="7" max="7" width="23.42578125" customWidth="1"/>
  </cols>
  <sheetData>
    <row r="1" spans="1:8" ht="15.75" x14ac:dyDescent="0.25">
      <c r="A1" s="646" t="s">
        <v>0</v>
      </c>
      <c r="B1" s="647"/>
      <c r="C1" s="648"/>
      <c r="D1" s="646" t="s">
        <v>1</v>
      </c>
      <c r="E1" s="647"/>
      <c r="F1" s="647"/>
      <c r="G1" s="647"/>
      <c r="H1" s="649"/>
    </row>
    <row r="2" spans="1:8" ht="34.5" customHeight="1" thickBot="1" x14ac:dyDescent="0.3">
      <c r="A2" s="650" t="s">
        <v>70</v>
      </c>
      <c r="B2" s="651"/>
      <c r="C2" s="652"/>
      <c r="D2" s="684" t="s">
        <v>86</v>
      </c>
      <c r="E2" s="685"/>
      <c r="F2" s="685"/>
      <c r="G2" s="685"/>
      <c r="H2" s="686"/>
    </row>
    <row r="3" spans="1:8" x14ac:dyDescent="0.25">
      <c r="A3" s="656" t="s">
        <v>2</v>
      </c>
      <c r="B3" s="658"/>
      <c r="C3" s="659"/>
      <c r="D3" s="660"/>
      <c r="E3" s="1" t="s">
        <v>3</v>
      </c>
      <c r="F3" s="1" t="s">
        <v>4</v>
      </c>
      <c r="G3" s="1" t="s">
        <v>5</v>
      </c>
      <c r="H3" s="2" t="s">
        <v>6</v>
      </c>
    </row>
    <row r="4" spans="1:8" ht="16.5" thickBot="1" x14ac:dyDescent="0.3">
      <c r="A4" s="657"/>
      <c r="B4" s="661"/>
      <c r="C4" s="662"/>
      <c r="D4" s="663"/>
      <c r="E4" s="3">
        <v>1836.9179999999999</v>
      </c>
      <c r="F4" s="85" t="s">
        <v>119</v>
      </c>
      <c r="G4" s="3" t="s">
        <v>578</v>
      </c>
      <c r="H4" s="729">
        <f>H38</f>
        <v>3.1965086111111112</v>
      </c>
    </row>
    <row r="5" spans="1:8" x14ac:dyDescent="0.25">
      <c r="A5" s="664" t="s">
        <v>8</v>
      </c>
      <c r="B5" s="665"/>
      <c r="C5" s="665"/>
      <c r="D5" s="665"/>
      <c r="E5" s="665"/>
      <c r="F5" s="665"/>
      <c r="G5" s="665"/>
      <c r="H5" s="666"/>
    </row>
    <row r="6" spans="1:8" ht="87" customHeight="1" x14ac:dyDescent="0.25">
      <c r="A6" s="667" t="s">
        <v>87</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25.5" x14ac:dyDescent="0.25">
      <c r="A9" s="8" t="s">
        <v>579</v>
      </c>
      <c r="B9" s="9">
        <v>1</v>
      </c>
      <c r="C9" s="675"/>
      <c r="D9" s="676"/>
      <c r="E9" s="10" t="s">
        <v>580</v>
      </c>
      <c r="F9" s="9">
        <v>12</v>
      </c>
      <c r="G9" s="675"/>
      <c r="H9" s="681"/>
    </row>
    <row r="10" spans="1:8" ht="25.5" x14ac:dyDescent="0.25">
      <c r="A10" s="8" t="s">
        <v>257</v>
      </c>
      <c r="B10" s="9">
        <v>1</v>
      </c>
      <c r="C10" s="731"/>
      <c r="D10" s="732"/>
      <c r="E10" s="10" t="s">
        <v>261</v>
      </c>
      <c r="F10" s="9">
        <v>1</v>
      </c>
      <c r="G10" s="733"/>
      <c r="H10" s="734"/>
    </row>
    <row r="11" spans="1:8" x14ac:dyDescent="0.25">
      <c r="A11" s="8" t="s">
        <v>256</v>
      </c>
      <c r="B11" s="9">
        <v>9</v>
      </c>
      <c r="C11" s="677"/>
      <c r="D11" s="678"/>
      <c r="E11" s="10"/>
      <c r="F11" s="9"/>
      <c r="G11" s="682"/>
      <c r="H11" s="683"/>
    </row>
    <row r="12" spans="1:8" x14ac:dyDescent="0.25">
      <c r="A12" s="12" t="s">
        <v>16</v>
      </c>
      <c r="B12" s="13"/>
      <c r="C12" s="13"/>
      <c r="D12" s="13"/>
      <c r="E12" s="13"/>
      <c r="F12" s="13"/>
      <c r="G12" s="13"/>
      <c r="H12" s="14"/>
    </row>
    <row r="13" spans="1:8" x14ac:dyDescent="0.25">
      <c r="A13" s="699" t="s">
        <v>581</v>
      </c>
      <c r="B13" s="700"/>
      <c r="C13" s="700"/>
      <c r="D13" s="700"/>
      <c r="E13" s="700"/>
      <c r="F13" s="700"/>
      <c r="G13" s="700"/>
      <c r="H13" s="701"/>
    </row>
    <row r="14" spans="1:8" x14ac:dyDescent="0.25">
      <c r="A14" s="702"/>
      <c r="B14" s="703"/>
      <c r="C14" s="703"/>
      <c r="D14" s="703"/>
      <c r="E14" s="703"/>
      <c r="F14" s="703"/>
      <c r="G14" s="703"/>
      <c r="H14" s="704"/>
    </row>
    <row r="15" spans="1:8" x14ac:dyDescent="0.25">
      <c r="A15" s="705"/>
      <c r="B15" s="706"/>
      <c r="C15" s="706"/>
      <c r="D15" s="706"/>
      <c r="E15" s="706"/>
      <c r="F15" s="706"/>
      <c r="G15" s="706"/>
      <c r="H15" s="707"/>
    </row>
    <row r="16" spans="1:8" x14ac:dyDescent="0.25">
      <c r="A16" s="12" t="s">
        <v>17</v>
      </c>
      <c r="B16" s="21"/>
      <c r="C16" s="21"/>
      <c r="D16" s="21"/>
      <c r="E16" s="21"/>
      <c r="F16" s="21"/>
      <c r="G16" s="21"/>
      <c r="H16" s="22"/>
    </row>
    <row r="17" spans="1:8" ht="15.75" thickBot="1" x14ac:dyDescent="0.3">
      <c r="A17" s="23" t="s">
        <v>18</v>
      </c>
      <c r="B17" s="24" t="s">
        <v>3</v>
      </c>
      <c r="C17" s="16"/>
      <c r="D17" s="23" t="s">
        <v>18</v>
      </c>
      <c r="E17" s="24" t="s">
        <v>3</v>
      </c>
      <c r="F17" s="16"/>
      <c r="G17" s="249" t="s">
        <v>18</v>
      </c>
      <c r="H17" s="250" t="s">
        <v>3</v>
      </c>
    </row>
    <row r="18" spans="1:8" ht="15.75" thickBot="1" x14ac:dyDescent="0.3">
      <c r="A18" s="165" t="s">
        <v>20</v>
      </c>
      <c r="B18" s="30"/>
      <c r="C18" s="132"/>
      <c r="D18" s="234" t="s">
        <v>274</v>
      </c>
      <c r="E18" s="252"/>
      <c r="F18" s="132"/>
      <c r="G18" s="242" t="s">
        <v>224</v>
      </c>
      <c r="H18" s="253"/>
    </row>
    <row r="19" spans="1:8" ht="27" thickBot="1" x14ac:dyDescent="0.3">
      <c r="A19" s="27" t="s">
        <v>22</v>
      </c>
      <c r="B19" s="30">
        <v>26</v>
      </c>
      <c r="C19" s="136"/>
      <c r="D19" s="230" t="s">
        <v>275</v>
      </c>
      <c r="E19" s="254">
        <v>3.7</v>
      </c>
      <c r="F19" s="136"/>
      <c r="G19" s="243" t="s">
        <v>225</v>
      </c>
      <c r="H19" s="255"/>
    </row>
    <row r="20" spans="1:8" x14ac:dyDescent="0.25">
      <c r="A20" s="27" t="s">
        <v>24</v>
      </c>
      <c r="B20" s="30">
        <v>2.5</v>
      </c>
      <c r="C20" s="136"/>
      <c r="D20" s="230" t="s">
        <v>276</v>
      </c>
      <c r="E20" s="254">
        <f>ROUND(E19*SIN(RADIANS(E21)),2)</f>
        <v>2.62</v>
      </c>
      <c r="F20" s="136"/>
      <c r="G20" s="244" t="s">
        <v>226</v>
      </c>
      <c r="H20" s="256">
        <v>0.12</v>
      </c>
    </row>
    <row r="21" spans="1:8" ht="26.25" x14ac:dyDescent="0.25">
      <c r="A21" s="27" t="s">
        <v>26</v>
      </c>
      <c r="B21" s="159">
        <f>B19/B20</f>
        <v>10.4</v>
      </c>
      <c r="C21" s="136"/>
      <c r="D21" s="230" t="s">
        <v>277</v>
      </c>
      <c r="E21" s="100">
        <v>45</v>
      </c>
      <c r="F21" s="136"/>
      <c r="G21" s="187" t="s">
        <v>299</v>
      </c>
      <c r="H21" s="187">
        <v>0.3</v>
      </c>
    </row>
    <row r="22" spans="1:8" x14ac:dyDescent="0.25">
      <c r="A22" s="104" t="s">
        <v>166</v>
      </c>
      <c r="B22" s="159">
        <v>0.24</v>
      </c>
      <c r="C22" s="136"/>
      <c r="D22" s="230" t="s">
        <v>278</v>
      </c>
      <c r="E22" s="100">
        <f>2*1000</f>
        <v>2000</v>
      </c>
      <c r="F22" s="136"/>
      <c r="G22" s="187" t="s">
        <v>301</v>
      </c>
      <c r="H22" s="257">
        <v>6</v>
      </c>
    </row>
    <row r="23" spans="1:8" x14ac:dyDescent="0.25">
      <c r="A23" s="157" t="s">
        <v>23</v>
      </c>
      <c r="B23" s="160">
        <f>B24/B20</f>
        <v>734.7672</v>
      </c>
      <c r="C23" s="136"/>
      <c r="D23" s="230" t="s">
        <v>279</v>
      </c>
      <c r="E23" s="100">
        <f>30*1000</f>
        <v>30000</v>
      </c>
      <c r="F23" s="136"/>
      <c r="G23" s="187" t="s">
        <v>300</v>
      </c>
      <c r="H23" s="257">
        <v>2</v>
      </c>
    </row>
    <row r="24" spans="1:8" x14ac:dyDescent="0.25">
      <c r="A24" s="65" t="s">
        <v>273</v>
      </c>
      <c r="B24" s="131">
        <f>E4</f>
        <v>1836.9179999999999</v>
      </c>
      <c r="C24" s="136"/>
      <c r="D24" s="230" t="s">
        <v>280</v>
      </c>
      <c r="E24" s="100">
        <f>ROUNDUP(B44/E20,0)</f>
        <v>3</v>
      </c>
      <c r="F24" s="136"/>
      <c r="G24" s="187" t="s">
        <v>227</v>
      </c>
      <c r="H24" s="187">
        <f>ROUNDUP(H20/H21,0)</f>
        <v>1</v>
      </c>
    </row>
    <row r="25" spans="1:8" x14ac:dyDescent="0.25">
      <c r="A25" s="65" t="s">
        <v>36</v>
      </c>
      <c r="B25" s="74">
        <f>G48</f>
        <v>16.600000000000001</v>
      </c>
      <c r="C25" s="136"/>
      <c r="D25" s="230" t="s">
        <v>281</v>
      </c>
      <c r="E25" s="100">
        <f>B45*E24</f>
        <v>1348.71</v>
      </c>
      <c r="F25" s="136"/>
      <c r="G25" s="245" t="s">
        <v>228</v>
      </c>
      <c r="H25" s="187"/>
    </row>
    <row r="26" spans="1:8" x14ac:dyDescent="0.25">
      <c r="A26" s="65" t="s">
        <v>38</v>
      </c>
      <c r="B26" s="74">
        <v>60</v>
      </c>
      <c r="C26" s="136"/>
      <c r="D26" s="230" t="s">
        <v>282</v>
      </c>
      <c r="E26" s="254">
        <f>8/6</f>
        <v>1.3333333333333333</v>
      </c>
      <c r="F26" s="136"/>
      <c r="G26" s="187" t="s">
        <v>229</v>
      </c>
      <c r="H26" s="187">
        <v>2.1339999999999999</v>
      </c>
    </row>
    <row r="27" spans="1:8" ht="26.25" x14ac:dyDescent="0.25">
      <c r="A27" s="65" t="s">
        <v>40</v>
      </c>
      <c r="B27" s="74">
        <f>B25/B26*60</f>
        <v>16.600000000000001</v>
      </c>
      <c r="C27" s="136"/>
      <c r="D27" s="230" t="s">
        <v>283</v>
      </c>
      <c r="E27" s="254">
        <f>3</f>
        <v>3</v>
      </c>
      <c r="F27" s="136"/>
      <c r="G27" s="187" t="s">
        <v>239</v>
      </c>
      <c r="H27" s="187">
        <f>ROUNDUP(B44/H26,0)</f>
        <v>4</v>
      </c>
    </row>
    <row r="28" spans="1:8" ht="15.75" thickBot="1" x14ac:dyDescent="0.3">
      <c r="A28" s="65" t="s">
        <v>198</v>
      </c>
      <c r="B28" s="74">
        <v>5</v>
      </c>
      <c r="C28" s="136"/>
      <c r="D28" s="230" t="s">
        <v>284</v>
      </c>
      <c r="E28" s="254">
        <v>2</v>
      </c>
      <c r="F28" s="136"/>
      <c r="G28" s="246" t="s">
        <v>230</v>
      </c>
      <c r="H28" s="257"/>
    </row>
    <row r="29" spans="1:8" ht="26.25" x14ac:dyDescent="0.25">
      <c r="A29" s="65" t="s">
        <v>199</v>
      </c>
      <c r="B29" s="74">
        <f>B27</f>
        <v>16.600000000000001</v>
      </c>
      <c r="C29" s="136"/>
      <c r="D29" s="230" t="s">
        <v>285</v>
      </c>
      <c r="E29" s="254">
        <f>(E27+E28)*E25</f>
        <v>6743.55</v>
      </c>
      <c r="F29" s="136"/>
      <c r="G29" s="247" t="s">
        <v>243</v>
      </c>
      <c r="H29" s="258"/>
    </row>
    <row r="30" spans="1:8" ht="26.25" x14ac:dyDescent="0.25">
      <c r="A30" s="65" t="s">
        <v>200</v>
      </c>
      <c r="B30" s="74">
        <v>5</v>
      </c>
      <c r="C30" s="136"/>
      <c r="D30" s="230" t="s">
        <v>286</v>
      </c>
      <c r="E30" s="254">
        <f>E29</f>
        <v>6743.55</v>
      </c>
      <c r="F30" s="136"/>
      <c r="G30" s="248" t="s">
        <v>231</v>
      </c>
      <c r="H30" s="187">
        <f>H27*H22*H24</f>
        <v>24</v>
      </c>
    </row>
    <row r="31" spans="1:8" x14ac:dyDescent="0.25">
      <c r="A31" s="65" t="s">
        <v>201</v>
      </c>
      <c r="B31" s="74">
        <f>B27</f>
        <v>16.600000000000001</v>
      </c>
      <c r="C31" s="136"/>
      <c r="D31" s="230" t="s">
        <v>287</v>
      </c>
      <c r="E31" s="192">
        <f>E29/E22</f>
        <v>3.371775</v>
      </c>
      <c r="F31" s="136"/>
      <c r="G31" s="187" t="s">
        <v>232</v>
      </c>
      <c r="H31" s="187">
        <f>H30*B45</f>
        <v>10789.68</v>
      </c>
    </row>
    <row r="32" spans="1:8" x14ac:dyDescent="0.25">
      <c r="A32" s="65" t="s">
        <v>50</v>
      </c>
      <c r="B32" s="74">
        <f>SUM(B28:B31)</f>
        <v>43.2</v>
      </c>
      <c r="C32" s="136"/>
      <c r="D32" s="230" t="s">
        <v>288</v>
      </c>
      <c r="E32" s="192">
        <f>E30/E23</f>
        <v>0.22478500000000001</v>
      </c>
      <c r="F32" s="136"/>
      <c r="G32" s="187" t="s">
        <v>233</v>
      </c>
      <c r="H32" s="259">
        <f>H31/(H23*1000)/24</f>
        <v>0.22478500000000001</v>
      </c>
    </row>
    <row r="33" spans="1:8" ht="26.25" x14ac:dyDescent="0.25">
      <c r="A33" s="65" t="s">
        <v>52</v>
      </c>
      <c r="B33" s="74">
        <f>B32/B28</f>
        <v>8.64</v>
      </c>
      <c r="C33" s="136"/>
      <c r="D33" s="230" t="s">
        <v>289</v>
      </c>
      <c r="E33" s="192">
        <f>((E31+E32)*E26)</f>
        <v>4.7954133333333333</v>
      </c>
      <c r="F33" s="136"/>
      <c r="G33" s="187" t="s">
        <v>234</v>
      </c>
      <c r="H33" s="187">
        <v>1.1499999999999999</v>
      </c>
    </row>
    <row r="34" spans="1:8" ht="26.25" x14ac:dyDescent="0.25">
      <c r="A34" s="225" t="s">
        <v>54</v>
      </c>
      <c r="B34" s="74">
        <f>ROUNDUP(B33,0)</f>
        <v>9</v>
      </c>
      <c r="C34" s="136"/>
      <c r="D34" s="235" t="s">
        <v>290</v>
      </c>
      <c r="E34" s="192">
        <v>1.3</v>
      </c>
      <c r="F34" s="136"/>
      <c r="G34" s="187" t="s">
        <v>235</v>
      </c>
      <c r="H34" s="259">
        <f>H32*H33</f>
        <v>0.25850275</v>
      </c>
    </row>
    <row r="35" spans="1:8" ht="26.25" x14ac:dyDescent="0.25">
      <c r="A35" s="65" t="s">
        <v>61</v>
      </c>
      <c r="B35" s="227">
        <f>ROUNDUP(B23/B21,0)</f>
        <v>71</v>
      </c>
      <c r="C35" s="136"/>
      <c r="D35" s="230" t="s">
        <v>291</v>
      </c>
      <c r="E35" s="260">
        <f>E33*E34</f>
        <v>6.2340373333333332</v>
      </c>
      <c r="F35" s="136"/>
      <c r="G35" s="245" t="s">
        <v>385</v>
      </c>
      <c r="H35" s="259">
        <f>H34*2</f>
        <v>0.51700550000000001</v>
      </c>
    </row>
    <row r="36" spans="1:8" ht="26.25" x14ac:dyDescent="0.25">
      <c r="A36" s="238" t="s">
        <v>297</v>
      </c>
      <c r="B36" s="261">
        <v>9</v>
      </c>
      <c r="C36" s="136"/>
      <c r="D36" s="230"/>
      <c r="E36" s="262">
        <f>E35/24</f>
        <v>0.25975155555555557</v>
      </c>
      <c r="F36" s="136"/>
      <c r="G36" s="136"/>
      <c r="H36" s="137"/>
    </row>
    <row r="37" spans="1:8" ht="26.25" x14ac:dyDescent="0.25">
      <c r="A37" s="65" t="s">
        <v>56</v>
      </c>
      <c r="B37" s="159">
        <f>B34*B21</f>
        <v>93.600000000000009</v>
      </c>
      <c r="C37" s="136"/>
      <c r="D37" s="230" t="s">
        <v>384</v>
      </c>
      <c r="E37" s="388">
        <f>E35*2</f>
        <v>12.468074666666666</v>
      </c>
      <c r="F37" s="136"/>
      <c r="G37" s="136"/>
      <c r="H37" s="137"/>
    </row>
    <row r="38" spans="1:8" ht="26.25" x14ac:dyDescent="0.25">
      <c r="A38" s="65" t="s">
        <v>58</v>
      </c>
      <c r="B38" s="159">
        <f>B23/B37</f>
        <v>7.8500769230769221</v>
      </c>
      <c r="C38" s="136"/>
      <c r="D38" s="230"/>
      <c r="E38" s="262">
        <f>E36*2</f>
        <v>0.51950311111111114</v>
      </c>
      <c r="F38" s="136"/>
      <c r="G38" s="600" t="s">
        <v>254</v>
      </c>
      <c r="H38" s="601">
        <f>H35+E38+B42</f>
        <v>3.1965086111111112</v>
      </c>
    </row>
    <row r="39" spans="1:8" ht="26.25" x14ac:dyDescent="0.25">
      <c r="A39" s="225" t="s">
        <v>54</v>
      </c>
      <c r="B39" s="74">
        <f>ROUNDUP(B38,0)</f>
        <v>8</v>
      </c>
      <c r="C39" s="136"/>
      <c r="D39" s="230" t="s">
        <v>292</v>
      </c>
      <c r="E39" s="260">
        <f>(B23/B22)/E37</f>
        <v>245.54954007333507</v>
      </c>
      <c r="F39" s="136"/>
      <c r="G39" s="598" t="s">
        <v>255</v>
      </c>
      <c r="H39" s="602">
        <f>H38/8*24</f>
        <v>9.5895258333333331</v>
      </c>
    </row>
    <row r="40" spans="1:8" ht="26.25" x14ac:dyDescent="0.25">
      <c r="A40" s="263" t="s">
        <v>298</v>
      </c>
      <c r="B40" s="261">
        <v>8</v>
      </c>
      <c r="C40" s="136"/>
      <c r="D40" s="230" t="s">
        <v>293</v>
      </c>
      <c r="E40" s="254">
        <f>E37/(B23/B22)*3600</f>
        <v>14.660992640934433</v>
      </c>
      <c r="F40" s="136"/>
      <c r="G40" s="599" t="s">
        <v>270</v>
      </c>
      <c r="H40" s="603">
        <f>E4/76.5</f>
        <v>24.011999999999997</v>
      </c>
    </row>
    <row r="41" spans="1:8" ht="26.25" x14ac:dyDescent="0.25">
      <c r="A41" s="226" t="s">
        <v>60</v>
      </c>
      <c r="B41" s="228">
        <f>B40*B32*B36</f>
        <v>3110.4</v>
      </c>
      <c r="C41" s="136"/>
      <c r="D41" s="230"/>
      <c r="E41" s="100"/>
      <c r="F41" s="136"/>
      <c r="G41" s="136"/>
      <c r="H41" s="137"/>
    </row>
    <row r="42" spans="1:8" ht="26.25" x14ac:dyDescent="0.25">
      <c r="A42" s="241" t="s">
        <v>62</v>
      </c>
      <c r="B42" s="180">
        <f>B41/60/24</f>
        <v>2.16</v>
      </c>
      <c r="C42" s="264"/>
      <c r="D42" s="230"/>
      <c r="E42" s="100"/>
      <c r="F42" s="264"/>
      <c r="G42" s="264"/>
      <c r="H42" s="137"/>
    </row>
    <row r="43" spans="1:8" x14ac:dyDescent="0.25">
      <c r="A43" s="265" t="s">
        <v>295</v>
      </c>
      <c r="B43" s="228"/>
      <c r="C43" s="264"/>
      <c r="D43" s="230"/>
      <c r="E43" s="100"/>
      <c r="F43" s="264"/>
      <c r="G43" s="264"/>
      <c r="H43" s="137"/>
    </row>
    <row r="44" spans="1:8" x14ac:dyDescent="0.25">
      <c r="A44" s="65" t="s">
        <v>253</v>
      </c>
      <c r="B44" s="74">
        <v>7</v>
      </c>
      <c r="C44" s="264"/>
      <c r="D44" s="264"/>
      <c r="E44" s="264"/>
      <c r="F44" s="264"/>
      <c r="G44" s="264"/>
      <c r="H44" s="137"/>
    </row>
    <row r="45" spans="1:8" x14ac:dyDescent="0.25">
      <c r="A45" s="65" t="s">
        <v>296</v>
      </c>
      <c r="B45" s="74">
        <f>118.37+128.13+92.7+110.37</f>
        <v>449.57</v>
      </c>
      <c r="C45" s="264"/>
      <c r="D45" s="264"/>
      <c r="E45" s="264"/>
      <c r="F45" s="264"/>
      <c r="G45" s="264"/>
      <c r="H45" s="137"/>
    </row>
    <row r="46" spans="1:8" x14ac:dyDescent="0.25">
      <c r="A46" s="251" t="s">
        <v>63</v>
      </c>
      <c r="B46" s="162"/>
      <c r="C46" s="162"/>
      <c r="D46" s="162"/>
      <c r="E46" s="387"/>
      <c r="F46" s="679" t="s">
        <v>64</v>
      </c>
      <c r="G46" s="679"/>
      <c r="H46" s="680"/>
    </row>
    <row r="47" spans="1:8" ht="25.5" x14ac:dyDescent="0.25">
      <c r="A47" s="40" t="s">
        <v>11</v>
      </c>
      <c r="B47" s="41" t="s">
        <v>12</v>
      </c>
      <c r="C47" s="41" t="s">
        <v>4</v>
      </c>
      <c r="D47" s="41" t="s">
        <v>65</v>
      </c>
      <c r="E47" s="42" t="s">
        <v>66</v>
      </c>
      <c r="F47" s="43" t="s">
        <v>67</v>
      </c>
      <c r="G47" s="43" t="s">
        <v>68</v>
      </c>
      <c r="H47" s="44" t="s">
        <v>69</v>
      </c>
    </row>
    <row r="48" spans="1:8" ht="120" x14ac:dyDescent="0.25">
      <c r="A48" s="45" t="s">
        <v>584</v>
      </c>
      <c r="B48" s="9">
        <f>E4</f>
        <v>1836.9179999999999</v>
      </c>
      <c r="C48" s="516" t="s">
        <v>190</v>
      </c>
      <c r="D48" s="9">
        <v>50</v>
      </c>
      <c r="E48" s="47">
        <f>D48*B48</f>
        <v>91845.9</v>
      </c>
      <c r="F48" s="100" t="s">
        <v>294</v>
      </c>
      <c r="G48" s="28">
        <v>16.600000000000001</v>
      </c>
      <c r="H48" s="48">
        <v>6</v>
      </c>
    </row>
    <row r="49" spans="1:8" ht="15.75" thickBot="1" x14ac:dyDescent="0.3">
      <c r="A49" s="49"/>
      <c r="B49" s="50"/>
      <c r="C49" s="51"/>
      <c r="D49" s="50" t="str">
        <f>IF(A49="","",VLOOKUP(A49,$O$3:$P$14,2,FALSE))</f>
        <v/>
      </c>
      <c r="E49" s="52" t="str">
        <f>IF(A49="","",B49*D49)</f>
        <v/>
      </c>
      <c r="F49" s="53"/>
      <c r="G49" s="53"/>
      <c r="H49" s="54"/>
    </row>
  </sheetData>
  <mergeCells count="18">
    <mergeCell ref="G9:H9"/>
    <mergeCell ref="A13:H15"/>
    <mergeCell ref="C11:D11"/>
    <mergeCell ref="G11:H11"/>
    <mergeCell ref="F46:H46"/>
    <mergeCell ref="A1:C1"/>
    <mergeCell ref="D1:H1"/>
    <mergeCell ref="A2:C2"/>
    <mergeCell ref="D2:H2"/>
    <mergeCell ref="A3:A4"/>
    <mergeCell ref="B3:D4"/>
    <mergeCell ref="A5:H5"/>
    <mergeCell ref="A6:H6"/>
    <mergeCell ref="A7:D7"/>
    <mergeCell ref="E7:H7"/>
    <mergeCell ref="C8:D8"/>
    <mergeCell ref="G8:H8"/>
    <mergeCell ref="C9:D9"/>
  </mergeCells>
  <pageMargins left="0.7" right="0.7" top="0.75" bottom="0.75" header="0.3" footer="0.3"/>
  <pageSetup paperSize="9" scale="66"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pageSetUpPr fitToPage="1"/>
  </sheetPr>
  <dimension ref="A1:H49"/>
  <sheetViews>
    <sheetView zoomScale="40" zoomScaleNormal="40" workbookViewId="0">
      <selection activeCell="G4" sqref="G4"/>
    </sheetView>
  </sheetViews>
  <sheetFormatPr baseColWidth="10" defaultRowHeight="15" x14ac:dyDescent="0.25"/>
  <cols>
    <col min="1" max="1" width="22.85546875" customWidth="1"/>
    <col min="4" max="4" width="20" customWidth="1"/>
    <col min="7" max="7" width="18.710937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88</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306.15300000000002</v>
      </c>
      <c r="F4" s="85" t="s">
        <v>120</v>
      </c>
      <c r="G4" s="3" t="s">
        <v>582</v>
      </c>
      <c r="H4" s="729">
        <f>H38</f>
        <v>1.2382543055555557</v>
      </c>
    </row>
    <row r="5" spans="1:8" x14ac:dyDescent="0.25">
      <c r="A5" s="664" t="s">
        <v>8</v>
      </c>
      <c r="B5" s="665"/>
      <c r="C5" s="665"/>
      <c r="D5" s="665"/>
      <c r="E5" s="665"/>
      <c r="F5" s="665"/>
      <c r="G5" s="665"/>
      <c r="H5" s="666"/>
    </row>
    <row r="6" spans="1:8" ht="88.5" customHeight="1" x14ac:dyDescent="0.25">
      <c r="A6" s="667" t="s">
        <v>89</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25.5" x14ac:dyDescent="0.25">
      <c r="A9" s="8" t="s">
        <v>579</v>
      </c>
      <c r="B9" s="9">
        <v>1</v>
      </c>
      <c r="C9" s="675"/>
      <c r="D9" s="676"/>
      <c r="E9" s="10" t="s">
        <v>580</v>
      </c>
      <c r="F9" s="9">
        <v>7</v>
      </c>
      <c r="G9" s="736"/>
      <c r="H9" s="738"/>
    </row>
    <row r="10" spans="1:8" ht="25.5" x14ac:dyDescent="0.25">
      <c r="A10" s="8" t="s">
        <v>257</v>
      </c>
      <c r="B10" s="9">
        <v>1</v>
      </c>
      <c r="C10" s="731"/>
      <c r="D10" s="732"/>
      <c r="E10" s="10" t="s">
        <v>261</v>
      </c>
      <c r="F10" s="9">
        <v>1</v>
      </c>
      <c r="G10" s="675"/>
      <c r="H10" s="681"/>
    </row>
    <row r="11" spans="1:8" x14ac:dyDescent="0.25">
      <c r="A11" s="8" t="s">
        <v>256</v>
      </c>
      <c r="B11" s="9">
        <v>6</v>
      </c>
      <c r="C11" s="677"/>
      <c r="D11" s="678"/>
      <c r="E11" s="10"/>
      <c r="F11" s="9"/>
      <c r="G11" s="682"/>
      <c r="H11" s="683"/>
    </row>
    <row r="12" spans="1:8" x14ac:dyDescent="0.25">
      <c r="A12" s="12" t="s">
        <v>16</v>
      </c>
      <c r="B12" s="13"/>
      <c r="C12" s="13"/>
      <c r="D12" s="13"/>
      <c r="E12" s="13"/>
      <c r="F12" s="13"/>
      <c r="G12" s="13"/>
      <c r="H12" s="14"/>
    </row>
    <row r="13" spans="1:8" x14ac:dyDescent="0.25">
      <c r="A13" s="699" t="s">
        <v>581</v>
      </c>
      <c r="B13" s="700"/>
      <c r="C13" s="700"/>
      <c r="D13" s="700"/>
      <c r="E13" s="700"/>
      <c r="F13" s="700"/>
      <c r="G13" s="700"/>
      <c r="H13" s="701"/>
    </row>
    <row r="14" spans="1:8" x14ac:dyDescent="0.25">
      <c r="A14" s="702"/>
      <c r="B14" s="703"/>
      <c r="C14" s="703"/>
      <c r="D14" s="703"/>
      <c r="E14" s="703"/>
      <c r="F14" s="703"/>
      <c r="G14" s="703"/>
      <c r="H14" s="704"/>
    </row>
    <row r="15" spans="1:8" x14ac:dyDescent="0.25">
      <c r="A15" s="705"/>
      <c r="B15" s="706"/>
      <c r="C15" s="706"/>
      <c r="D15" s="706"/>
      <c r="E15" s="706"/>
      <c r="F15" s="706"/>
      <c r="G15" s="706"/>
      <c r="H15" s="707"/>
    </row>
    <row r="16" spans="1:8" x14ac:dyDescent="0.25">
      <c r="A16" s="12" t="s">
        <v>17</v>
      </c>
      <c r="B16" s="21"/>
      <c r="C16" s="21"/>
      <c r="D16" s="21"/>
      <c r="E16" s="21"/>
      <c r="F16" s="21"/>
      <c r="G16" s="21"/>
      <c r="H16" s="22"/>
    </row>
    <row r="17" spans="1:8" ht="15.75" thickBot="1" x14ac:dyDescent="0.3">
      <c r="A17" s="389" t="s">
        <v>18</v>
      </c>
      <c r="B17" s="390" t="s">
        <v>3</v>
      </c>
      <c r="C17" s="391"/>
      <c r="D17" s="389" t="s">
        <v>18</v>
      </c>
      <c r="E17" s="390" t="s">
        <v>3</v>
      </c>
      <c r="F17" s="391"/>
      <c r="G17" s="392" t="s">
        <v>18</v>
      </c>
      <c r="H17" s="393" t="s">
        <v>3</v>
      </c>
    </row>
    <row r="18" spans="1:8" ht="15.75" thickBot="1" x14ac:dyDescent="0.3">
      <c r="A18" s="165" t="s">
        <v>20</v>
      </c>
      <c r="B18" s="30"/>
      <c r="C18" s="132"/>
      <c r="D18" s="234" t="s">
        <v>274</v>
      </c>
      <c r="E18" s="252"/>
      <c r="F18" s="132"/>
      <c r="G18" s="242" t="s">
        <v>224</v>
      </c>
      <c r="H18" s="253" t="s">
        <v>251</v>
      </c>
    </row>
    <row r="19" spans="1:8" ht="27" thickBot="1" x14ac:dyDescent="0.3">
      <c r="A19" s="27" t="s">
        <v>22</v>
      </c>
      <c r="B19" s="30">
        <v>26</v>
      </c>
      <c r="C19" s="136"/>
      <c r="D19" s="230" t="s">
        <v>275</v>
      </c>
      <c r="E19" s="254">
        <v>3.7</v>
      </c>
      <c r="F19" s="136"/>
      <c r="G19" s="243" t="s">
        <v>225</v>
      </c>
      <c r="H19" s="394"/>
    </row>
    <row r="20" spans="1:8" x14ac:dyDescent="0.25">
      <c r="A20" s="27" t="s">
        <v>24</v>
      </c>
      <c r="B20" s="30">
        <v>1.8</v>
      </c>
      <c r="C20" s="136"/>
      <c r="D20" s="230" t="s">
        <v>276</v>
      </c>
      <c r="E20" s="254">
        <f>ROUND(E19*SIN(RADIANS(E21)),2)</f>
        <v>2.62</v>
      </c>
      <c r="F20" s="136"/>
      <c r="G20" s="244" t="s">
        <v>226</v>
      </c>
      <c r="H20" s="395">
        <v>0.1</v>
      </c>
    </row>
    <row r="21" spans="1:8" ht="26.25" x14ac:dyDescent="0.25">
      <c r="A21" s="27" t="s">
        <v>26</v>
      </c>
      <c r="B21" s="159">
        <f>B19/B20</f>
        <v>14.444444444444445</v>
      </c>
      <c r="C21" s="136"/>
      <c r="D21" s="230" t="s">
        <v>277</v>
      </c>
      <c r="E21" s="100">
        <v>45</v>
      </c>
      <c r="F21" s="136"/>
      <c r="G21" s="187" t="s">
        <v>240</v>
      </c>
      <c r="H21" s="190">
        <v>0.3</v>
      </c>
    </row>
    <row r="22" spans="1:8" ht="26.25" x14ac:dyDescent="0.25">
      <c r="A22" s="104" t="s">
        <v>166</v>
      </c>
      <c r="B22" s="159">
        <v>0.1</v>
      </c>
      <c r="C22" s="136"/>
      <c r="D22" s="230" t="s">
        <v>278</v>
      </c>
      <c r="E22" s="100">
        <f>2*1000</f>
        <v>2000</v>
      </c>
      <c r="F22" s="136"/>
      <c r="G22" s="187" t="s">
        <v>241</v>
      </c>
      <c r="H22" s="396">
        <v>6</v>
      </c>
    </row>
    <row r="23" spans="1:8" ht="26.25" x14ac:dyDescent="0.25">
      <c r="A23" s="157" t="s">
        <v>23</v>
      </c>
      <c r="B23" s="160">
        <f>306.153</f>
        <v>306.15300000000002</v>
      </c>
      <c r="C23" s="136"/>
      <c r="D23" s="230" t="s">
        <v>279</v>
      </c>
      <c r="E23" s="100">
        <f>30*1000</f>
        <v>30000</v>
      </c>
      <c r="F23" s="136"/>
      <c r="G23" s="187" t="s">
        <v>242</v>
      </c>
      <c r="H23" s="396">
        <v>2</v>
      </c>
    </row>
    <row r="24" spans="1:8" x14ac:dyDescent="0.25">
      <c r="A24" s="65" t="s">
        <v>273</v>
      </c>
      <c r="B24" s="131">
        <f>B23*1.8</f>
        <v>551.07540000000006</v>
      </c>
      <c r="C24" s="136"/>
      <c r="D24" s="230" t="s">
        <v>280</v>
      </c>
      <c r="E24" s="100">
        <f>ROUNDUP(B44/E20,0)</f>
        <v>3</v>
      </c>
      <c r="F24" s="136"/>
      <c r="G24" s="257" t="s">
        <v>227</v>
      </c>
      <c r="H24" s="396">
        <f>ROUNDUP(H20/H21,0)</f>
        <v>1</v>
      </c>
    </row>
    <row r="25" spans="1:8" x14ac:dyDescent="0.25">
      <c r="A25" s="65" t="s">
        <v>36</v>
      </c>
      <c r="B25" s="74">
        <f>G48</f>
        <v>16.600000000000001</v>
      </c>
      <c r="C25" s="136"/>
      <c r="D25" s="230" t="s">
        <v>281</v>
      </c>
      <c r="E25" s="100">
        <f>B45*E24</f>
        <v>1348.71</v>
      </c>
      <c r="F25" s="136"/>
      <c r="G25" s="245" t="s">
        <v>228</v>
      </c>
      <c r="H25" s="190"/>
    </row>
    <row r="26" spans="1:8" x14ac:dyDescent="0.25">
      <c r="A26" s="65" t="s">
        <v>38</v>
      </c>
      <c r="B26" s="74">
        <v>60</v>
      </c>
      <c r="C26" s="136"/>
      <c r="D26" s="230" t="s">
        <v>282</v>
      </c>
      <c r="E26" s="254">
        <f>8/6</f>
        <v>1.3333333333333333</v>
      </c>
      <c r="F26" s="136"/>
      <c r="G26" s="187" t="s">
        <v>253</v>
      </c>
      <c r="H26" s="190">
        <v>8</v>
      </c>
    </row>
    <row r="27" spans="1:8" x14ac:dyDescent="0.25">
      <c r="A27" s="65" t="s">
        <v>40</v>
      </c>
      <c r="B27" s="74">
        <f>B25/B26*60</f>
        <v>16.600000000000001</v>
      </c>
      <c r="C27" s="136"/>
      <c r="D27" s="230" t="s">
        <v>283</v>
      </c>
      <c r="E27" s="254">
        <f>3</f>
        <v>3</v>
      </c>
      <c r="F27" s="136"/>
      <c r="G27" s="187" t="s">
        <v>252</v>
      </c>
      <c r="H27" s="190">
        <f>118.37+128.13+92.7+110.37</f>
        <v>449.57</v>
      </c>
    </row>
    <row r="28" spans="1:8" ht="26.25" x14ac:dyDescent="0.25">
      <c r="A28" s="65" t="s">
        <v>198</v>
      </c>
      <c r="B28" s="74">
        <v>5</v>
      </c>
      <c r="C28" s="136"/>
      <c r="D28" s="230" t="s">
        <v>284</v>
      </c>
      <c r="E28" s="254">
        <v>2</v>
      </c>
      <c r="F28" s="136"/>
      <c r="G28" s="187" t="s">
        <v>229</v>
      </c>
      <c r="H28" s="190">
        <v>2.1339999999999999</v>
      </c>
    </row>
    <row r="29" spans="1:8" ht="26.25" x14ac:dyDescent="0.25">
      <c r="A29" s="65" t="s">
        <v>199</v>
      </c>
      <c r="B29" s="74">
        <f>B27</f>
        <v>16.600000000000001</v>
      </c>
      <c r="C29" s="136"/>
      <c r="D29" s="230" t="s">
        <v>285</v>
      </c>
      <c r="E29" s="254">
        <f>(E27+E28)*E25</f>
        <v>6743.55</v>
      </c>
      <c r="F29" s="136"/>
      <c r="G29" s="187" t="s">
        <v>239</v>
      </c>
      <c r="H29" s="190">
        <f>ROUNDUP(H26/H28,0)</f>
        <v>4</v>
      </c>
    </row>
    <row r="30" spans="1:8" ht="26.25" x14ac:dyDescent="0.25">
      <c r="A30" s="65" t="s">
        <v>200</v>
      </c>
      <c r="B30" s="74">
        <v>5</v>
      </c>
      <c r="C30" s="136"/>
      <c r="D30" s="230" t="s">
        <v>286</v>
      </c>
      <c r="E30" s="254">
        <f>E29</f>
        <v>6743.55</v>
      </c>
      <c r="F30" s="136"/>
      <c r="G30" s="397" t="s">
        <v>230</v>
      </c>
      <c r="H30" s="398"/>
    </row>
    <row r="31" spans="1:8" x14ac:dyDescent="0.25">
      <c r="A31" s="65" t="s">
        <v>201</v>
      </c>
      <c r="B31" s="74">
        <f>B27</f>
        <v>16.600000000000001</v>
      </c>
      <c r="C31" s="136"/>
      <c r="D31" s="230" t="s">
        <v>287</v>
      </c>
      <c r="E31" s="192">
        <f>E29/E22</f>
        <v>3.371775</v>
      </c>
      <c r="F31" s="136"/>
      <c r="G31" s="245" t="s">
        <v>243</v>
      </c>
      <c r="H31" s="187"/>
    </row>
    <row r="32" spans="1:8" ht="26.25" x14ac:dyDescent="0.25">
      <c r="A32" s="65" t="s">
        <v>50</v>
      </c>
      <c r="B32" s="74">
        <f>SUM(B28:B31)</f>
        <v>43.2</v>
      </c>
      <c r="C32" s="136"/>
      <c r="D32" s="230" t="s">
        <v>288</v>
      </c>
      <c r="E32" s="192">
        <f>E30/E23</f>
        <v>0.22478500000000001</v>
      </c>
      <c r="F32" s="136"/>
      <c r="G32" s="248" t="s">
        <v>231</v>
      </c>
      <c r="H32" s="187">
        <f>H29*H22*H24</f>
        <v>24</v>
      </c>
    </row>
    <row r="33" spans="1:8" ht="26.25" x14ac:dyDescent="0.25">
      <c r="A33" s="65" t="s">
        <v>52</v>
      </c>
      <c r="B33" s="74">
        <f>B32/B28</f>
        <v>8.64</v>
      </c>
      <c r="C33" s="136"/>
      <c r="D33" s="230" t="s">
        <v>289</v>
      </c>
      <c r="E33" s="192">
        <f>((E31+E32)*E26)</f>
        <v>4.7954133333333333</v>
      </c>
      <c r="F33" s="136"/>
      <c r="G33" s="187" t="s">
        <v>232</v>
      </c>
      <c r="H33" s="187">
        <f>H32*H27</f>
        <v>10789.68</v>
      </c>
    </row>
    <row r="34" spans="1:8" x14ac:dyDescent="0.25">
      <c r="A34" s="225" t="s">
        <v>54</v>
      </c>
      <c r="B34" s="74">
        <f>ROUNDUP(B33,0)</f>
        <v>9</v>
      </c>
      <c r="C34" s="136"/>
      <c r="D34" s="235" t="s">
        <v>290</v>
      </c>
      <c r="E34" s="192">
        <v>1.3</v>
      </c>
      <c r="F34" s="136"/>
      <c r="G34" s="187" t="s">
        <v>233</v>
      </c>
      <c r="H34" s="259">
        <f>H33/(H23*1000)/24</f>
        <v>0.22478500000000001</v>
      </c>
    </row>
    <row r="35" spans="1:8" ht="26.25" x14ac:dyDescent="0.25">
      <c r="A35" s="65" t="s">
        <v>61</v>
      </c>
      <c r="B35" s="227">
        <f>ROUNDUP(B23/B21,0)</f>
        <v>22</v>
      </c>
      <c r="C35" s="136"/>
      <c r="D35" s="230" t="s">
        <v>291</v>
      </c>
      <c r="E35" s="260">
        <f>E33*E34</f>
        <v>6.2340373333333332</v>
      </c>
      <c r="F35" s="136"/>
      <c r="G35" s="187" t="s">
        <v>234</v>
      </c>
      <c r="H35" s="187">
        <v>1.1499999999999999</v>
      </c>
    </row>
    <row r="36" spans="1:8" ht="26.25" x14ac:dyDescent="0.25">
      <c r="A36" s="238" t="s">
        <v>297</v>
      </c>
      <c r="B36" s="261">
        <v>6</v>
      </c>
      <c r="C36" s="136"/>
      <c r="D36" s="230"/>
      <c r="E36" s="262">
        <f>E35/24</f>
        <v>0.25975155555555557</v>
      </c>
      <c r="F36" s="136"/>
      <c r="G36" s="187" t="s">
        <v>235</v>
      </c>
      <c r="H36" s="259">
        <f>H34*H35</f>
        <v>0.25850275</v>
      </c>
    </row>
    <row r="37" spans="1:8" ht="26.25" x14ac:dyDescent="0.25">
      <c r="A37" s="65" t="s">
        <v>56</v>
      </c>
      <c r="B37" s="159">
        <f>B34*B21</f>
        <v>130</v>
      </c>
      <c r="C37" s="136"/>
      <c r="D37" s="230" t="s">
        <v>292</v>
      </c>
      <c r="E37" s="260">
        <f>(B23/B22)/E35</f>
        <v>491.09908014667013</v>
      </c>
      <c r="F37" s="136"/>
      <c r="G37" s="136"/>
      <c r="H37" s="137"/>
    </row>
    <row r="38" spans="1:8" ht="26.25" x14ac:dyDescent="0.25">
      <c r="A38" s="65" t="s">
        <v>58</v>
      </c>
      <c r="B38" s="159">
        <f>B23/B37</f>
        <v>2.3550230769230769</v>
      </c>
      <c r="C38" s="136"/>
      <c r="D38" s="230" t="s">
        <v>293</v>
      </c>
      <c r="E38" s="254">
        <f>E35/(B23/B22)*3600</f>
        <v>7.3304963204672164</v>
      </c>
      <c r="F38" s="136"/>
      <c r="G38" s="600" t="s">
        <v>254</v>
      </c>
      <c r="H38" s="601">
        <f>H36+E36+B42</f>
        <v>1.2382543055555557</v>
      </c>
    </row>
    <row r="39" spans="1:8" ht="15.75" x14ac:dyDescent="0.25">
      <c r="A39" s="225" t="s">
        <v>54</v>
      </c>
      <c r="B39" s="74">
        <f>ROUNDUP(B38,0)</f>
        <v>3</v>
      </c>
      <c r="C39" s="136"/>
      <c r="D39" s="230"/>
      <c r="E39" s="262"/>
      <c r="F39" s="136"/>
      <c r="G39" s="598" t="s">
        <v>255</v>
      </c>
      <c r="H39" s="602">
        <f>H38/8*24</f>
        <v>3.7147629166666674</v>
      </c>
    </row>
    <row r="40" spans="1:8" x14ac:dyDescent="0.25">
      <c r="A40" s="263" t="s">
        <v>298</v>
      </c>
      <c r="B40" s="261">
        <v>4</v>
      </c>
      <c r="C40" s="136"/>
      <c r="D40" s="230"/>
      <c r="E40" s="100"/>
      <c r="F40" s="136"/>
      <c r="G40" s="599" t="s">
        <v>270</v>
      </c>
      <c r="H40" s="603">
        <f>E4/29.5</f>
        <v>10.37806779661017</v>
      </c>
    </row>
    <row r="41" spans="1:8" x14ac:dyDescent="0.25">
      <c r="A41" s="226" t="s">
        <v>60</v>
      </c>
      <c r="B41" s="228">
        <f>B40*B32*B36</f>
        <v>1036.8000000000002</v>
      </c>
      <c r="C41" s="136"/>
      <c r="D41" s="230"/>
      <c r="E41" s="100"/>
      <c r="F41" s="136"/>
      <c r="G41" s="136"/>
      <c r="H41" s="137"/>
    </row>
    <row r="42" spans="1:8" x14ac:dyDescent="0.25">
      <c r="A42" s="241" t="s">
        <v>62</v>
      </c>
      <c r="B42" s="180">
        <f>B41/60/24</f>
        <v>0.7200000000000002</v>
      </c>
      <c r="C42" s="264"/>
      <c r="D42" s="230"/>
      <c r="E42" s="100"/>
      <c r="F42" s="264"/>
      <c r="G42" s="264"/>
      <c r="H42" s="137"/>
    </row>
    <row r="43" spans="1:8" x14ac:dyDescent="0.25">
      <c r="A43" s="265" t="s">
        <v>295</v>
      </c>
      <c r="B43" s="228"/>
      <c r="C43" s="264"/>
      <c r="D43" s="230"/>
      <c r="E43" s="100"/>
      <c r="F43" s="264"/>
      <c r="G43" s="264"/>
      <c r="H43" s="137"/>
    </row>
    <row r="44" spans="1:8" x14ac:dyDescent="0.25">
      <c r="A44" s="65" t="s">
        <v>253</v>
      </c>
      <c r="B44" s="74">
        <v>7</v>
      </c>
      <c r="C44" s="264"/>
      <c r="D44" s="264"/>
      <c r="E44" s="264"/>
      <c r="F44" s="264"/>
      <c r="G44" s="264"/>
      <c r="H44" s="137"/>
    </row>
    <row r="45" spans="1:8" x14ac:dyDescent="0.25">
      <c r="A45" s="65" t="s">
        <v>296</v>
      </c>
      <c r="B45" s="74">
        <f>118.37+128.13+92.7+110.37</f>
        <v>449.57</v>
      </c>
      <c r="C45" s="264"/>
      <c r="D45" s="264"/>
      <c r="E45" s="264"/>
      <c r="F45" s="264"/>
      <c r="G45" s="264"/>
      <c r="H45" s="137"/>
    </row>
    <row r="46" spans="1:8" x14ac:dyDescent="0.25">
      <c r="A46" s="710" t="s">
        <v>63</v>
      </c>
      <c r="B46" s="679"/>
      <c r="C46" s="679"/>
      <c r="D46" s="679"/>
      <c r="E46" s="711"/>
      <c r="F46" s="679" t="s">
        <v>64</v>
      </c>
      <c r="G46" s="679"/>
      <c r="H46" s="680"/>
    </row>
    <row r="47" spans="1:8" ht="25.5" x14ac:dyDescent="0.25">
      <c r="A47" s="40" t="s">
        <v>11</v>
      </c>
      <c r="B47" s="41" t="s">
        <v>12</v>
      </c>
      <c r="C47" s="41" t="s">
        <v>4</v>
      </c>
      <c r="D47" s="41" t="s">
        <v>65</v>
      </c>
      <c r="E47" s="42" t="s">
        <v>66</v>
      </c>
      <c r="F47" s="43" t="s">
        <v>67</v>
      </c>
      <c r="G47" s="43" t="s">
        <v>68</v>
      </c>
      <c r="H47" s="44" t="s">
        <v>69</v>
      </c>
    </row>
    <row r="48" spans="1:8" ht="120" x14ac:dyDescent="0.25">
      <c r="A48" s="45" t="s">
        <v>584</v>
      </c>
      <c r="B48" s="9">
        <f>B24</f>
        <v>551.07540000000006</v>
      </c>
      <c r="C48" s="516" t="s">
        <v>190</v>
      </c>
      <c r="D48" s="9">
        <v>50</v>
      </c>
      <c r="E48" s="47">
        <f>D48*B48</f>
        <v>27553.770000000004</v>
      </c>
      <c r="F48" s="100" t="s">
        <v>294</v>
      </c>
      <c r="G48" s="28">
        <v>16.600000000000001</v>
      </c>
      <c r="H48" s="48"/>
    </row>
    <row r="49" spans="1:8" ht="15.75" thickBot="1" x14ac:dyDescent="0.3">
      <c r="A49" s="49"/>
      <c r="B49" s="50"/>
      <c r="C49" s="51"/>
      <c r="D49" s="50" t="str">
        <f>IF(A49="","",VLOOKUP(A49,$O$3:$P$14,2,FALSE))</f>
        <v/>
      </c>
      <c r="E49" s="52" t="str">
        <f>IF(A49="","",B49*D49)</f>
        <v/>
      </c>
      <c r="F49" s="53"/>
      <c r="G49" s="53"/>
      <c r="H49" s="54"/>
    </row>
  </sheetData>
  <mergeCells count="19">
    <mergeCell ref="C9:D9"/>
    <mergeCell ref="A5:H5"/>
    <mergeCell ref="A6:H6"/>
    <mergeCell ref="A7:D7"/>
    <mergeCell ref="E7:H7"/>
    <mergeCell ref="C8:D8"/>
    <mergeCell ref="G8:H8"/>
    <mergeCell ref="A1:C1"/>
    <mergeCell ref="D1:H1"/>
    <mergeCell ref="A2:C2"/>
    <mergeCell ref="D2:H2"/>
    <mergeCell ref="A3:A4"/>
    <mergeCell ref="B3:D4"/>
    <mergeCell ref="G10:H10"/>
    <mergeCell ref="C11:D11"/>
    <mergeCell ref="G11:H11"/>
    <mergeCell ref="A46:E46"/>
    <mergeCell ref="F46:H46"/>
    <mergeCell ref="A13:H15"/>
  </mergeCells>
  <pageMargins left="0.7" right="0.7" top="0.75" bottom="0.75" header="0.3" footer="0.3"/>
  <pageSetup paperSize="9" scale="6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pageSetUpPr fitToPage="1"/>
  </sheetPr>
  <dimension ref="A1:H65"/>
  <sheetViews>
    <sheetView zoomScale="25" zoomScaleNormal="25" workbookViewId="0">
      <selection activeCell="G4" sqref="G4"/>
    </sheetView>
  </sheetViews>
  <sheetFormatPr baseColWidth="10" defaultRowHeight="15" x14ac:dyDescent="0.25"/>
  <cols>
    <col min="1" max="1" width="27.85546875" customWidth="1"/>
    <col min="4" max="4" width="33.140625" customWidth="1"/>
    <col min="7" max="7" width="33" customWidth="1"/>
    <col min="8" max="8" width="13.42578125" bestFit="1" customWidth="1"/>
  </cols>
  <sheetData>
    <row r="1" spans="1:8" ht="15.75" x14ac:dyDescent="0.25">
      <c r="A1" s="646" t="s">
        <v>0</v>
      </c>
      <c r="B1" s="647"/>
      <c r="C1" s="648"/>
      <c r="D1" s="646" t="s">
        <v>1</v>
      </c>
      <c r="E1" s="647"/>
      <c r="F1" s="647"/>
      <c r="G1" s="647"/>
      <c r="H1" s="649"/>
    </row>
    <row r="2" spans="1:8" ht="39" customHeight="1" thickBot="1" x14ac:dyDescent="0.3">
      <c r="A2" s="650" t="s">
        <v>70</v>
      </c>
      <c r="B2" s="651"/>
      <c r="C2" s="652"/>
      <c r="D2" s="684" t="s">
        <v>90</v>
      </c>
      <c r="E2" s="685"/>
      <c r="F2" s="685"/>
      <c r="G2" s="685"/>
      <c r="H2" s="686"/>
    </row>
    <row r="3" spans="1:8" x14ac:dyDescent="0.25">
      <c r="A3" s="656" t="s">
        <v>2</v>
      </c>
      <c r="B3" s="658"/>
      <c r="C3" s="659"/>
      <c r="D3" s="660"/>
      <c r="E3" s="1" t="s">
        <v>3</v>
      </c>
      <c r="F3" s="1" t="s">
        <v>4</v>
      </c>
      <c r="G3" s="1" t="s">
        <v>5</v>
      </c>
      <c r="H3" s="2" t="s">
        <v>6</v>
      </c>
    </row>
    <row r="4" spans="1:8" ht="16.5" thickBot="1" x14ac:dyDescent="0.3">
      <c r="A4" s="657"/>
      <c r="B4" s="661"/>
      <c r="C4" s="662"/>
      <c r="D4" s="663"/>
      <c r="E4" s="3">
        <v>525.46199999999999</v>
      </c>
      <c r="F4" s="85" t="s">
        <v>119</v>
      </c>
      <c r="G4" s="3" t="s">
        <v>585</v>
      </c>
      <c r="H4" s="729">
        <f>H59</f>
        <v>1.0846435185185186</v>
      </c>
    </row>
    <row r="5" spans="1:8" x14ac:dyDescent="0.25">
      <c r="A5" s="664" t="s">
        <v>8</v>
      </c>
      <c r="B5" s="665"/>
      <c r="C5" s="665"/>
      <c r="D5" s="665"/>
      <c r="E5" s="665"/>
      <c r="F5" s="665"/>
      <c r="G5" s="665"/>
      <c r="H5" s="666"/>
    </row>
    <row r="6" spans="1:8" ht="75" customHeight="1" x14ac:dyDescent="0.25">
      <c r="A6" s="667" t="s">
        <v>91</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25.5" x14ac:dyDescent="0.25">
      <c r="A9" s="740" t="s">
        <v>586</v>
      </c>
      <c r="B9" s="740">
        <v>1</v>
      </c>
      <c r="C9" s="741" t="s">
        <v>587</v>
      </c>
      <c r="D9" s="741"/>
      <c r="E9" s="740" t="s">
        <v>588</v>
      </c>
      <c r="F9" s="740">
        <v>1</v>
      </c>
      <c r="G9" s="741" t="s">
        <v>589</v>
      </c>
      <c r="H9" s="741"/>
    </row>
    <row r="10" spans="1:8" ht="25.5" x14ac:dyDescent="0.25">
      <c r="A10" s="740" t="s">
        <v>590</v>
      </c>
      <c r="B10" s="740">
        <v>1</v>
      </c>
      <c r="C10" s="741" t="s">
        <v>591</v>
      </c>
      <c r="D10" s="741"/>
      <c r="E10" s="740" t="s">
        <v>592</v>
      </c>
      <c r="F10" s="740">
        <v>1</v>
      </c>
      <c r="G10" s="741" t="s">
        <v>593</v>
      </c>
      <c r="H10" s="741"/>
    </row>
    <row r="11" spans="1:8" ht="25.5" x14ac:dyDescent="0.25">
      <c r="A11" s="740" t="s">
        <v>594</v>
      </c>
      <c r="B11" s="740">
        <v>1</v>
      </c>
      <c r="C11" s="741" t="s">
        <v>595</v>
      </c>
      <c r="D11" s="741"/>
      <c r="E11" s="740" t="s">
        <v>596</v>
      </c>
      <c r="F11" s="740">
        <v>1</v>
      </c>
      <c r="G11" s="741" t="s">
        <v>597</v>
      </c>
      <c r="H11" s="741"/>
    </row>
    <row r="12" spans="1:8" ht="25.5" x14ac:dyDescent="0.25">
      <c r="A12" s="740" t="s">
        <v>349</v>
      </c>
      <c r="B12" s="740">
        <v>1</v>
      </c>
      <c r="C12" s="741" t="s">
        <v>598</v>
      </c>
      <c r="D12" s="741"/>
      <c r="E12" s="740" t="s">
        <v>599</v>
      </c>
      <c r="F12" s="740">
        <v>1</v>
      </c>
      <c r="G12" s="741" t="s">
        <v>600</v>
      </c>
      <c r="H12" s="741"/>
    </row>
    <row r="13" spans="1:8" x14ac:dyDescent="0.25">
      <c r="A13" s="740" t="s">
        <v>601</v>
      </c>
      <c r="B13" s="740">
        <v>3</v>
      </c>
      <c r="C13" s="741" t="s">
        <v>602</v>
      </c>
      <c r="D13" s="741"/>
      <c r="E13" s="740" t="s">
        <v>127</v>
      </c>
      <c r="F13" s="740">
        <v>4</v>
      </c>
      <c r="G13" s="741" t="s">
        <v>603</v>
      </c>
      <c r="H13" s="741"/>
    </row>
    <row r="14" spans="1:8" x14ac:dyDescent="0.25">
      <c r="A14" s="12" t="s">
        <v>16</v>
      </c>
      <c r="B14" s="13"/>
      <c r="C14" s="13"/>
      <c r="D14" s="13"/>
      <c r="E14" s="13"/>
      <c r="F14" s="13"/>
      <c r="G14" s="13"/>
      <c r="H14" s="14"/>
    </row>
    <row r="15" spans="1:8" ht="56.25" customHeight="1" x14ac:dyDescent="0.25">
      <c r="A15" s="742" t="s">
        <v>604</v>
      </c>
      <c r="B15" s="743"/>
      <c r="C15" s="743"/>
      <c r="D15" s="743"/>
      <c r="E15" s="743"/>
      <c r="F15" s="743"/>
      <c r="G15" s="743"/>
      <c r="H15" s="744"/>
    </row>
    <row r="16" spans="1:8" ht="15.75" thickBot="1" x14ac:dyDescent="0.3">
      <c r="A16" s="12" t="s">
        <v>17</v>
      </c>
      <c r="B16" s="21"/>
      <c r="C16" s="21"/>
      <c r="D16" s="21"/>
      <c r="E16" s="21"/>
      <c r="F16" s="21"/>
      <c r="G16" s="21"/>
      <c r="H16" s="22"/>
    </row>
    <row r="17" spans="1:8" ht="15.75" thickBot="1" x14ac:dyDescent="0.3">
      <c r="A17" s="302" t="s">
        <v>18</v>
      </c>
      <c r="B17" s="303" t="s">
        <v>3</v>
      </c>
      <c r="C17" s="304"/>
      <c r="D17" s="305" t="s">
        <v>18</v>
      </c>
      <c r="E17" s="306" t="s">
        <v>3</v>
      </c>
      <c r="F17" s="304"/>
      <c r="G17" s="307" t="s">
        <v>18</v>
      </c>
      <c r="H17" s="308" t="s">
        <v>3</v>
      </c>
    </row>
    <row r="18" spans="1:8" ht="15.75" thickBot="1" x14ac:dyDescent="0.3">
      <c r="A18" s="309" t="s">
        <v>302</v>
      </c>
      <c r="B18" s="310"/>
      <c r="C18" s="311"/>
      <c r="D18" s="312" t="s">
        <v>302</v>
      </c>
      <c r="E18" s="313"/>
      <c r="F18" s="311"/>
      <c r="G18" s="314" t="s">
        <v>224</v>
      </c>
      <c r="H18" s="315"/>
    </row>
    <row r="19" spans="1:8" ht="15.75" thickBot="1" x14ac:dyDescent="0.3">
      <c r="A19" s="266" t="s">
        <v>303</v>
      </c>
      <c r="B19" s="313">
        <v>5</v>
      </c>
      <c r="C19" s="316"/>
      <c r="D19" s="317" t="s">
        <v>304</v>
      </c>
      <c r="E19" s="318">
        <f>B43+B45</f>
        <v>2.4</v>
      </c>
      <c r="F19" s="316"/>
      <c r="G19" s="319" t="s">
        <v>225</v>
      </c>
      <c r="H19" s="320"/>
    </row>
    <row r="20" spans="1:8" ht="15.75" thickBot="1" x14ac:dyDescent="0.3">
      <c r="A20" s="297" t="s">
        <v>305</v>
      </c>
      <c r="B20" s="321">
        <v>0.06</v>
      </c>
      <c r="C20" s="316"/>
      <c r="D20" s="313" t="s">
        <v>306</v>
      </c>
      <c r="E20" s="313">
        <v>1</v>
      </c>
      <c r="F20" s="316"/>
      <c r="G20" s="322" t="s">
        <v>226</v>
      </c>
      <c r="H20" s="323">
        <v>0.06</v>
      </c>
    </row>
    <row r="21" spans="1:8" x14ac:dyDescent="0.25">
      <c r="A21" s="324" t="s">
        <v>307</v>
      </c>
      <c r="B21" s="325">
        <v>8</v>
      </c>
      <c r="C21" s="316"/>
      <c r="D21" s="270" t="s">
        <v>308</v>
      </c>
      <c r="E21" s="326">
        <f>(E20*E19)/3600/24</f>
        <v>2.7777777777777776E-5</v>
      </c>
      <c r="F21" s="316"/>
      <c r="G21" s="327" t="s">
        <v>309</v>
      </c>
      <c r="H21" s="273">
        <v>0.05</v>
      </c>
    </row>
    <row r="22" spans="1:8" x14ac:dyDescent="0.25">
      <c r="A22" s="328" t="s">
        <v>310</v>
      </c>
      <c r="B22" s="325">
        <v>25</v>
      </c>
      <c r="C22" s="316"/>
      <c r="D22" s="270" t="s">
        <v>311</v>
      </c>
      <c r="E22" s="329">
        <v>0</v>
      </c>
      <c r="F22" s="316"/>
      <c r="G22" s="300" t="s">
        <v>312</v>
      </c>
      <c r="H22" s="330">
        <v>4</v>
      </c>
    </row>
    <row r="23" spans="1:8" x14ac:dyDescent="0.25">
      <c r="A23" s="324" t="s">
        <v>171</v>
      </c>
      <c r="B23" s="325">
        <v>2.5</v>
      </c>
      <c r="C23" s="316"/>
      <c r="D23" s="270" t="s">
        <v>313</v>
      </c>
      <c r="E23" s="329">
        <f>E22*B44+B45*B27</f>
        <v>7</v>
      </c>
      <c r="F23" s="316"/>
      <c r="G23" s="327" t="s">
        <v>314</v>
      </c>
      <c r="H23" s="331">
        <v>4</v>
      </c>
    </row>
    <row r="24" spans="1:8" ht="15.75" thickBot="1" x14ac:dyDescent="0.3">
      <c r="A24" s="324" t="s">
        <v>315</v>
      </c>
      <c r="B24" s="325">
        <v>25</v>
      </c>
      <c r="C24" s="316"/>
      <c r="D24" s="270" t="s">
        <v>316</v>
      </c>
      <c r="E24" s="326">
        <f>(E23/B22)/60/24</f>
        <v>1.9444444444444446E-4</v>
      </c>
      <c r="F24" s="316"/>
      <c r="G24" s="332" t="s">
        <v>227</v>
      </c>
      <c r="H24" s="333">
        <f>ROUNDUP(H20/H21,0)</f>
        <v>2</v>
      </c>
    </row>
    <row r="25" spans="1:8" ht="15.75" thickBot="1" x14ac:dyDescent="0.3">
      <c r="A25" s="324" t="s">
        <v>317</v>
      </c>
      <c r="B25" s="334">
        <v>45</v>
      </c>
      <c r="C25" s="316"/>
      <c r="D25" s="270"/>
      <c r="E25" s="329"/>
      <c r="F25" s="316"/>
      <c r="G25" s="335" t="s">
        <v>228</v>
      </c>
      <c r="H25" s="336"/>
    </row>
    <row r="26" spans="1:8" x14ac:dyDescent="0.25">
      <c r="A26" s="337" t="s">
        <v>318</v>
      </c>
      <c r="B26" s="338"/>
      <c r="C26" s="316"/>
      <c r="D26" s="270" t="s">
        <v>319</v>
      </c>
      <c r="E26" s="326">
        <f>E21+E24+B48</f>
        <v>0.3474444444444445</v>
      </c>
      <c r="F26" s="316"/>
      <c r="G26" s="339" t="s">
        <v>229</v>
      </c>
      <c r="H26" s="340">
        <v>2.1339999999999999</v>
      </c>
    </row>
    <row r="27" spans="1:8" x14ac:dyDescent="0.25">
      <c r="A27" s="324" t="s">
        <v>320</v>
      </c>
      <c r="B27" s="341">
        <v>7</v>
      </c>
      <c r="C27" s="316"/>
      <c r="D27" s="270" t="s">
        <v>282</v>
      </c>
      <c r="E27" s="329">
        <f>8/6</f>
        <v>1.3333333333333333</v>
      </c>
      <c r="F27" s="316"/>
      <c r="G27" s="327" t="s">
        <v>239</v>
      </c>
      <c r="H27" s="273">
        <f>ROUNDUP(B27/H26,0)</f>
        <v>4</v>
      </c>
    </row>
    <row r="28" spans="1:8" ht="15.75" thickBot="1" x14ac:dyDescent="0.3">
      <c r="A28" s="324" t="s">
        <v>321</v>
      </c>
      <c r="B28" s="342">
        <v>500</v>
      </c>
      <c r="C28" s="316"/>
      <c r="D28" s="270" t="s">
        <v>322</v>
      </c>
      <c r="E28" s="326">
        <f>E27*E26</f>
        <v>0.46325925925925932</v>
      </c>
      <c r="F28" s="316"/>
      <c r="G28" s="343" t="s">
        <v>230</v>
      </c>
      <c r="H28" s="344"/>
    </row>
    <row r="29" spans="1:8" ht="26.25" x14ac:dyDescent="0.25">
      <c r="A29" s="337" t="s">
        <v>323</v>
      </c>
      <c r="B29" s="334"/>
      <c r="C29" s="316"/>
      <c r="D29" s="345" t="s">
        <v>324</v>
      </c>
      <c r="E29" s="329"/>
      <c r="F29" s="316"/>
      <c r="G29" s="346" t="s">
        <v>243</v>
      </c>
      <c r="H29" s="347"/>
    </row>
    <row r="30" spans="1:8" x14ac:dyDescent="0.25">
      <c r="A30" s="324" t="s">
        <v>321</v>
      </c>
      <c r="B30" s="342">
        <v>5</v>
      </c>
      <c r="C30" s="316"/>
      <c r="D30" s="270" t="s">
        <v>325</v>
      </c>
      <c r="E30" s="329">
        <v>20</v>
      </c>
      <c r="F30" s="316"/>
      <c r="G30" s="348" t="s">
        <v>231</v>
      </c>
      <c r="H30" s="349">
        <f>H27*H22*H24</f>
        <v>32</v>
      </c>
    </row>
    <row r="31" spans="1:8" x14ac:dyDescent="0.25">
      <c r="A31" s="324" t="s">
        <v>320</v>
      </c>
      <c r="B31" s="325">
        <v>5</v>
      </c>
      <c r="C31" s="316"/>
      <c r="D31" s="270" t="s">
        <v>326</v>
      </c>
      <c r="E31" s="329">
        <v>20</v>
      </c>
      <c r="F31" s="316"/>
      <c r="G31" s="272" t="s">
        <v>232</v>
      </c>
      <c r="H31" s="273">
        <f>H30*B28</f>
        <v>16000</v>
      </c>
    </row>
    <row r="32" spans="1:8" ht="15.75" thickBot="1" x14ac:dyDescent="0.3">
      <c r="A32" s="297" t="s">
        <v>327</v>
      </c>
      <c r="B32" s="350">
        <v>5</v>
      </c>
      <c r="C32" s="316"/>
      <c r="D32" s="270" t="s">
        <v>328</v>
      </c>
      <c r="E32" s="329">
        <f>E30*60/B25</f>
        <v>26.666666666666668</v>
      </c>
      <c r="F32" s="316"/>
      <c r="G32" s="274" t="s">
        <v>233</v>
      </c>
      <c r="H32" s="275">
        <f>H31/(H23*1000)/24</f>
        <v>0.16666666666666666</v>
      </c>
    </row>
    <row r="33" spans="1:8" x14ac:dyDescent="0.25">
      <c r="A33" s="351" t="s">
        <v>329</v>
      </c>
      <c r="B33" s="352"/>
      <c r="C33" s="316"/>
      <c r="D33" s="270" t="s">
        <v>330</v>
      </c>
      <c r="E33" s="353">
        <f>B24/B40</f>
        <v>4.166666666666667</v>
      </c>
      <c r="F33" s="316"/>
      <c r="G33" s="272" t="s">
        <v>234</v>
      </c>
      <c r="H33" s="276">
        <v>1.1499999999999999</v>
      </c>
    </row>
    <row r="34" spans="1:8" ht="15.75" thickBot="1" x14ac:dyDescent="0.3">
      <c r="A34" s="328" t="s">
        <v>331</v>
      </c>
      <c r="B34" s="354">
        <f>B20*B28*B27</f>
        <v>210</v>
      </c>
      <c r="C34" s="316"/>
      <c r="D34" s="270" t="s">
        <v>332</v>
      </c>
      <c r="E34" s="329">
        <f>E30*60/B25</f>
        <v>26.666666666666668</v>
      </c>
      <c r="F34" s="316"/>
      <c r="G34" s="332" t="s">
        <v>235</v>
      </c>
      <c r="H34" s="355">
        <f>H32*H33</f>
        <v>0.19166666666666665</v>
      </c>
    </row>
    <row r="35" spans="1:8" ht="15.75" thickBot="1" x14ac:dyDescent="0.3">
      <c r="A35" s="356" t="s">
        <v>172</v>
      </c>
      <c r="B35" s="354">
        <v>525.46199999999999</v>
      </c>
      <c r="C35" s="316"/>
      <c r="D35" s="270" t="s">
        <v>333</v>
      </c>
      <c r="E35" s="326">
        <f>SUM(E31:E34)/60/24</f>
        <v>5.3819444444444448E-2</v>
      </c>
      <c r="F35" s="316"/>
      <c r="G35" s="279" t="s">
        <v>336</v>
      </c>
      <c r="H35" s="280">
        <v>0.65</v>
      </c>
    </row>
    <row r="36" spans="1:8" ht="15.75" thickBot="1" x14ac:dyDescent="0.3">
      <c r="A36" s="357"/>
      <c r="B36" s="358"/>
      <c r="C36" s="316"/>
      <c r="D36" s="287" t="s">
        <v>335</v>
      </c>
      <c r="E36" s="359">
        <f>(E35/E33)*60*24</f>
        <v>18.600000000000001</v>
      </c>
      <c r="F36" s="316"/>
      <c r="G36" s="281" t="s">
        <v>387</v>
      </c>
      <c r="H36" s="399">
        <v>0.3</v>
      </c>
    </row>
    <row r="37" spans="1:8" ht="15.75" thickBot="1" x14ac:dyDescent="0.3">
      <c r="A37" s="360" t="s">
        <v>337</v>
      </c>
      <c r="B37" s="361"/>
      <c r="C37" s="316"/>
      <c r="D37" s="362" t="s">
        <v>54</v>
      </c>
      <c r="E37" s="363">
        <f>ROUNDUP(E36,0)</f>
        <v>19</v>
      </c>
      <c r="F37" s="316"/>
      <c r="G37" s="283" t="s">
        <v>339</v>
      </c>
      <c r="H37" s="269">
        <f>(H36*B27*B28)</f>
        <v>1050</v>
      </c>
    </row>
    <row r="38" spans="1:8" ht="15.75" thickBot="1" x14ac:dyDescent="0.3">
      <c r="A38" s="357" t="s">
        <v>338</v>
      </c>
      <c r="B38" s="364">
        <f>B19*B20*1</f>
        <v>0.3</v>
      </c>
      <c r="C38" s="316"/>
      <c r="D38" s="300" t="s">
        <v>56</v>
      </c>
      <c r="E38" s="300">
        <f>E37*B24</f>
        <v>475</v>
      </c>
      <c r="F38" s="316"/>
      <c r="G38" s="284" t="s">
        <v>341</v>
      </c>
      <c r="H38" s="282">
        <f>H37/1000</f>
        <v>1.05</v>
      </c>
    </row>
    <row r="39" spans="1:8" x14ac:dyDescent="0.25">
      <c r="A39" s="266" t="s">
        <v>340</v>
      </c>
      <c r="B39" s="313">
        <f>B38*B23</f>
        <v>0.75</v>
      </c>
      <c r="C39" s="316"/>
      <c r="D39" s="327" t="s">
        <v>58</v>
      </c>
      <c r="E39" s="327">
        <f>B34/E38</f>
        <v>0.44210526315789472</v>
      </c>
      <c r="F39" s="316"/>
      <c r="G39" s="400" t="s">
        <v>386</v>
      </c>
      <c r="H39" s="401">
        <v>10</v>
      </c>
    </row>
    <row r="40" spans="1:8" x14ac:dyDescent="0.25">
      <c r="A40" s="324" t="s">
        <v>342</v>
      </c>
      <c r="B40" s="365">
        <f>B39*B21</f>
        <v>6</v>
      </c>
      <c r="C40" s="316"/>
      <c r="D40" s="300" t="s">
        <v>343</v>
      </c>
      <c r="E40" s="366">
        <f>B35/B24</f>
        <v>21.01848</v>
      </c>
      <c r="F40" s="316"/>
      <c r="G40" s="402" t="s">
        <v>353</v>
      </c>
      <c r="H40" s="403">
        <f>(H39*B27*B28)</f>
        <v>35000</v>
      </c>
    </row>
    <row r="41" spans="1:8" ht="27" thickBot="1" x14ac:dyDescent="0.3">
      <c r="A41" s="287" t="s">
        <v>345</v>
      </c>
      <c r="B41" s="367">
        <f>(B24/B40)/60/24</f>
        <v>2.8935185185185188E-3</v>
      </c>
      <c r="C41" s="316"/>
      <c r="D41" s="368" t="s">
        <v>346</v>
      </c>
      <c r="E41" s="369"/>
      <c r="F41" s="316"/>
      <c r="G41" s="404" t="s">
        <v>176</v>
      </c>
      <c r="H41" s="401">
        <f>H40/1000</f>
        <v>35</v>
      </c>
    </row>
    <row r="42" spans="1:8" ht="15.75" thickBot="1" x14ac:dyDescent="0.3">
      <c r="A42" s="370" t="s">
        <v>348</v>
      </c>
      <c r="B42" s="364">
        <f>(B41*B21)*60*24</f>
        <v>33.333333333333336</v>
      </c>
      <c r="C42" s="316"/>
      <c r="D42" s="371" t="s">
        <v>349</v>
      </c>
      <c r="E42" s="329"/>
      <c r="F42" s="316"/>
      <c r="G42" s="402" t="s">
        <v>341</v>
      </c>
      <c r="H42" s="403">
        <f>H43*H41</f>
        <v>63</v>
      </c>
    </row>
    <row r="43" spans="1:8" ht="15.75" thickBot="1" x14ac:dyDescent="0.3">
      <c r="A43" s="324" t="s">
        <v>351</v>
      </c>
      <c r="B43" s="354">
        <f>B27/B30</f>
        <v>1.4</v>
      </c>
      <c r="C43" s="316"/>
      <c r="D43" s="270" t="s">
        <v>352</v>
      </c>
      <c r="E43" s="329">
        <v>800</v>
      </c>
      <c r="F43" s="316"/>
      <c r="G43" s="405" t="s">
        <v>24</v>
      </c>
      <c r="H43" s="406">
        <v>1.8</v>
      </c>
    </row>
    <row r="44" spans="1:8" ht="15.75" thickBot="1" x14ac:dyDescent="0.3">
      <c r="A44" s="266" t="s">
        <v>354</v>
      </c>
      <c r="B44" s="372">
        <f>B28-B31</f>
        <v>495</v>
      </c>
      <c r="C44" s="316"/>
      <c r="D44" s="373" t="s">
        <v>176</v>
      </c>
      <c r="E44" s="329">
        <f>E43/1000</f>
        <v>0.8</v>
      </c>
      <c r="F44" s="316"/>
      <c r="G44" s="293"/>
      <c r="H44" s="296"/>
    </row>
    <row r="45" spans="1:8" ht="15.75" thickBot="1" x14ac:dyDescent="0.3">
      <c r="A45" s="324" t="s">
        <v>356</v>
      </c>
      <c r="B45" s="354">
        <v>1</v>
      </c>
      <c r="C45" s="316"/>
      <c r="D45" s="270" t="s">
        <v>357</v>
      </c>
      <c r="E45" s="329">
        <v>60</v>
      </c>
      <c r="F45" s="316"/>
      <c r="G45" s="277" t="s">
        <v>334</v>
      </c>
      <c r="H45" s="278"/>
    </row>
    <row r="46" spans="1:8" x14ac:dyDescent="0.25">
      <c r="A46" s="324" t="s">
        <v>359</v>
      </c>
      <c r="B46" s="354">
        <f>B27</f>
        <v>7</v>
      </c>
      <c r="C46" s="316"/>
      <c r="D46" s="270" t="s">
        <v>360</v>
      </c>
      <c r="E46" s="353">
        <f>E44*B23</f>
        <v>2</v>
      </c>
      <c r="F46" s="316"/>
      <c r="G46" s="285" t="s">
        <v>344</v>
      </c>
      <c r="H46" s="286">
        <v>2.5</v>
      </c>
    </row>
    <row r="47" spans="1:8" ht="15.75" thickBot="1" x14ac:dyDescent="0.3">
      <c r="A47" s="287" t="s">
        <v>362</v>
      </c>
      <c r="B47" s="361">
        <f>B46+(B44*B43)</f>
        <v>700</v>
      </c>
      <c r="C47" s="316"/>
      <c r="D47" s="374" t="s">
        <v>363</v>
      </c>
      <c r="E47" s="375">
        <f>E46/B39</f>
        <v>2.6666666666666665</v>
      </c>
      <c r="F47" s="316"/>
      <c r="G47" s="285" t="s">
        <v>347</v>
      </c>
      <c r="H47" s="286">
        <f>(B19/H46)+(B22/H46)</f>
        <v>12</v>
      </c>
    </row>
    <row r="48" spans="1:8" ht="16.5" thickBot="1" x14ac:dyDescent="0.3">
      <c r="A48" s="370" t="s">
        <v>364</v>
      </c>
      <c r="B48" s="376">
        <f>(B47/B43)/60/24</f>
        <v>0.34722222222222227</v>
      </c>
      <c r="C48" s="316"/>
      <c r="D48" s="266" t="s">
        <v>365</v>
      </c>
      <c r="E48" s="341">
        <v>2</v>
      </c>
      <c r="F48" s="316"/>
      <c r="G48" s="288" t="s">
        <v>350</v>
      </c>
      <c r="H48" s="289">
        <v>11</v>
      </c>
    </row>
    <row r="49" spans="1:8" x14ac:dyDescent="0.25">
      <c r="A49" s="266"/>
      <c r="B49" s="377"/>
      <c r="C49" s="316"/>
      <c r="D49" s="287" t="s">
        <v>367</v>
      </c>
      <c r="E49" s="359">
        <v>1</v>
      </c>
      <c r="F49" s="316"/>
      <c r="G49" s="288" t="s">
        <v>353</v>
      </c>
      <c r="H49" s="289">
        <f>H48*1000</f>
        <v>11000</v>
      </c>
    </row>
    <row r="50" spans="1:8" x14ac:dyDescent="0.25">
      <c r="A50" s="324"/>
      <c r="B50" s="378"/>
      <c r="C50" s="316"/>
      <c r="D50" s="287" t="s">
        <v>369</v>
      </c>
      <c r="E50" s="359">
        <f>(B32*B31)/E47</f>
        <v>9.375</v>
      </c>
      <c r="F50" s="316"/>
      <c r="G50" s="288" t="s">
        <v>355</v>
      </c>
      <c r="H50" s="289">
        <f>H49/H36</f>
        <v>36666.666666666672</v>
      </c>
    </row>
    <row r="51" spans="1:8" x14ac:dyDescent="0.25">
      <c r="A51" s="380"/>
      <c r="B51" s="316"/>
      <c r="C51" s="316"/>
      <c r="D51" s="287" t="s">
        <v>54</v>
      </c>
      <c r="E51" s="359">
        <f>ROUNDUP(E50,0)</f>
        <v>10</v>
      </c>
      <c r="F51" s="316"/>
      <c r="G51" s="288" t="s">
        <v>358</v>
      </c>
      <c r="H51" s="289">
        <f>H50/(B19)</f>
        <v>7333.3333333333339</v>
      </c>
    </row>
    <row r="52" spans="1:8" ht="15.75" thickBot="1" x14ac:dyDescent="0.3">
      <c r="A52" s="316"/>
      <c r="B52" s="316"/>
      <c r="C52" s="316"/>
      <c r="D52" s="287" t="s">
        <v>370</v>
      </c>
      <c r="E52" s="381">
        <f>(E51*(E48+E49))/60/24</f>
        <v>2.0833333333333332E-2</v>
      </c>
      <c r="F52" s="316"/>
      <c r="G52" s="290" t="s">
        <v>361</v>
      </c>
      <c r="H52" s="291">
        <f>H38/H48</f>
        <v>9.5454545454545459E-2</v>
      </c>
    </row>
    <row r="53" spans="1:8" ht="15.75" thickBot="1" x14ac:dyDescent="0.3">
      <c r="A53" s="316"/>
      <c r="B53" s="316"/>
      <c r="C53" s="316"/>
      <c r="D53" s="287" t="s">
        <v>371</v>
      </c>
      <c r="E53" s="338">
        <v>10</v>
      </c>
      <c r="F53" s="316"/>
      <c r="G53" s="292" t="s">
        <v>54</v>
      </c>
      <c r="H53" s="291">
        <f>ROUNDUP(H52,0)</f>
        <v>1</v>
      </c>
    </row>
    <row r="54" spans="1:8" x14ac:dyDescent="0.25">
      <c r="A54" s="316"/>
      <c r="B54" s="316"/>
      <c r="C54" s="316"/>
      <c r="D54" s="324" t="s">
        <v>372</v>
      </c>
      <c r="E54" s="382">
        <f>(E53*B32*B31)/3600/24</f>
        <v>2.8935185185185188E-3</v>
      </c>
      <c r="F54" s="316"/>
      <c r="G54" s="293" t="s">
        <v>366</v>
      </c>
      <c r="H54" s="294">
        <v>10000</v>
      </c>
    </row>
    <row r="55" spans="1:8" ht="16.5" thickBot="1" x14ac:dyDescent="0.3">
      <c r="A55" s="316"/>
      <c r="B55" s="316"/>
      <c r="C55" s="316"/>
      <c r="D55" s="297" t="s">
        <v>373</v>
      </c>
      <c r="E55" s="350">
        <v>30</v>
      </c>
      <c r="F55" s="316"/>
      <c r="G55" s="293" t="s">
        <v>368</v>
      </c>
      <c r="H55" s="295">
        <f>((60*H51/H54)/60/24)*H47</f>
        <v>0.36666666666666675</v>
      </c>
    </row>
    <row r="56" spans="1:8" x14ac:dyDescent="0.25">
      <c r="A56" s="316"/>
      <c r="B56" s="316"/>
      <c r="C56" s="316"/>
      <c r="D56" s="324" t="s">
        <v>374</v>
      </c>
      <c r="E56" s="382">
        <f>(E55*B32*B31)/3600/24</f>
        <v>8.6805555555555559E-3</v>
      </c>
      <c r="F56" s="316"/>
      <c r="G56" s="293"/>
      <c r="H56" s="296"/>
    </row>
    <row r="57" spans="1:8" ht="27" thickBot="1" x14ac:dyDescent="0.3">
      <c r="A57" s="316"/>
      <c r="B57" s="316"/>
      <c r="C57" s="316"/>
      <c r="D57" s="297" t="s">
        <v>375</v>
      </c>
      <c r="E57" s="383">
        <f>E56+E54+E52</f>
        <v>3.2407407407407406E-2</v>
      </c>
      <c r="F57" s="316"/>
      <c r="G57" s="299" t="s">
        <v>377</v>
      </c>
      <c r="H57" s="267"/>
    </row>
    <row r="58" spans="1:8" ht="15.75" thickBot="1" x14ac:dyDescent="0.3">
      <c r="A58" s="316"/>
      <c r="B58" s="316"/>
      <c r="C58" s="316"/>
      <c r="D58" s="298" t="s">
        <v>376</v>
      </c>
      <c r="E58" s="384"/>
      <c r="F58" s="316"/>
      <c r="G58" s="268" t="s">
        <v>379</v>
      </c>
      <c r="H58" s="271">
        <v>8</v>
      </c>
    </row>
    <row r="59" spans="1:8" ht="15.75" thickBot="1" x14ac:dyDescent="0.3">
      <c r="A59" s="316"/>
      <c r="B59" s="316"/>
      <c r="C59" s="316"/>
      <c r="D59" s="385" t="s">
        <v>378</v>
      </c>
      <c r="E59" s="341">
        <f>12+3.21*10</f>
        <v>44.1</v>
      </c>
      <c r="F59" s="316"/>
      <c r="G59" s="268" t="s">
        <v>381</v>
      </c>
      <c r="H59" s="410">
        <f>E28+E57+E61+H55+H34</f>
        <v>1.0846435185185186</v>
      </c>
    </row>
    <row r="60" spans="1:8" x14ac:dyDescent="0.25">
      <c r="A60" s="316"/>
      <c r="B60" s="316"/>
      <c r="C60" s="316"/>
      <c r="D60" s="266" t="s">
        <v>380</v>
      </c>
      <c r="E60" s="341">
        <f>12+3.21*30</f>
        <v>108.3</v>
      </c>
      <c r="F60" s="316"/>
      <c r="G60" s="300" t="s">
        <v>382</v>
      </c>
      <c r="H60" s="301">
        <f>H59/H58</f>
        <v>0.13558043981481482</v>
      </c>
    </row>
    <row r="61" spans="1:8" x14ac:dyDescent="0.25">
      <c r="A61" s="379"/>
      <c r="B61" s="379"/>
      <c r="C61" s="379"/>
      <c r="D61" s="324" t="s">
        <v>179</v>
      </c>
      <c r="E61" s="382">
        <f>E57-(E60+E59)/3600/24</f>
        <v>3.0643518518518518E-2</v>
      </c>
      <c r="F61" s="379"/>
      <c r="G61" s="300" t="s">
        <v>574</v>
      </c>
      <c r="H61" s="739">
        <f>B64/26</f>
        <v>20.210076923076922</v>
      </c>
    </row>
    <row r="62" spans="1:8" x14ac:dyDescent="0.25">
      <c r="A62" s="710" t="s">
        <v>63</v>
      </c>
      <c r="B62" s="679"/>
      <c r="C62" s="679"/>
      <c r="D62" s="679"/>
      <c r="E62" s="711"/>
      <c r="F62" s="679" t="s">
        <v>64</v>
      </c>
      <c r="G62" s="679"/>
      <c r="H62" s="680"/>
    </row>
    <row r="63" spans="1:8" ht="25.5" x14ac:dyDescent="0.25">
      <c r="A63" s="40" t="s">
        <v>11</v>
      </c>
      <c r="B63" s="41" t="s">
        <v>12</v>
      </c>
      <c r="C63" s="41" t="s">
        <v>4</v>
      </c>
      <c r="D63" s="41" t="s">
        <v>65</v>
      </c>
      <c r="E63" s="42" t="s">
        <v>66</v>
      </c>
      <c r="F63" s="43" t="s">
        <v>67</v>
      </c>
      <c r="G63" s="43" t="s">
        <v>68</v>
      </c>
      <c r="H63" s="44" t="s">
        <v>69</v>
      </c>
    </row>
    <row r="64" spans="1:8" ht="120" x14ac:dyDescent="0.25">
      <c r="A64" s="45" t="s">
        <v>388</v>
      </c>
      <c r="B64" s="9">
        <f>E4</f>
        <v>525.46199999999999</v>
      </c>
      <c r="C64" s="161" t="s">
        <v>190</v>
      </c>
      <c r="D64" s="9">
        <v>55</v>
      </c>
      <c r="E64" s="47"/>
      <c r="F64" s="100" t="s">
        <v>294</v>
      </c>
      <c r="G64" s="28">
        <v>16.600000000000001</v>
      </c>
      <c r="H64" s="48"/>
    </row>
    <row r="65" spans="1:8" ht="15.75" thickBot="1" x14ac:dyDescent="0.3">
      <c r="A65" s="745" t="s">
        <v>605</v>
      </c>
      <c r="B65" s="746">
        <f>H38</f>
        <v>1.05</v>
      </c>
      <c r="C65" s="747" t="s">
        <v>119</v>
      </c>
      <c r="D65" s="748">
        <v>535</v>
      </c>
      <c r="E65" s="749">
        <f>B65*D65</f>
        <v>561.75</v>
      </c>
      <c r="F65" s="53"/>
      <c r="G65" s="53"/>
      <c r="H65" s="54"/>
    </row>
  </sheetData>
  <mergeCells count="25">
    <mergeCell ref="C12:D12"/>
    <mergeCell ref="G12:H12"/>
    <mergeCell ref="A15:H15"/>
    <mergeCell ref="C9:D9"/>
    <mergeCell ref="G9:H9"/>
    <mergeCell ref="C10:D10"/>
    <mergeCell ref="G10:H10"/>
    <mergeCell ref="C11:D11"/>
    <mergeCell ref="G11:H11"/>
    <mergeCell ref="A5:H5"/>
    <mergeCell ref="A6:H6"/>
    <mergeCell ref="A7:D7"/>
    <mergeCell ref="E7:H7"/>
    <mergeCell ref="C8:D8"/>
    <mergeCell ref="G8:H8"/>
    <mergeCell ref="A1:C1"/>
    <mergeCell ref="D1:H1"/>
    <mergeCell ref="A2:C2"/>
    <mergeCell ref="D2:H2"/>
    <mergeCell ref="A3:A4"/>
    <mergeCell ref="B3:D4"/>
    <mergeCell ref="C13:D13"/>
    <mergeCell ref="G13:H13"/>
    <mergeCell ref="A62:E62"/>
    <mergeCell ref="F62:H62"/>
  </mergeCells>
  <pageMargins left="0.7" right="0.7" top="0.75" bottom="0.75" header="0.3" footer="0.3"/>
  <pageSetup paperSize="9" scale="57"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pageSetUpPr fitToPage="1"/>
  </sheetPr>
  <dimension ref="A1:H39"/>
  <sheetViews>
    <sheetView zoomScale="40" zoomScaleNormal="40" workbookViewId="0">
      <selection activeCell="G4" sqref="G4"/>
    </sheetView>
  </sheetViews>
  <sheetFormatPr baseColWidth="10" defaultRowHeight="15" x14ac:dyDescent="0.25"/>
  <cols>
    <col min="1" max="1" width="17.4257812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92</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277.41300000000001</v>
      </c>
      <c r="F4" s="85" t="s">
        <v>120</v>
      </c>
      <c r="G4" s="3" t="s">
        <v>607</v>
      </c>
      <c r="H4" s="730">
        <f>E17</f>
        <v>0.1598264197530864</v>
      </c>
    </row>
    <row r="5" spans="1:8" x14ac:dyDescent="0.25">
      <c r="A5" s="664" t="s">
        <v>8</v>
      </c>
      <c r="B5" s="665"/>
      <c r="C5" s="665"/>
      <c r="D5" s="665"/>
      <c r="E5" s="665"/>
      <c r="F5" s="665"/>
      <c r="G5" s="665"/>
      <c r="H5" s="666"/>
    </row>
    <row r="6" spans="1:8" ht="80.25" customHeight="1" x14ac:dyDescent="0.25">
      <c r="A6" s="667" t="s">
        <v>93</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25.5" x14ac:dyDescent="0.25">
      <c r="A9" s="8" t="s">
        <v>145</v>
      </c>
      <c r="B9" s="9">
        <v>1</v>
      </c>
      <c r="C9" s="675"/>
      <c r="D9" s="676"/>
      <c r="E9" s="10" t="s">
        <v>580</v>
      </c>
      <c r="F9" s="9">
        <v>1</v>
      </c>
      <c r="G9" s="675"/>
      <c r="H9" s="681"/>
    </row>
    <row r="10" spans="1:8" ht="25.5" x14ac:dyDescent="0.25">
      <c r="A10" s="8"/>
      <c r="B10" s="9"/>
      <c r="C10" s="677"/>
      <c r="D10" s="678"/>
      <c r="E10" s="10" t="s">
        <v>261</v>
      </c>
      <c r="F10" s="9">
        <v>1</v>
      </c>
      <c r="G10" s="682"/>
      <c r="H10" s="683"/>
    </row>
    <row r="11" spans="1:8" x14ac:dyDescent="0.25">
      <c r="A11" s="12" t="s">
        <v>16</v>
      </c>
      <c r="B11" s="13"/>
      <c r="C11" s="13"/>
      <c r="D11" s="13"/>
      <c r="E11" s="13"/>
      <c r="F11" s="13"/>
      <c r="G11" s="13"/>
      <c r="H11" s="14"/>
    </row>
    <row r="12" spans="1:8" x14ac:dyDescent="0.25">
      <c r="A12" s="15" t="s">
        <v>606</v>
      </c>
      <c r="B12" s="16"/>
      <c r="C12" s="16"/>
      <c r="D12" s="16"/>
      <c r="E12" s="16"/>
      <c r="F12" s="16"/>
      <c r="G12" s="16"/>
      <c r="H12" s="17"/>
    </row>
    <row r="13" spans="1:8" x14ac:dyDescent="0.25">
      <c r="A13" s="12" t="s">
        <v>17</v>
      </c>
      <c r="B13" s="21"/>
      <c r="C13" s="21"/>
      <c r="D13" s="21"/>
      <c r="E13" s="21"/>
      <c r="F13" s="21"/>
      <c r="G13" s="21"/>
      <c r="H13" s="22"/>
    </row>
    <row r="14" spans="1:8" x14ac:dyDescent="0.25">
      <c r="A14" s="23" t="s">
        <v>18</v>
      </c>
      <c r="B14" s="24" t="s">
        <v>3</v>
      </c>
      <c r="C14" s="16"/>
      <c r="D14" s="23" t="s">
        <v>18</v>
      </c>
      <c r="E14" s="24" t="s">
        <v>3</v>
      </c>
      <c r="F14" s="16"/>
      <c r="G14" s="16"/>
      <c r="H14" s="17"/>
    </row>
    <row r="15" spans="1:8" ht="26.25" x14ac:dyDescent="0.25">
      <c r="A15" s="151" t="s">
        <v>23</v>
      </c>
      <c r="B15" s="131">
        <f>E4</f>
        <v>277.41300000000001</v>
      </c>
      <c r="C15" s="391"/>
      <c r="D15" s="299" t="s">
        <v>377</v>
      </c>
      <c r="E15" s="273"/>
      <c r="F15" s="57"/>
      <c r="G15" s="59"/>
      <c r="H15" s="60"/>
    </row>
    <row r="16" spans="1:8" ht="39" x14ac:dyDescent="0.25">
      <c r="A16" s="86" t="s">
        <v>383</v>
      </c>
      <c r="B16" s="30"/>
      <c r="C16" s="411"/>
      <c r="D16" s="300" t="s">
        <v>379</v>
      </c>
      <c r="E16" s="349">
        <v>8</v>
      </c>
      <c r="F16" s="62"/>
      <c r="G16" s="62"/>
      <c r="H16" s="64"/>
    </row>
    <row r="17" spans="1:8" ht="39" x14ac:dyDescent="0.25">
      <c r="A17" s="27" t="s">
        <v>27</v>
      </c>
      <c r="B17" s="30">
        <v>1000</v>
      </c>
      <c r="C17" s="411"/>
      <c r="D17" s="300" t="s">
        <v>381</v>
      </c>
      <c r="E17" s="412">
        <f>B33</f>
        <v>0.1598264197530864</v>
      </c>
      <c r="F17" s="62"/>
      <c r="G17" s="62"/>
      <c r="H17" s="64"/>
    </row>
    <row r="18" spans="1:8" x14ac:dyDescent="0.25">
      <c r="A18" s="27" t="s">
        <v>29</v>
      </c>
      <c r="B18" s="30">
        <f>B17/1000</f>
        <v>1</v>
      </c>
      <c r="C18" s="411"/>
      <c r="D18" s="300" t="s">
        <v>382</v>
      </c>
      <c r="E18" s="386">
        <f>E17/E16</f>
        <v>1.99783024691358E-2</v>
      </c>
      <c r="F18" s="62"/>
      <c r="G18" s="62"/>
      <c r="H18" s="64"/>
    </row>
    <row r="19" spans="1:8" ht="26.25" x14ac:dyDescent="0.25">
      <c r="A19" s="153" t="s">
        <v>31</v>
      </c>
      <c r="B19" s="100">
        <f>B15/B18</f>
        <v>277.41300000000001</v>
      </c>
      <c r="C19" s="411"/>
      <c r="D19" s="411" t="s">
        <v>574</v>
      </c>
      <c r="E19" s="411">
        <f>E4/B32</f>
        <v>72.321428571428584</v>
      </c>
      <c r="F19" s="62"/>
      <c r="G19" s="62"/>
      <c r="H19" s="64"/>
    </row>
    <row r="20" spans="1:8" x14ac:dyDescent="0.25">
      <c r="A20" s="27" t="s">
        <v>33</v>
      </c>
      <c r="B20" s="30">
        <v>10</v>
      </c>
      <c r="C20" s="411"/>
      <c r="D20" s="411"/>
      <c r="E20" s="411"/>
      <c r="F20" s="62"/>
      <c r="G20" s="67"/>
      <c r="H20" s="68"/>
    </row>
    <row r="21" spans="1:8" x14ac:dyDescent="0.25">
      <c r="A21" s="27" t="s">
        <v>35</v>
      </c>
      <c r="B21" s="30">
        <v>6</v>
      </c>
      <c r="C21" s="411"/>
      <c r="D21" s="411"/>
      <c r="E21" s="411"/>
      <c r="F21" s="62"/>
      <c r="G21" s="71"/>
      <c r="H21" s="72"/>
    </row>
    <row r="22" spans="1:8" x14ac:dyDescent="0.25">
      <c r="A22" s="27" t="s">
        <v>37</v>
      </c>
      <c r="B22" s="30">
        <v>6</v>
      </c>
      <c r="C22" s="411"/>
      <c r="D22" s="411"/>
      <c r="E22" s="411"/>
      <c r="F22" s="62"/>
      <c r="G22" s="71"/>
      <c r="H22" s="73"/>
    </row>
    <row r="23" spans="1:8" x14ac:dyDescent="0.25">
      <c r="A23" s="27" t="s">
        <v>39</v>
      </c>
      <c r="B23" s="30">
        <v>6</v>
      </c>
      <c r="C23" s="411"/>
      <c r="D23" s="411"/>
      <c r="E23" s="411"/>
      <c r="F23" s="62"/>
      <c r="G23" s="75"/>
      <c r="H23" s="76"/>
    </row>
    <row r="24" spans="1:8" x14ac:dyDescent="0.25">
      <c r="A24" s="27" t="s">
        <v>41</v>
      </c>
      <c r="B24" s="30">
        <f>SUM(B20:B23)</f>
        <v>28</v>
      </c>
      <c r="C24" s="411"/>
      <c r="D24" s="411"/>
      <c r="E24" s="411"/>
      <c r="F24" s="62"/>
      <c r="G24" s="62"/>
      <c r="H24" s="64"/>
    </row>
    <row r="25" spans="1:8" x14ac:dyDescent="0.25">
      <c r="A25" s="27" t="s">
        <v>43</v>
      </c>
      <c r="B25" s="138">
        <f>60/80</f>
        <v>0.75</v>
      </c>
      <c r="C25" s="411"/>
      <c r="D25" s="411"/>
      <c r="E25" s="411"/>
      <c r="F25" s="62"/>
      <c r="G25" s="62"/>
      <c r="H25" s="64"/>
    </row>
    <row r="26" spans="1:8" x14ac:dyDescent="0.25">
      <c r="A26" s="95" t="s">
        <v>45</v>
      </c>
      <c r="B26" s="138">
        <f>80/60</f>
        <v>1.3333333333333333</v>
      </c>
      <c r="C26" s="411"/>
      <c r="D26" s="411"/>
      <c r="E26" s="411"/>
      <c r="F26" s="62"/>
      <c r="G26" s="62"/>
      <c r="H26" s="64"/>
    </row>
    <row r="27" spans="1:8" x14ac:dyDescent="0.25">
      <c r="A27" s="27" t="s">
        <v>47</v>
      </c>
      <c r="B27" s="30">
        <f>B24*B26</f>
        <v>37.333333333333329</v>
      </c>
      <c r="C27" s="411"/>
      <c r="D27" s="411"/>
      <c r="E27" s="411"/>
      <c r="F27" s="62"/>
      <c r="G27" s="62"/>
      <c r="H27" s="64"/>
    </row>
    <row r="28" spans="1:8" x14ac:dyDescent="0.25">
      <c r="A28" s="27" t="s">
        <v>49</v>
      </c>
      <c r="B28" s="139">
        <f>60/B27</f>
        <v>1.6071428571428574</v>
      </c>
      <c r="C28" s="411"/>
      <c r="D28" s="411"/>
      <c r="E28" s="411"/>
      <c r="F28" s="62"/>
      <c r="G28" s="62"/>
      <c r="H28" s="64"/>
    </row>
    <row r="29" spans="1:8" x14ac:dyDescent="0.25">
      <c r="A29" s="27" t="s">
        <v>51</v>
      </c>
      <c r="B29" s="140">
        <f>B28*60</f>
        <v>96.428571428571445</v>
      </c>
      <c r="C29" s="411"/>
      <c r="D29" s="411"/>
      <c r="E29" s="411"/>
      <c r="F29" s="62"/>
      <c r="G29" s="62"/>
      <c r="H29" s="64"/>
    </row>
    <row r="30" spans="1:8" ht="26.25" x14ac:dyDescent="0.25">
      <c r="A30" s="27" t="s">
        <v>53</v>
      </c>
      <c r="B30" s="30">
        <f>B29*B18</f>
        <v>96.428571428571445</v>
      </c>
      <c r="C30" s="411"/>
      <c r="D30" s="411"/>
      <c r="E30" s="411"/>
      <c r="F30" s="62"/>
      <c r="G30" s="62"/>
      <c r="H30" s="64"/>
    </row>
    <row r="31" spans="1:8" ht="26.25" x14ac:dyDescent="0.25">
      <c r="A31" s="27" t="s">
        <v>55</v>
      </c>
      <c r="B31" s="30">
        <f>B30*B25</f>
        <v>72.321428571428584</v>
      </c>
      <c r="C31" s="411"/>
      <c r="D31" s="411"/>
      <c r="E31" s="411"/>
      <c r="F31" s="62"/>
      <c r="G31" s="62"/>
      <c r="H31" s="64"/>
    </row>
    <row r="32" spans="1:8" ht="26.25" x14ac:dyDescent="0.25">
      <c r="A32" s="96" t="s">
        <v>132</v>
      </c>
      <c r="B32" s="141">
        <f>B15/B31</f>
        <v>3.8358340740740737</v>
      </c>
      <c r="C32" s="411"/>
      <c r="D32" s="411"/>
      <c r="E32" s="411"/>
      <c r="F32" s="62"/>
      <c r="G32" s="62"/>
      <c r="H32" s="64"/>
    </row>
    <row r="33" spans="1:8" ht="26.25" x14ac:dyDescent="0.25">
      <c r="A33" s="96" t="s">
        <v>133</v>
      </c>
      <c r="B33" s="145">
        <f>B32/24</f>
        <v>0.1598264197530864</v>
      </c>
      <c r="C33" s="411"/>
      <c r="D33" s="411"/>
      <c r="E33" s="411"/>
      <c r="F33" s="62"/>
      <c r="G33" s="62"/>
      <c r="H33" s="64"/>
    </row>
    <row r="34" spans="1:8" x14ac:dyDescent="0.25">
      <c r="A34" s="151"/>
      <c r="B34" s="30"/>
      <c r="C34" s="411"/>
      <c r="D34" s="411"/>
      <c r="E34" s="411"/>
      <c r="F34" s="62"/>
      <c r="G34" s="62"/>
      <c r="H34" s="64"/>
    </row>
    <row r="35" spans="1:8" x14ac:dyDescent="0.25">
      <c r="A35" s="152"/>
      <c r="B35" s="30"/>
      <c r="C35" s="411"/>
      <c r="D35" s="411"/>
      <c r="E35" s="411"/>
      <c r="F35" s="62"/>
      <c r="G35" s="62"/>
      <c r="H35" s="64"/>
    </row>
    <row r="36" spans="1:8" x14ac:dyDescent="0.25">
      <c r="A36" s="38" t="s">
        <v>63</v>
      </c>
      <c r="B36" s="39"/>
      <c r="C36" s="39"/>
      <c r="D36" s="39"/>
      <c r="E36" s="39"/>
      <c r="F36" s="679" t="s">
        <v>64</v>
      </c>
      <c r="G36" s="679"/>
      <c r="H36" s="680"/>
    </row>
    <row r="37" spans="1:8" ht="25.5" x14ac:dyDescent="0.25">
      <c r="A37" s="40" t="s">
        <v>11</v>
      </c>
      <c r="B37" s="41" t="s">
        <v>12</v>
      </c>
      <c r="C37" s="41" t="s">
        <v>4</v>
      </c>
      <c r="D37" s="41" t="s">
        <v>65</v>
      </c>
      <c r="E37" s="42" t="s">
        <v>66</v>
      </c>
      <c r="F37" s="43" t="s">
        <v>67</v>
      </c>
      <c r="G37" s="43" t="s">
        <v>68</v>
      </c>
      <c r="H37" s="44" t="s">
        <v>69</v>
      </c>
    </row>
    <row r="38" spans="1:8" x14ac:dyDescent="0.25">
      <c r="A38" s="45"/>
      <c r="B38" s="9"/>
      <c r="C38" s="46"/>
      <c r="D38" s="9"/>
      <c r="E38" s="47"/>
      <c r="F38" s="29"/>
      <c r="G38" s="28"/>
      <c r="H38" s="48"/>
    </row>
    <row r="39" spans="1:8" ht="15.75" thickBot="1" x14ac:dyDescent="0.3">
      <c r="A39" s="49"/>
      <c r="B39" s="50"/>
      <c r="C39" s="51"/>
      <c r="D39" s="50" t="str">
        <f>IF(A39="","",VLOOKUP(A39,$O$3:$P$12,2,FALSE))</f>
        <v/>
      </c>
      <c r="E39" s="52" t="str">
        <f>IF(A39="","",B39*D39)</f>
        <v/>
      </c>
      <c r="F39" s="53"/>
      <c r="G39" s="53"/>
      <c r="H39" s="54"/>
    </row>
  </sheetData>
  <mergeCells count="17">
    <mergeCell ref="C9:D9"/>
    <mergeCell ref="G9:H9"/>
    <mergeCell ref="C10:D10"/>
    <mergeCell ref="G10:H10"/>
    <mergeCell ref="F36:H36"/>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89" orientation="portrait"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pageSetUpPr fitToPage="1"/>
  </sheetPr>
  <dimension ref="A1:H61"/>
  <sheetViews>
    <sheetView zoomScale="40" zoomScaleNormal="40" workbookViewId="0">
      <selection activeCell="G4" sqref="G4"/>
    </sheetView>
  </sheetViews>
  <sheetFormatPr baseColWidth="10" defaultRowHeight="15" x14ac:dyDescent="0.25"/>
  <cols>
    <col min="1" max="1" width="25.7109375" customWidth="1"/>
    <col min="4" max="4" width="31.85546875" customWidth="1"/>
    <col min="5" max="6" width="17.140625" customWidth="1"/>
    <col min="7" max="7" width="26.14062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94</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180.7</v>
      </c>
      <c r="F4" s="85" t="s">
        <v>121</v>
      </c>
      <c r="G4" s="3" t="s">
        <v>608</v>
      </c>
      <c r="H4" s="729">
        <f>H33</f>
        <v>0.50970555555555552</v>
      </c>
    </row>
    <row r="5" spans="1:8" x14ac:dyDescent="0.25">
      <c r="A5" s="664" t="s">
        <v>8</v>
      </c>
      <c r="B5" s="665"/>
      <c r="C5" s="665"/>
      <c r="D5" s="665"/>
      <c r="E5" s="665"/>
      <c r="F5" s="665"/>
      <c r="G5" s="665"/>
      <c r="H5" s="666"/>
    </row>
    <row r="6" spans="1:8" ht="78" customHeight="1" x14ac:dyDescent="0.25">
      <c r="A6" s="667" t="s">
        <v>95</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27.75" customHeight="1" x14ac:dyDescent="0.25">
      <c r="A9" s="750" t="s">
        <v>145</v>
      </c>
      <c r="B9" s="749">
        <v>1</v>
      </c>
      <c r="C9" s="751" t="s">
        <v>609</v>
      </c>
      <c r="D9" s="752"/>
      <c r="E9" s="749" t="s">
        <v>610</v>
      </c>
      <c r="F9" s="749">
        <v>1</v>
      </c>
      <c r="G9" s="753" t="s">
        <v>611</v>
      </c>
      <c r="H9" s="754"/>
    </row>
    <row r="10" spans="1:8" ht="29.25" customHeight="1" x14ac:dyDescent="0.25">
      <c r="A10" s="750" t="s">
        <v>174</v>
      </c>
      <c r="B10" s="749">
        <v>1</v>
      </c>
      <c r="C10" s="751" t="s">
        <v>609</v>
      </c>
      <c r="D10" s="752"/>
      <c r="E10" s="749" t="s">
        <v>127</v>
      </c>
      <c r="F10" s="749">
        <v>2</v>
      </c>
      <c r="G10" s="753" t="s">
        <v>611</v>
      </c>
      <c r="H10" s="754"/>
    </row>
    <row r="11" spans="1:8" x14ac:dyDescent="0.25">
      <c r="A11" s="750"/>
      <c r="B11" s="749"/>
      <c r="C11" s="755"/>
      <c r="D11" s="755"/>
      <c r="E11" s="749" t="s">
        <v>540</v>
      </c>
      <c r="F11" s="749">
        <v>1</v>
      </c>
      <c r="G11" s="753" t="s">
        <v>15</v>
      </c>
      <c r="H11" s="754"/>
    </row>
    <row r="12" spans="1:8" x14ac:dyDescent="0.25">
      <c r="A12" s="8"/>
      <c r="B12" s="9"/>
      <c r="C12" s="677"/>
      <c r="D12" s="678"/>
      <c r="E12" s="10"/>
      <c r="F12" s="9"/>
      <c r="G12" s="682"/>
      <c r="H12" s="683"/>
    </row>
    <row r="13" spans="1:8" x14ac:dyDescent="0.25">
      <c r="A13" s="12" t="s">
        <v>16</v>
      </c>
      <c r="B13" s="13"/>
      <c r="C13" s="13"/>
      <c r="D13" s="13"/>
      <c r="E13" s="13"/>
      <c r="F13" s="13"/>
      <c r="G13" s="13"/>
      <c r="H13" s="14"/>
    </row>
    <row r="14" spans="1:8" ht="15" customHeight="1" x14ac:dyDescent="0.25">
      <c r="A14" s="756" t="s">
        <v>612</v>
      </c>
      <c r="B14" s="756"/>
      <c r="C14" s="756"/>
      <c r="D14" s="756"/>
      <c r="E14" s="756"/>
      <c r="F14" s="756"/>
      <c r="G14" s="756"/>
      <c r="H14" s="757"/>
    </row>
    <row r="15" spans="1:8" x14ac:dyDescent="0.25">
      <c r="A15" s="758"/>
      <c r="B15" s="758"/>
      <c r="C15" s="758"/>
      <c r="D15" s="758"/>
      <c r="E15" s="758"/>
      <c r="F15" s="758"/>
      <c r="G15" s="758"/>
      <c r="H15" s="759"/>
    </row>
    <row r="16" spans="1:8" ht="35.25" customHeight="1" x14ac:dyDescent="0.25">
      <c r="A16" s="760"/>
      <c r="B16" s="760"/>
      <c r="C16" s="760"/>
      <c r="D16" s="760"/>
      <c r="E16" s="760"/>
      <c r="F16" s="760"/>
      <c r="G16" s="760"/>
      <c r="H16" s="761"/>
    </row>
    <row r="17" spans="1:8" ht="15.75" thickBot="1" x14ac:dyDescent="0.3">
      <c r="A17" s="12" t="s">
        <v>17</v>
      </c>
      <c r="B17" s="21"/>
      <c r="C17" s="21"/>
      <c r="D17" s="21"/>
      <c r="E17" s="21"/>
      <c r="F17" s="21"/>
      <c r="G17" s="21"/>
      <c r="H17" s="22"/>
    </row>
    <row r="18" spans="1:8" ht="15.75" thickBot="1" x14ac:dyDescent="0.3">
      <c r="A18" s="421" t="s">
        <v>18</v>
      </c>
      <c r="B18" s="422" t="s">
        <v>3</v>
      </c>
      <c r="C18" s="423"/>
      <c r="D18" s="424" t="s">
        <v>18</v>
      </c>
      <c r="E18" s="425" t="s">
        <v>3</v>
      </c>
      <c r="F18" s="423"/>
      <c r="G18" s="426" t="s">
        <v>18</v>
      </c>
      <c r="H18" s="427" t="s">
        <v>3</v>
      </c>
    </row>
    <row r="19" spans="1:8" ht="15.75" thickBot="1" x14ac:dyDescent="0.3">
      <c r="A19" s="428" t="s">
        <v>468</v>
      </c>
      <c r="B19" s="429"/>
      <c r="C19" s="430"/>
      <c r="D19" s="431" t="s">
        <v>389</v>
      </c>
      <c r="E19" s="432"/>
      <c r="F19" s="430"/>
      <c r="G19" s="456" t="s">
        <v>401</v>
      </c>
      <c r="H19" s="457"/>
    </row>
    <row r="20" spans="1:8" x14ac:dyDescent="0.25">
      <c r="A20" s="434" t="s">
        <v>390</v>
      </c>
      <c r="B20" s="435">
        <v>0.13</v>
      </c>
      <c r="C20" s="436"/>
      <c r="D20" s="435" t="s">
        <v>391</v>
      </c>
      <c r="E20" s="435">
        <v>3</v>
      </c>
      <c r="F20" s="436"/>
      <c r="G20" s="434" t="s">
        <v>404</v>
      </c>
      <c r="H20" s="458">
        <f>B20*B21</f>
        <v>3.2500000000000001E-2</v>
      </c>
    </row>
    <row r="21" spans="1:8" ht="15.75" thickBot="1" x14ac:dyDescent="0.3">
      <c r="A21" s="439" t="s">
        <v>392</v>
      </c>
      <c r="B21" s="440">
        <v>0.25</v>
      </c>
      <c r="C21" s="436"/>
      <c r="D21" s="441" t="s">
        <v>393</v>
      </c>
      <c r="E21" s="442">
        <f>E20*B22</f>
        <v>542.09999999999991</v>
      </c>
      <c r="F21" s="436"/>
      <c r="G21" s="449" t="s">
        <v>407</v>
      </c>
      <c r="H21" s="459">
        <v>0.05</v>
      </c>
    </row>
    <row r="22" spans="1:8" ht="15.75" thickBot="1" x14ac:dyDescent="0.3">
      <c r="A22" s="444" t="s">
        <v>394</v>
      </c>
      <c r="B22" s="518">
        <f>E4</f>
        <v>180.7</v>
      </c>
      <c r="C22" s="436"/>
      <c r="D22" s="446" t="s">
        <v>395</v>
      </c>
      <c r="E22" s="447">
        <f>E21/3600/24</f>
        <v>6.2743055555555547E-3</v>
      </c>
      <c r="F22" s="436"/>
      <c r="G22" s="449" t="s">
        <v>410</v>
      </c>
      <c r="H22" s="460">
        <f>H21*H20</f>
        <v>1.6250000000000001E-3</v>
      </c>
    </row>
    <row r="23" spans="1:8" ht="15.75" thickBot="1" x14ac:dyDescent="0.3">
      <c r="A23" s="444" t="s">
        <v>396</v>
      </c>
      <c r="B23" s="445">
        <v>1</v>
      </c>
      <c r="C23" s="436"/>
      <c r="D23" s="448" t="s">
        <v>397</v>
      </c>
      <c r="E23" s="432"/>
      <c r="F23" s="436"/>
      <c r="G23" s="444" t="s">
        <v>412</v>
      </c>
      <c r="H23" s="460">
        <f>H22*1000</f>
        <v>1.6250000000000002</v>
      </c>
    </row>
    <row r="24" spans="1:8" ht="15.75" thickBot="1" x14ac:dyDescent="0.3">
      <c r="A24" s="449" t="s">
        <v>398</v>
      </c>
      <c r="B24" s="450">
        <f>ROUNDUP(B22*B23,0)</f>
        <v>181</v>
      </c>
      <c r="C24" s="436"/>
      <c r="D24" s="451" t="s">
        <v>399</v>
      </c>
      <c r="E24" s="452">
        <v>3</v>
      </c>
      <c r="F24" s="436"/>
      <c r="G24" s="439" t="s">
        <v>414</v>
      </c>
      <c r="H24" s="463">
        <f>15/60/24</f>
        <v>1.0416666666666666E-2</v>
      </c>
    </row>
    <row r="25" spans="1:8" ht="15.75" thickBot="1" x14ac:dyDescent="0.3">
      <c r="A25" s="428" t="s">
        <v>400</v>
      </c>
      <c r="B25" s="454"/>
      <c r="C25" s="436"/>
      <c r="D25" s="441" t="s">
        <v>393</v>
      </c>
      <c r="E25" s="455">
        <f>E24*B22</f>
        <v>542.09999999999991</v>
      </c>
      <c r="F25" s="436"/>
      <c r="G25" s="444" t="s">
        <v>417</v>
      </c>
      <c r="H25" s="460">
        <f>H29*H23</f>
        <v>292.01250000000005</v>
      </c>
    </row>
    <row r="26" spans="1:8" ht="15.75" thickBot="1" x14ac:dyDescent="0.3">
      <c r="A26" s="434" t="s">
        <v>402</v>
      </c>
      <c r="B26" s="435">
        <f>ROUNDUP(B21+B31+B34,1)</f>
        <v>0.4</v>
      </c>
      <c r="C26" s="436"/>
      <c r="D26" s="446" t="s">
        <v>403</v>
      </c>
      <c r="E26" s="447">
        <f>E25/3600/24</f>
        <v>6.2743055555555547E-3</v>
      </c>
      <c r="F26" s="436"/>
      <c r="G26" s="439" t="s">
        <v>414</v>
      </c>
      <c r="H26" s="463">
        <f>H24*(ROUNDUP(H25/35,0))</f>
        <v>9.375E-2</v>
      </c>
    </row>
    <row r="27" spans="1:8" ht="15.75" thickBot="1" x14ac:dyDescent="0.3">
      <c r="A27" s="444" t="s">
        <v>405</v>
      </c>
      <c r="B27" s="445">
        <f>0.15</f>
        <v>0.15</v>
      </c>
      <c r="C27" s="436"/>
      <c r="D27" s="448" t="s">
        <v>406</v>
      </c>
      <c r="E27" s="432"/>
      <c r="F27" s="436"/>
      <c r="G27" s="468" t="s">
        <v>422</v>
      </c>
      <c r="H27" s="454" t="s">
        <v>423</v>
      </c>
    </row>
    <row r="28" spans="1:8" x14ac:dyDescent="0.25">
      <c r="A28" s="444" t="s">
        <v>408</v>
      </c>
      <c r="B28" s="445">
        <f>B27*B26</f>
        <v>0.06</v>
      </c>
      <c r="C28" s="436"/>
      <c r="D28" s="451" t="s">
        <v>409</v>
      </c>
      <c r="E28" s="452">
        <v>3</v>
      </c>
      <c r="F28" s="436"/>
      <c r="G28" s="434" t="s">
        <v>426</v>
      </c>
      <c r="H28" s="458">
        <v>30</v>
      </c>
    </row>
    <row r="29" spans="1:8" ht="15.75" thickBot="1" x14ac:dyDescent="0.3">
      <c r="A29" s="449" t="s">
        <v>411</v>
      </c>
      <c r="B29" s="461">
        <f>B28*B22</f>
        <v>10.841999999999999</v>
      </c>
      <c r="C29" s="436"/>
      <c r="D29" s="441" t="s">
        <v>393</v>
      </c>
      <c r="E29" s="442">
        <f>E28*B22</f>
        <v>542.09999999999991</v>
      </c>
      <c r="F29" s="436"/>
      <c r="G29" s="444" t="s">
        <v>429</v>
      </c>
      <c r="H29" s="460">
        <f>B22-1+H38</f>
        <v>179.7</v>
      </c>
    </row>
    <row r="30" spans="1:8" ht="15.75" thickBot="1" x14ac:dyDescent="0.3">
      <c r="A30" s="428" t="s">
        <v>413</v>
      </c>
      <c r="B30" s="454"/>
      <c r="C30" s="436"/>
      <c r="D30" s="462" t="s">
        <v>403</v>
      </c>
      <c r="E30" s="447">
        <f>E29/3600/24</f>
        <v>6.2743055555555547E-3</v>
      </c>
      <c r="F30" s="436"/>
      <c r="G30" s="449" t="s">
        <v>403</v>
      </c>
      <c r="H30" s="473">
        <f>H28*H29/3600/24</f>
        <v>6.2395833333333338E-2</v>
      </c>
    </row>
    <row r="31" spans="1:8" ht="16.5" thickBot="1" x14ac:dyDescent="0.3">
      <c r="A31" s="444" t="s">
        <v>415</v>
      </c>
      <c r="B31" s="460">
        <f>(2/3)*B20</f>
        <v>8.666666666666667E-2</v>
      </c>
      <c r="C31" s="436"/>
      <c r="D31" s="428" t="s">
        <v>416</v>
      </c>
      <c r="E31" s="464"/>
      <c r="F31" s="436"/>
      <c r="G31" s="345" t="s">
        <v>433</v>
      </c>
      <c r="H31" s="477">
        <f>E22+E26+E30+E34+E41+E45+E54+H26+H30</f>
        <v>0.31856597222222216</v>
      </c>
    </row>
    <row r="32" spans="1:8" x14ac:dyDescent="0.25">
      <c r="A32" s="444" t="s">
        <v>418</v>
      </c>
      <c r="B32" s="458">
        <f>(B31*B31)/2</f>
        <v>3.7555555555555558E-3</v>
      </c>
      <c r="C32" s="436"/>
      <c r="D32" s="465" t="s">
        <v>419</v>
      </c>
      <c r="E32" s="466">
        <v>30</v>
      </c>
      <c r="F32" s="436"/>
      <c r="G32" s="480" t="s">
        <v>282</v>
      </c>
      <c r="H32" s="481">
        <f>8/5</f>
        <v>1.6</v>
      </c>
    </row>
    <row r="33" spans="1:8" ht="15.75" x14ac:dyDescent="0.25">
      <c r="A33" s="444" t="s">
        <v>420</v>
      </c>
      <c r="B33" s="467">
        <f>B32*B22</f>
        <v>0.67862888888888895</v>
      </c>
      <c r="C33" s="436"/>
      <c r="D33" s="441" t="s">
        <v>421</v>
      </c>
      <c r="E33" s="442">
        <v>30</v>
      </c>
      <c r="F33" s="436"/>
      <c r="G33" s="345" t="s">
        <v>437</v>
      </c>
      <c r="H33" s="477">
        <f>H31*H32</f>
        <v>0.50970555555555552</v>
      </c>
    </row>
    <row r="34" spans="1:8" ht="26.25" thickBot="1" x14ac:dyDescent="0.3">
      <c r="A34" s="444" t="s">
        <v>424</v>
      </c>
      <c r="B34" s="469">
        <f>0.06*2/3</f>
        <v>0.04</v>
      </c>
      <c r="C34" s="436"/>
      <c r="D34" s="462" t="s">
        <v>425</v>
      </c>
      <c r="E34" s="470">
        <f>(E32+E33)*B46/3600/24</f>
        <v>7.6388888888888886E-3</v>
      </c>
      <c r="F34" s="436"/>
      <c r="G34" s="485" t="s">
        <v>440</v>
      </c>
      <c r="H34" s="486">
        <f>H33/8</f>
        <v>6.371319444444444E-2</v>
      </c>
    </row>
    <row r="35" spans="1:8" ht="26.25" thickBot="1" x14ac:dyDescent="0.3">
      <c r="A35" s="444" t="s">
        <v>427</v>
      </c>
      <c r="B35" s="469">
        <f>(B34*B34)/2</f>
        <v>8.0000000000000004E-4</v>
      </c>
      <c r="C35" s="436"/>
      <c r="D35" s="416" t="s">
        <v>428</v>
      </c>
      <c r="E35" s="471"/>
      <c r="F35" s="436"/>
      <c r="G35" s="415" t="s">
        <v>574</v>
      </c>
      <c r="H35" s="433">
        <f>E4/12.25</f>
        <v>14.751020408163264</v>
      </c>
    </row>
    <row r="36" spans="1:8" ht="25.5" x14ac:dyDescent="0.25">
      <c r="A36" s="444" t="s">
        <v>430</v>
      </c>
      <c r="B36" s="467">
        <f>B35*B22</f>
        <v>0.14455999999999999</v>
      </c>
      <c r="C36" s="436"/>
      <c r="D36" s="472" t="s">
        <v>431</v>
      </c>
      <c r="E36" s="435">
        <v>5</v>
      </c>
      <c r="F36" s="436"/>
      <c r="G36" s="437"/>
      <c r="H36" s="438"/>
    </row>
    <row r="37" spans="1:8" ht="26.25" thickBot="1" x14ac:dyDescent="0.3">
      <c r="A37" s="444" t="s">
        <v>432</v>
      </c>
      <c r="B37" s="474">
        <f>B28+B32+B35</f>
        <v>6.4555555555555547E-2</v>
      </c>
      <c r="C37" s="436"/>
      <c r="D37" s="475" t="s">
        <v>403</v>
      </c>
      <c r="E37" s="476">
        <f>B45*E36/3600/24</f>
        <v>1.0416666666666667E-3</v>
      </c>
      <c r="F37" s="436"/>
      <c r="G37" s="443"/>
      <c r="H37" s="438"/>
    </row>
    <row r="38" spans="1:8" x14ac:dyDescent="0.25">
      <c r="A38" s="444" t="s">
        <v>434</v>
      </c>
      <c r="B38" s="445">
        <f>B37*1000</f>
        <v>64.555555555555543</v>
      </c>
      <c r="C38" s="436"/>
      <c r="D38" s="478" t="s">
        <v>435</v>
      </c>
      <c r="E38" s="479">
        <v>5</v>
      </c>
      <c r="F38" s="436"/>
      <c r="G38" s="443"/>
      <c r="H38" s="438"/>
    </row>
    <row r="39" spans="1:8" ht="15.75" thickBot="1" x14ac:dyDescent="0.3">
      <c r="A39" s="439" t="s">
        <v>436</v>
      </c>
      <c r="B39" s="482">
        <f>B29+B33+B36</f>
        <v>11.665188888888888</v>
      </c>
      <c r="C39" s="436"/>
      <c r="D39" s="475" t="s">
        <v>403</v>
      </c>
      <c r="E39" s="476">
        <f>E38*B45/3600/24</f>
        <v>1.0416666666666667E-3</v>
      </c>
      <c r="F39" s="436"/>
      <c r="G39" s="443"/>
      <c r="H39" s="438"/>
    </row>
    <row r="40" spans="1:8" ht="15.75" thickBot="1" x14ac:dyDescent="0.3">
      <c r="A40" s="428" t="s">
        <v>438</v>
      </c>
      <c r="B40" s="464"/>
      <c r="C40" s="436"/>
      <c r="D40" s="483" t="s">
        <v>439</v>
      </c>
      <c r="E40" s="484">
        <f>E39+E37</f>
        <v>2.0833333333333333E-3</v>
      </c>
      <c r="F40" s="436"/>
      <c r="G40" s="443"/>
      <c r="H40" s="453"/>
    </row>
    <row r="41" spans="1:8" ht="26.25" thickBot="1" x14ac:dyDescent="0.3">
      <c r="A41" s="434" t="s">
        <v>441</v>
      </c>
      <c r="B41" s="435">
        <v>5.5</v>
      </c>
      <c r="C41" s="436"/>
      <c r="D41" s="483" t="s">
        <v>442</v>
      </c>
      <c r="E41" s="487">
        <f>E40*B46</f>
        <v>2.2916666666666665E-2</v>
      </c>
      <c r="F41" s="436"/>
      <c r="G41" s="488"/>
      <c r="H41" s="489"/>
    </row>
    <row r="42" spans="1:8" ht="26.25" thickBot="1" x14ac:dyDescent="0.3">
      <c r="A42" s="444" t="s">
        <v>443</v>
      </c>
      <c r="B42" s="474">
        <f>B39/B41</f>
        <v>2.1209434343434341</v>
      </c>
      <c r="C42" s="436"/>
      <c r="D42" s="416" t="s">
        <v>444</v>
      </c>
      <c r="E42" s="490"/>
      <c r="F42" s="436"/>
      <c r="G42" s="491"/>
      <c r="H42" s="489"/>
    </row>
    <row r="43" spans="1:8" ht="15.75" thickBot="1" x14ac:dyDescent="0.3">
      <c r="A43" s="449" t="s">
        <v>445</v>
      </c>
      <c r="B43" s="450">
        <f>B41/B37</f>
        <v>85.19793459552497</v>
      </c>
      <c r="C43" s="436"/>
      <c r="D43" s="472" t="s">
        <v>446</v>
      </c>
      <c r="E43" s="435">
        <v>10</v>
      </c>
      <c r="F43" s="436"/>
      <c r="G43" s="491"/>
      <c r="H43" s="489"/>
    </row>
    <row r="44" spans="1:8" ht="15.75" thickBot="1" x14ac:dyDescent="0.3">
      <c r="A44" s="428" t="s">
        <v>447</v>
      </c>
      <c r="B44" s="471"/>
      <c r="C44" s="436"/>
      <c r="D44" s="492" t="s">
        <v>448</v>
      </c>
      <c r="E44" s="450">
        <v>30</v>
      </c>
      <c r="F44" s="436"/>
      <c r="G44" s="436"/>
      <c r="H44" s="489"/>
    </row>
    <row r="45" spans="1:8" ht="26.25" thickBot="1" x14ac:dyDescent="0.3">
      <c r="A45" s="434" t="s">
        <v>449</v>
      </c>
      <c r="B45" s="493">
        <v>18</v>
      </c>
      <c r="C45" s="436"/>
      <c r="D45" s="483" t="s">
        <v>442</v>
      </c>
      <c r="E45" s="494">
        <f>E44*B24/3600/24</f>
        <v>6.2847222222222221E-2</v>
      </c>
      <c r="F45" s="436"/>
      <c r="G45" s="495"/>
      <c r="H45" s="489"/>
    </row>
    <row r="46" spans="1:8" ht="15.75" thickBot="1" x14ac:dyDescent="0.3">
      <c r="A46" s="444" t="s">
        <v>450</v>
      </c>
      <c r="B46" s="496">
        <f>ROUNDUP(B24/B45,0)</f>
        <v>11</v>
      </c>
      <c r="C46" s="436"/>
      <c r="D46" s="416" t="s">
        <v>451</v>
      </c>
      <c r="E46" s="464"/>
      <c r="F46" s="436"/>
      <c r="G46" s="436"/>
      <c r="H46" s="489"/>
    </row>
    <row r="47" spans="1:8" ht="25.5" x14ac:dyDescent="0.25">
      <c r="A47" s="497"/>
      <c r="B47" s="436"/>
      <c r="C47" s="436"/>
      <c r="D47" s="472" t="s">
        <v>452</v>
      </c>
      <c r="E47" s="435">
        <v>8</v>
      </c>
      <c r="F47" s="436"/>
      <c r="G47" s="436"/>
      <c r="H47" s="489"/>
    </row>
    <row r="48" spans="1:8" x14ac:dyDescent="0.25">
      <c r="A48" s="497"/>
      <c r="B48" s="436"/>
      <c r="C48" s="436"/>
      <c r="D48" s="478" t="s">
        <v>453</v>
      </c>
      <c r="E48" s="498">
        <v>2</v>
      </c>
      <c r="F48" s="436"/>
      <c r="G48" s="436"/>
      <c r="H48" s="489"/>
    </row>
    <row r="49" spans="1:8" x14ac:dyDescent="0.25">
      <c r="A49" s="497"/>
      <c r="B49" s="436"/>
      <c r="C49" s="436"/>
      <c r="D49" s="478" t="s">
        <v>454</v>
      </c>
      <c r="E49" s="498">
        <f>E47*E48</f>
        <v>16</v>
      </c>
      <c r="F49" s="436"/>
      <c r="G49" s="436"/>
      <c r="H49" s="489"/>
    </row>
    <row r="50" spans="1:8" ht="25.5" x14ac:dyDescent="0.25">
      <c r="A50" s="497"/>
      <c r="B50" s="436"/>
      <c r="C50" s="436"/>
      <c r="D50" s="478" t="s">
        <v>455</v>
      </c>
      <c r="E50" s="445">
        <v>2</v>
      </c>
      <c r="F50" s="436"/>
      <c r="G50" s="436"/>
      <c r="H50" s="489"/>
    </row>
    <row r="51" spans="1:8" x14ac:dyDescent="0.25">
      <c r="A51" s="497"/>
      <c r="B51" s="436"/>
      <c r="C51" s="436"/>
      <c r="D51" s="478" t="s">
        <v>456</v>
      </c>
      <c r="E51" s="445">
        <v>4</v>
      </c>
      <c r="F51" s="436"/>
      <c r="G51" s="436"/>
      <c r="H51" s="489"/>
    </row>
    <row r="52" spans="1:8" x14ac:dyDescent="0.25">
      <c r="A52" s="497"/>
      <c r="B52" s="436"/>
      <c r="C52" s="436"/>
      <c r="D52" s="478" t="s">
        <v>403</v>
      </c>
      <c r="E52" s="445">
        <f>E50*E51</f>
        <v>8</v>
      </c>
      <c r="F52" s="436"/>
      <c r="G52" s="436"/>
      <c r="H52" s="489"/>
    </row>
    <row r="53" spans="1:8" x14ac:dyDescent="0.25">
      <c r="A53" s="497"/>
      <c r="B53" s="436"/>
      <c r="C53" s="436"/>
      <c r="D53" s="492" t="s">
        <v>457</v>
      </c>
      <c r="E53" s="499">
        <f>E52+E49</f>
        <v>24</v>
      </c>
      <c r="F53" s="436"/>
      <c r="G53" s="436"/>
      <c r="H53" s="489"/>
    </row>
    <row r="54" spans="1:8" ht="15.75" thickBot="1" x14ac:dyDescent="0.3">
      <c r="A54" s="500"/>
      <c r="B54" s="501"/>
      <c r="C54" s="501"/>
      <c r="D54" s="475" t="s">
        <v>458</v>
      </c>
      <c r="E54" s="494">
        <f>E53*B22/3600/24</f>
        <v>5.0194444444444437E-2</v>
      </c>
      <c r="F54" s="501"/>
      <c r="G54" s="436"/>
      <c r="H54" s="489"/>
    </row>
    <row r="55" spans="1:8" ht="25.5" x14ac:dyDescent="0.25">
      <c r="A55" s="502" t="s">
        <v>63</v>
      </c>
      <c r="B55" s="503"/>
      <c r="C55" s="503"/>
      <c r="D55" s="503"/>
      <c r="E55" s="503"/>
      <c r="F55" s="503" t="s">
        <v>64</v>
      </c>
      <c r="G55" s="503"/>
      <c r="H55" s="504"/>
    </row>
    <row r="56" spans="1:8" ht="25.5" x14ac:dyDescent="0.25">
      <c r="A56" s="417" t="s">
        <v>11</v>
      </c>
      <c r="B56" s="418" t="s">
        <v>12</v>
      </c>
      <c r="C56" s="418" t="s">
        <v>4</v>
      </c>
      <c r="D56" s="418" t="s">
        <v>65</v>
      </c>
      <c r="E56" s="419" t="s">
        <v>66</v>
      </c>
      <c r="F56" s="413" t="s">
        <v>67</v>
      </c>
      <c r="G56" s="413" t="s">
        <v>68</v>
      </c>
      <c r="H56" s="414" t="s">
        <v>69</v>
      </c>
    </row>
    <row r="57" spans="1:8" x14ac:dyDescent="0.25">
      <c r="A57" s="420" t="s">
        <v>465</v>
      </c>
      <c r="B57" s="505">
        <f>B24</f>
        <v>181</v>
      </c>
      <c r="C57" s="506" t="s">
        <v>459</v>
      </c>
      <c r="D57" s="505">
        <v>5.15</v>
      </c>
      <c r="E57" s="507">
        <f>D57*B57</f>
        <v>932.15000000000009</v>
      </c>
      <c r="F57" s="438"/>
      <c r="G57" s="443"/>
      <c r="H57" s="508"/>
    </row>
    <row r="58" spans="1:8" x14ac:dyDescent="0.25">
      <c r="A58" s="420" t="s">
        <v>460</v>
      </c>
      <c r="B58" s="505">
        <f>B39</f>
        <v>11.665188888888888</v>
      </c>
      <c r="C58" s="506" t="s">
        <v>118</v>
      </c>
      <c r="D58" s="505">
        <v>98</v>
      </c>
      <c r="E58" s="507">
        <f>D58*B58</f>
        <v>1143.188511111111</v>
      </c>
      <c r="F58" s="438"/>
      <c r="G58" s="438"/>
      <c r="H58" s="508"/>
    </row>
    <row r="59" spans="1:8" x14ac:dyDescent="0.25">
      <c r="A59" s="509" t="s">
        <v>461</v>
      </c>
      <c r="B59" s="505">
        <f>B42</f>
        <v>2.1209434343434341</v>
      </c>
      <c r="C59" s="506" t="s">
        <v>462</v>
      </c>
      <c r="D59" s="505">
        <v>110</v>
      </c>
      <c r="E59" s="507">
        <f>D59*B59</f>
        <v>233.30377777777775</v>
      </c>
      <c r="F59" s="438"/>
      <c r="G59" s="438"/>
      <c r="H59" s="508"/>
    </row>
    <row r="60" spans="1:8" x14ac:dyDescent="0.25">
      <c r="A60" s="509" t="s">
        <v>463</v>
      </c>
      <c r="B60" s="505">
        <f>ROUNDUP(154/25,0)</f>
        <v>7</v>
      </c>
      <c r="C60" s="506" t="s">
        <v>464</v>
      </c>
      <c r="D60" s="505">
        <v>3.45</v>
      </c>
      <c r="E60" s="507">
        <f>D60*B60</f>
        <v>24.150000000000002</v>
      </c>
      <c r="F60" s="438"/>
      <c r="G60" s="438"/>
      <c r="H60" s="508"/>
    </row>
    <row r="61" spans="1:8" ht="15.75" thickBot="1" x14ac:dyDescent="0.3">
      <c r="A61" s="510"/>
      <c r="B61" s="511"/>
      <c r="C61" s="512"/>
      <c r="D61" s="511" t="str">
        <f>IF(A61="","",VLOOKUP(A61,$O$3:$P$19,2,FALSE))</f>
        <v/>
      </c>
      <c r="E61" s="513" t="str">
        <f>IF(A61="","",B61*D61)</f>
        <v/>
      </c>
      <c r="F61" s="514"/>
      <c r="G61" s="514"/>
      <c r="H61" s="515"/>
    </row>
  </sheetData>
  <mergeCells count="20">
    <mergeCell ref="A14:H16"/>
    <mergeCell ref="G11:H11"/>
    <mergeCell ref="C12:D12"/>
    <mergeCell ref="G12:H12"/>
    <mergeCell ref="A5:H5"/>
    <mergeCell ref="A6:H6"/>
    <mergeCell ref="A7:D7"/>
    <mergeCell ref="E7:H7"/>
    <mergeCell ref="C8:D8"/>
    <mergeCell ref="G8:H8"/>
    <mergeCell ref="C9:D9"/>
    <mergeCell ref="G9:H9"/>
    <mergeCell ref="C10:D10"/>
    <mergeCell ref="G10:H10"/>
    <mergeCell ref="A1:C1"/>
    <mergeCell ref="D1:H1"/>
    <mergeCell ref="A2:C2"/>
    <mergeCell ref="D2:H2"/>
    <mergeCell ref="A3:A4"/>
    <mergeCell ref="B3:D4"/>
  </mergeCells>
  <pageMargins left="0.7" right="0.7" top="0.75" bottom="0.75" header="0.3" footer="0.3"/>
  <pageSetup paperSize="9" scale="57" orientation="portrait"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pageSetUpPr fitToPage="1"/>
  </sheetPr>
  <dimension ref="A1:H61"/>
  <sheetViews>
    <sheetView topLeftCell="A13" zoomScale="40" zoomScaleNormal="40" workbookViewId="0">
      <selection activeCell="G4" sqref="G4"/>
    </sheetView>
  </sheetViews>
  <sheetFormatPr baseColWidth="10" defaultRowHeight="15" x14ac:dyDescent="0.25"/>
  <cols>
    <col min="1" max="1" width="22.7109375" customWidth="1"/>
    <col min="4" max="4" width="21.140625" customWidth="1"/>
    <col min="5" max="5" width="14.28515625" customWidth="1"/>
    <col min="7" max="7" width="24"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96</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70</v>
      </c>
      <c r="F4" s="85" t="s">
        <v>121</v>
      </c>
      <c r="G4" s="3" t="s">
        <v>613</v>
      </c>
      <c r="H4" s="729">
        <f>H33</f>
        <v>0.22111111111111115</v>
      </c>
    </row>
    <row r="5" spans="1:8" x14ac:dyDescent="0.25">
      <c r="A5" s="664" t="s">
        <v>8</v>
      </c>
      <c r="B5" s="665"/>
      <c r="C5" s="665"/>
      <c r="D5" s="665"/>
      <c r="E5" s="665"/>
      <c r="F5" s="665"/>
      <c r="G5" s="665"/>
      <c r="H5" s="666"/>
    </row>
    <row r="6" spans="1:8" ht="66" customHeight="1" x14ac:dyDescent="0.25">
      <c r="A6" s="667" t="s">
        <v>97</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15" customHeight="1" x14ac:dyDescent="0.25">
      <c r="A9" s="750" t="s">
        <v>145</v>
      </c>
      <c r="B9" s="749">
        <v>1</v>
      </c>
      <c r="C9" s="751" t="s">
        <v>609</v>
      </c>
      <c r="D9" s="752"/>
      <c r="E9" s="749" t="s">
        <v>610</v>
      </c>
      <c r="F9" s="749">
        <v>1</v>
      </c>
      <c r="G9" s="753" t="s">
        <v>611</v>
      </c>
      <c r="H9" s="754"/>
    </row>
    <row r="10" spans="1:8" ht="15" customHeight="1" x14ac:dyDescent="0.25">
      <c r="A10" s="750" t="s">
        <v>174</v>
      </c>
      <c r="B10" s="749">
        <v>1</v>
      </c>
      <c r="C10" s="751" t="s">
        <v>609</v>
      </c>
      <c r="D10" s="752"/>
      <c r="E10" s="749" t="s">
        <v>127</v>
      </c>
      <c r="F10" s="749">
        <v>2</v>
      </c>
      <c r="G10" s="753" t="s">
        <v>611</v>
      </c>
      <c r="H10" s="754"/>
    </row>
    <row r="11" spans="1:8" x14ac:dyDescent="0.25">
      <c r="A11" s="750"/>
      <c r="B11" s="749"/>
      <c r="C11" s="755"/>
      <c r="D11" s="755"/>
      <c r="E11" s="749" t="s">
        <v>540</v>
      </c>
      <c r="F11" s="749">
        <v>1</v>
      </c>
      <c r="G11" s="753" t="s">
        <v>15</v>
      </c>
      <c r="H11" s="754"/>
    </row>
    <row r="12" spans="1:8" x14ac:dyDescent="0.25">
      <c r="A12" s="8"/>
      <c r="B12" s="9"/>
      <c r="C12" s="682"/>
      <c r="D12" s="735"/>
      <c r="E12" s="10"/>
      <c r="F12" s="9"/>
      <c r="G12" s="682"/>
      <c r="H12" s="683"/>
    </row>
    <row r="13" spans="1:8" x14ac:dyDescent="0.25">
      <c r="A13" s="12" t="s">
        <v>16</v>
      </c>
      <c r="B13" s="13"/>
      <c r="C13" s="13"/>
      <c r="D13" s="13"/>
      <c r="E13" s="13"/>
      <c r="F13" s="13"/>
      <c r="G13" s="13"/>
      <c r="H13" s="14"/>
    </row>
    <row r="14" spans="1:8" ht="15" customHeight="1" x14ac:dyDescent="0.25">
      <c r="A14" s="756" t="s">
        <v>612</v>
      </c>
      <c r="B14" s="756"/>
      <c r="C14" s="756"/>
      <c r="D14" s="756"/>
      <c r="E14" s="756"/>
      <c r="F14" s="756"/>
      <c r="G14" s="756"/>
      <c r="H14" s="757"/>
    </row>
    <row r="15" spans="1:8" x14ac:dyDescent="0.25">
      <c r="A15" s="758"/>
      <c r="B15" s="758"/>
      <c r="C15" s="758"/>
      <c r="D15" s="758"/>
      <c r="E15" s="758"/>
      <c r="F15" s="758"/>
      <c r="G15" s="758"/>
      <c r="H15" s="759"/>
    </row>
    <row r="16" spans="1:8" ht="64.5" customHeight="1" x14ac:dyDescent="0.25">
      <c r="A16" s="760"/>
      <c r="B16" s="760"/>
      <c r="C16" s="760"/>
      <c r="D16" s="760"/>
      <c r="E16" s="760"/>
      <c r="F16" s="760"/>
      <c r="G16" s="760"/>
      <c r="H16" s="761"/>
    </row>
    <row r="17" spans="1:8" ht="15.75" thickBot="1" x14ac:dyDescent="0.3">
      <c r="A17" s="12" t="s">
        <v>17</v>
      </c>
      <c r="B17" s="21"/>
      <c r="C17" s="21"/>
      <c r="D17" s="21"/>
      <c r="E17" s="21"/>
      <c r="F17" s="21"/>
      <c r="G17" s="21"/>
      <c r="H17" s="22"/>
    </row>
    <row r="18" spans="1:8" ht="15.75" thickBot="1" x14ac:dyDescent="0.3">
      <c r="A18" s="421" t="s">
        <v>18</v>
      </c>
      <c r="B18" s="422" t="s">
        <v>3</v>
      </c>
      <c r="C18" s="423"/>
      <c r="D18" s="424" t="s">
        <v>18</v>
      </c>
      <c r="E18" s="425" t="s">
        <v>3</v>
      </c>
      <c r="F18" s="423"/>
      <c r="G18" s="426" t="s">
        <v>18</v>
      </c>
      <c r="H18" s="427" t="s">
        <v>3</v>
      </c>
    </row>
    <row r="19" spans="1:8" ht="30.75" thickBot="1" x14ac:dyDescent="0.3">
      <c r="A19" s="428" t="s">
        <v>468</v>
      </c>
      <c r="B19" s="429"/>
      <c r="C19" s="430"/>
      <c r="D19" s="431" t="s">
        <v>389</v>
      </c>
      <c r="E19" s="432"/>
      <c r="F19" s="430"/>
      <c r="G19" s="456" t="s">
        <v>401</v>
      </c>
      <c r="H19" s="457"/>
    </row>
    <row r="20" spans="1:8" ht="30" x14ac:dyDescent="0.25">
      <c r="A20" s="434" t="s">
        <v>390</v>
      </c>
      <c r="B20" s="435">
        <v>0.18</v>
      </c>
      <c r="C20" s="436"/>
      <c r="D20" s="435" t="s">
        <v>391</v>
      </c>
      <c r="E20" s="435">
        <v>3</v>
      </c>
      <c r="F20" s="436"/>
      <c r="G20" s="434" t="s">
        <v>404</v>
      </c>
      <c r="H20" s="458">
        <f>B20*B21</f>
        <v>4.4999999999999998E-2</v>
      </c>
    </row>
    <row r="21" spans="1:8" ht="15.75" thickBot="1" x14ac:dyDescent="0.3">
      <c r="A21" s="439" t="s">
        <v>392</v>
      </c>
      <c r="B21" s="440">
        <v>0.25</v>
      </c>
      <c r="C21" s="436"/>
      <c r="D21" s="441" t="s">
        <v>393</v>
      </c>
      <c r="E21" s="442">
        <f>E20*B22</f>
        <v>210</v>
      </c>
      <c r="F21" s="436"/>
      <c r="G21" s="449" t="s">
        <v>407</v>
      </c>
      <c r="H21" s="459">
        <v>0.05</v>
      </c>
    </row>
    <row r="22" spans="1:8" ht="15.75" thickBot="1" x14ac:dyDescent="0.3">
      <c r="A22" s="444" t="s">
        <v>394</v>
      </c>
      <c r="B22" s="518">
        <f>E4</f>
        <v>70</v>
      </c>
      <c r="C22" s="436"/>
      <c r="D22" s="446" t="s">
        <v>395</v>
      </c>
      <c r="E22" s="447">
        <f>E21/3600/24</f>
        <v>2.4305555555555556E-3</v>
      </c>
      <c r="F22" s="436"/>
      <c r="G22" s="449" t="s">
        <v>410</v>
      </c>
      <c r="H22" s="460">
        <f>H21*H20</f>
        <v>2.2499999999999998E-3</v>
      </c>
    </row>
    <row r="23" spans="1:8" ht="15.75" thickBot="1" x14ac:dyDescent="0.3">
      <c r="A23" s="444" t="s">
        <v>396</v>
      </c>
      <c r="B23" s="445">
        <v>1</v>
      </c>
      <c r="C23" s="436"/>
      <c r="D23" s="448" t="s">
        <v>397</v>
      </c>
      <c r="E23" s="432"/>
      <c r="F23" s="436"/>
      <c r="G23" s="444" t="s">
        <v>412</v>
      </c>
      <c r="H23" s="460">
        <f>H22*1000</f>
        <v>2.25</v>
      </c>
    </row>
    <row r="24" spans="1:8" ht="26.25" thickBot="1" x14ac:dyDescent="0.3">
      <c r="A24" s="449" t="s">
        <v>398</v>
      </c>
      <c r="B24" s="450">
        <f>B22*B23</f>
        <v>70</v>
      </c>
      <c r="C24" s="436"/>
      <c r="D24" s="451" t="s">
        <v>399</v>
      </c>
      <c r="E24" s="452">
        <v>3</v>
      </c>
      <c r="F24" s="436"/>
      <c r="G24" s="439" t="s">
        <v>414</v>
      </c>
      <c r="H24" s="463">
        <f>15/60/24</f>
        <v>1.0416666666666666E-2</v>
      </c>
    </row>
    <row r="25" spans="1:8" ht="15.75" thickBot="1" x14ac:dyDescent="0.3">
      <c r="A25" s="428" t="s">
        <v>400</v>
      </c>
      <c r="B25" s="454"/>
      <c r="C25" s="436"/>
      <c r="D25" s="441" t="s">
        <v>393</v>
      </c>
      <c r="E25" s="455">
        <f>E24*B22</f>
        <v>210</v>
      </c>
      <c r="F25" s="436"/>
      <c r="G25" s="444" t="s">
        <v>417</v>
      </c>
      <c r="H25" s="460">
        <f>H29*H23</f>
        <v>155.25</v>
      </c>
    </row>
    <row r="26" spans="1:8" ht="15.75" thickBot="1" x14ac:dyDescent="0.3">
      <c r="A26" s="434" t="s">
        <v>402</v>
      </c>
      <c r="B26" s="435">
        <f>ROUNDUP(B21+B31+B34,1)</f>
        <v>0.5</v>
      </c>
      <c r="C26" s="436"/>
      <c r="D26" s="446" t="s">
        <v>403</v>
      </c>
      <c r="E26" s="447">
        <f>E25/3600/24</f>
        <v>2.4305555555555556E-3</v>
      </c>
      <c r="F26" s="436"/>
      <c r="G26" s="439" t="s">
        <v>414</v>
      </c>
      <c r="H26" s="463">
        <f>H24*(ROUNDUP(H25/35,0))</f>
        <v>5.2083333333333329E-2</v>
      </c>
    </row>
    <row r="27" spans="1:8" ht="15.75" thickBot="1" x14ac:dyDescent="0.3">
      <c r="A27" s="444" t="s">
        <v>405</v>
      </c>
      <c r="B27" s="445">
        <f>0.15</f>
        <v>0.15</v>
      </c>
      <c r="C27" s="436"/>
      <c r="D27" s="448" t="s">
        <v>406</v>
      </c>
      <c r="E27" s="432"/>
      <c r="F27" s="436"/>
      <c r="G27" s="468" t="s">
        <v>422</v>
      </c>
      <c r="H27" s="454" t="s">
        <v>423</v>
      </c>
    </row>
    <row r="28" spans="1:8" x14ac:dyDescent="0.25">
      <c r="A28" s="444" t="s">
        <v>408</v>
      </c>
      <c r="B28" s="445">
        <f>B27*B26</f>
        <v>7.4999999999999997E-2</v>
      </c>
      <c r="C28" s="436"/>
      <c r="D28" s="451" t="s">
        <v>409</v>
      </c>
      <c r="E28" s="452">
        <v>3</v>
      </c>
      <c r="F28" s="436"/>
      <c r="G28" s="434" t="s">
        <v>426</v>
      </c>
      <c r="H28" s="458">
        <v>30</v>
      </c>
    </row>
    <row r="29" spans="1:8" ht="15.75" thickBot="1" x14ac:dyDescent="0.3">
      <c r="A29" s="449" t="s">
        <v>411</v>
      </c>
      <c r="B29" s="461">
        <f>B28*B22</f>
        <v>5.25</v>
      </c>
      <c r="C29" s="436"/>
      <c r="D29" s="441" t="s">
        <v>393</v>
      </c>
      <c r="E29" s="442">
        <f>E28*B22</f>
        <v>210</v>
      </c>
      <c r="F29" s="436"/>
      <c r="G29" s="444" t="s">
        <v>429</v>
      </c>
      <c r="H29" s="460">
        <f>B22-1+H38</f>
        <v>69</v>
      </c>
    </row>
    <row r="30" spans="1:8" ht="15.75" thickBot="1" x14ac:dyDescent="0.3">
      <c r="A30" s="428" t="s">
        <v>413</v>
      </c>
      <c r="B30" s="454"/>
      <c r="C30" s="436"/>
      <c r="D30" s="462" t="s">
        <v>403</v>
      </c>
      <c r="E30" s="447">
        <f>E29/3600/24</f>
        <v>2.4305555555555556E-3</v>
      </c>
      <c r="F30" s="436"/>
      <c r="G30" s="449" t="s">
        <v>403</v>
      </c>
      <c r="H30" s="473">
        <f>H28*H29/3600/24</f>
        <v>2.3958333333333331E-2</v>
      </c>
    </row>
    <row r="31" spans="1:8" ht="26.25" thickBot="1" x14ac:dyDescent="0.3">
      <c r="A31" s="444" t="s">
        <v>415</v>
      </c>
      <c r="B31" s="460">
        <f>(2/3)*B20</f>
        <v>0.12</v>
      </c>
      <c r="C31" s="436"/>
      <c r="D31" s="428" t="s">
        <v>416</v>
      </c>
      <c r="E31" s="464"/>
      <c r="F31" s="436"/>
      <c r="G31" s="345" t="s">
        <v>433</v>
      </c>
      <c r="H31" s="477">
        <f>E22+E26+E30+E34+E41+E45+E54+H26+H30</f>
        <v>0.13819444444444445</v>
      </c>
    </row>
    <row r="32" spans="1:8" ht="25.5" x14ac:dyDescent="0.25">
      <c r="A32" s="444" t="s">
        <v>418</v>
      </c>
      <c r="B32" s="458">
        <f>(B31*B31)/2</f>
        <v>7.1999999999999998E-3</v>
      </c>
      <c r="C32" s="436"/>
      <c r="D32" s="465" t="s">
        <v>419</v>
      </c>
      <c r="E32" s="466">
        <v>30</v>
      </c>
      <c r="F32" s="436"/>
      <c r="G32" s="480" t="s">
        <v>282</v>
      </c>
      <c r="H32" s="481">
        <f>8/5</f>
        <v>1.6</v>
      </c>
    </row>
    <row r="33" spans="1:8" ht="25.5" x14ac:dyDescent="0.25">
      <c r="A33" s="444" t="s">
        <v>420</v>
      </c>
      <c r="B33" s="467">
        <f>B32*B22</f>
        <v>0.504</v>
      </c>
      <c r="C33" s="436"/>
      <c r="D33" s="441" t="s">
        <v>421</v>
      </c>
      <c r="E33" s="442">
        <v>30</v>
      </c>
      <c r="F33" s="436"/>
      <c r="G33" s="345" t="s">
        <v>437</v>
      </c>
      <c r="H33" s="477">
        <f>H31*H32</f>
        <v>0.22111111111111115</v>
      </c>
    </row>
    <row r="34" spans="1:8" ht="26.25" thickBot="1" x14ac:dyDescent="0.3">
      <c r="A34" s="444" t="s">
        <v>424</v>
      </c>
      <c r="B34" s="469">
        <f>0.11*2/3</f>
        <v>7.3333333333333334E-2</v>
      </c>
      <c r="C34" s="436"/>
      <c r="D34" s="462" t="s">
        <v>425</v>
      </c>
      <c r="E34" s="470">
        <f>(E32+E33)*B46/3600/24</f>
        <v>2.7777777777777779E-3</v>
      </c>
      <c r="F34" s="436"/>
      <c r="G34" s="485" t="s">
        <v>440</v>
      </c>
      <c r="H34" s="486">
        <f>H33/8</f>
        <v>2.7638888888888893E-2</v>
      </c>
    </row>
    <row r="35" spans="1:8" ht="30.75" thickBot="1" x14ac:dyDescent="0.3">
      <c r="A35" s="444" t="s">
        <v>427</v>
      </c>
      <c r="B35" s="469">
        <f>(B34*B34)/2</f>
        <v>2.6888888888888891E-3</v>
      </c>
      <c r="C35" s="436"/>
      <c r="D35" s="416" t="s">
        <v>428</v>
      </c>
      <c r="E35" s="471"/>
      <c r="F35" s="436"/>
      <c r="G35" s="415" t="s">
        <v>574</v>
      </c>
      <c r="H35" s="433">
        <f>E4/5.25</f>
        <v>13.333333333333334</v>
      </c>
    </row>
    <row r="36" spans="1:8" ht="25.5" x14ac:dyDescent="0.25">
      <c r="A36" s="444" t="s">
        <v>430</v>
      </c>
      <c r="B36" s="467">
        <f>B35*B22</f>
        <v>0.18822222222222224</v>
      </c>
      <c r="C36" s="436"/>
      <c r="D36" s="472" t="s">
        <v>431</v>
      </c>
      <c r="E36" s="435">
        <v>5</v>
      </c>
      <c r="F36" s="436"/>
      <c r="G36" s="437"/>
      <c r="H36" s="438"/>
    </row>
    <row r="37" spans="1:8" ht="26.25" thickBot="1" x14ac:dyDescent="0.3">
      <c r="A37" s="444" t="s">
        <v>432</v>
      </c>
      <c r="B37" s="474">
        <f>B28+B32+B35</f>
        <v>8.4888888888888889E-2</v>
      </c>
      <c r="C37" s="436"/>
      <c r="D37" s="475" t="s">
        <v>403</v>
      </c>
      <c r="E37" s="476">
        <f>B45*E36/3600/24</f>
        <v>1.0416666666666667E-3</v>
      </c>
      <c r="F37" s="436"/>
      <c r="G37" s="443"/>
      <c r="H37" s="438"/>
    </row>
    <row r="38" spans="1:8" ht="25.5" x14ac:dyDescent="0.25">
      <c r="A38" s="444" t="s">
        <v>434</v>
      </c>
      <c r="B38" s="445">
        <f>B37*1000</f>
        <v>84.888888888888886</v>
      </c>
      <c r="C38" s="436"/>
      <c r="D38" s="478" t="s">
        <v>435</v>
      </c>
      <c r="E38" s="479">
        <v>5</v>
      </c>
      <c r="F38" s="436"/>
      <c r="G38" s="443"/>
      <c r="H38" s="438"/>
    </row>
    <row r="39" spans="1:8" ht="15.75" thickBot="1" x14ac:dyDescent="0.3">
      <c r="A39" s="439" t="s">
        <v>436</v>
      </c>
      <c r="B39" s="482">
        <f>B29+B33+B36</f>
        <v>5.9422222222222221</v>
      </c>
      <c r="C39" s="436"/>
      <c r="D39" s="475" t="s">
        <v>403</v>
      </c>
      <c r="E39" s="476">
        <f>E38*B45/3600/24</f>
        <v>1.0416666666666667E-3</v>
      </c>
      <c r="F39" s="436"/>
      <c r="G39" s="443"/>
      <c r="H39" s="438"/>
    </row>
    <row r="40" spans="1:8" ht="26.25" thickBot="1" x14ac:dyDescent="0.3">
      <c r="A40" s="428" t="s">
        <v>438</v>
      </c>
      <c r="B40" s="464"/>
      <c r="C40" s="436"/>
      <c r="D40" s="483" t="s">
        <v>439</v>
      </c>
      <c r="E40" s="484">
        <f>E39+E37</f>
        <v>2.0833333333333333E-3</v>
      </c>
      <c r="F40" s="436"/>
      <c r="G40" s="443"/>
      <c r="H40" s="453"/>
    </row>
    <row r="41" spans="1:8" ht="26.25" thickBot="1" x14ac:dyDescent="0.3">
      <c r="A41" s="434" t="s">
        <v>441</v>
      </c>
      <c r="B41" s="435">
        <v>5.5</v>
      </c>
      <c r="C41" s="436"/>
      <c r="D41" s="483" t="s">
        <v>442</v>
      </c>
      <c r="E41" s="487">
        <f>E40*B46</f>
        <v>8.3333333333333332E-3</v>
      </c>
      <c r="F41" s="436"/>
      <c r="G41" s="488"/>
      <c r="H41" s="489"/>
    </row>
    <row r="42" spans="1:8" ht="26.25" thickBot="1" x14ac:dyDescent="0.3">
      <c r="A42" s="444" t="s">
        <v>443</v>
      </c>
      <c r="B42" s="474">
        <f>B39/B41</f>
        <v>1.0804040404040405</v>
      </c>
      <c r="C42" s="436"/>
      <c r="D42" s="416" t="s">
        <v>444</v>
      </c>
      <c r="E42" s="490"/>
      <c r="F42" s="436"/>
      <c r="G42" s="491"/>
      <c r="H42" s="489"/>
    </row>
    <row r="43" spans="1:8" ht="26.25" thickBot="1" x14ac:dyDescent="0.3">
      <c r="A43" s="449" t="s">
        <v>445</v>
      </c>
      <c r="B43" s="450">
        <f>B41/B37</f>
        <v>64.790575916230367</v>
      </c>
      <c r="C43" s="436"/>
      <c r="D43" s="472" t="s">
        <v>446</v>
      </c>
      <c r="E43" s="435">
        <v>10</v>
      </c>
      <c r="F43" s="436"/>
      <c r="G43" s="491"/>
      <c r="H43" s="489"/>
    </row>
    <row r="44" spans="1:8" ht="26.25" thickBot="1" x14ac:dyDescent="0.3">
      <c r="A44" s="428" t="s">
        <v>447</v>
      </c>
      <c r="B44" s="471"/>
      <c r="C44" s="436"/>
      <c r="D44" s="492" t="s">
        <v>448</v>
      </c>
      <c r="E44" s="450">
        <v>30</v>
      </c>
      <c r="F44" s="436"/>
      <c r="G44" s="436"/>
      <c r="H44" s="489"/>
    </row>
    <row r="45" spans="1:8" ht="26.25" thickBot="1" x14ac:dyDescent="0.3">
      <c r="A45" s="434" t="s">
        <v>449</v>
      </c>
      <c r="B45" s="493">
        <v>18</v>
      </c>
      <c r="C45" s="436"/>
      <c r="D45" s="483" t="s">
        <v>442</v>
      </c>
      <c r="E45" s="494">
        <f>E44*B24/3600/24</f>
        <v>2.4305555555555556E-2</v>
      </c>
      <c r="F45" s="436"/>
      <c r="G45" s="495"/>
      <c r="H45" s="489"/>
    </row>
    <row r="46" spans="1:8" ht="30.75" thickBot="1" x14ac:dyDescent="0.3">
      <c r="A46" s="444" t="s">
        <v>450</v>
      </c>
      <c r="B46" s="496">
        <f>ROUNDUP(B24/B45,0)</f>
        <v>4</v>
      </c>
      <c r="C46" s="436"/>
      <c r="D46" s="416" t="s">
        <v>451</v>
      </c>
      <c r="E46" s="464"/>
      <c r="F46" s="436"/>
      <c r="G46" s="436"/>
      <c r="H46" s="489"/>
    </row>
    <row r="47" spans="1:8" ht="25.5" x14ac:dyDescent="0.25">
      <c r="A47" s="497"/>
      <c r="B47" s="436"/>
      <c r="C47" s="436"/>
      <c r="D47" s="472" t="s">
        <v>452</v>
      </c>
      <c r="E47" s="435">
        <v>8</v>
      </c>
      <c r="F47" s="436"/>
      <c r="G47" s="436"/>
      <c r="H47" s="489"/>
    </row>
    <row r="48" spans="1:8" x14ac:dyDescent="0.25">
      <c r="A48" s="497"/>
      <c r="B48" s="436"/>
      <c r="C48" s="436"/>
      <c r="D48" s="478" t="s">
        <v>453</v>
      </c>
      <c r="E48" s="498">
        <v>2</v>
      </c>
      <c r="F48" s="436"/>
      <c r="G48" s="436"/>
      <c r="H48" s="489"/>
    </row>
    <row r="49" spans="1:8" x14ac:dyDescent="0.25">
      <c r="A49" s="497"/>
      <c r="B49" s="436"/>
      <c r="C49" s="436"/>
      <c r="D49" s="478" t="s">
        <v>454</v>
      </c>
      <c r="E49" s="498">
        <f>E47*E48</f>
        <v>16</v>
      </c>
      <c r="F49" s="436"/>
      <c r="G49" s="436"/>
      <c r="H49" s="489"/>
    </row>
    <row r="50" spans="1:8" ht="25.5" x14ac:dyDescent="0.25">
      <c r="A50" s="497"/>
      <c r="B50" s="436"/>
      <c r="C50" s="436"/>
      <c r="D50" s="478" t="s">
        <v>455</v>
      </c>
      <c r="E50" s="445">
        <v>2</v>
      </c>
      <c r="F50" s="436"/>
      <c r="G50" s="436"/>
      <c r="H50" s="489"/>
    </row>
    <row r="51" spans="1:8" x14ac:dyDescent="0.25">
      <c r="A51" s="497"/>
      <c r="B51" s="436"/>
      <c r="C51" s="436"/>
      <c r="D51" s="478" t="s">
        <v>456</v>
      </c>
      <c r="E51" s="445">
        <v>4</v>
      </c>
      <c r="F51" s="436"/>
      <c r="G51" s="436"/>
      <c r="H51" s="489"/>
    </row>
    <row r="52" spans="1:8" x14ac:dyDescent="0.25">
      <c r="A52" s="497"/>
      <c r="B52" s="436"/>
      <c r="C52" s="436"/>
      <c r="D52" s="478" t="s">
        <v>403</v>
      </c>
      <c r="E52" s="445">
        <f>E50*E51</f>
        <v>8</v>
      </c>
      <c r="F52" s="436"/>
      <c r="G52" s="436"/>
      <c r="H52" s="489"/>
    </row>
    <row r="53" spans="1:8" ht="25.5" x14ac:dyDescent="0.25">
      <c r="A53" s="497"/>
      <c r="B53" s="436"/>
      <c r="C53" s="436"/>
      <c r="D53" s="492" t="s">
        <v>457</v>
      </c>
      <c r="E53" s="499">
        <f>E52+E49</f>
        <v>24</v>
      </c>
      <c r="F53" s="436"/>
      <c r="G53" s="436"/>
      <c r="H53" s="489"/>
    </row>
    <row r="54" spans="1:8" ht="15.75" thickBot="1" x14ac:dyDescent="0.3">
      <c r="A54" s="500"/>
      <c r="B54" s="501"/>
      <c r="C54" s="501"/>
      <c r="D54" s="475" t="s">
        <v>458</v>
      </c>
      <c r="E54" s="494">
        <f>E53*B22/3600/24</f>
        <v>1.9444444444444445E-2</v>
      </c>
      <c r="F54" s="501"/>
      <c r="G54" s="436"/>
      <c r="H54" s="489"/>
    </row>
    <row r="55" spans="1:8" ht="25.5" x14ac:dyDescent="0.25">
      <c r="A55" s="502" t="s">
        <v>63</v>
      </c>
      <c r="B55" s="503"/>
      <c r="C55" s="503"/>
      <c r="D55" s="503"/>
      <c r="E55" s="503"/>
      <c r="F55" s="503" t="s">
        <v>64</v>
      </c>
      <c r="G55" s="503"/>
      <c r="H55" s="504"/>
    </row>
    <row r="56" spans="1:8" ht="25.5" x14ac:dyDescent="0.25">
      <c r="A56" s="417" t="s">
        <v>11</v>
      </c>
      <c r="B56" s="418" t="s">
        <v>12</v>
      </c>
      <c r="C56" s="418" t="s">
        <v>4</v>
      </c>
      <c r="D56" s="418" t="s">
        <v>65</v>
      </c>
      <c r="E56" s="419" t="s">
        <v>66</v>
      </c>
      <c r="F56" s="413" t="s">
        <v>67</v>
      </c>
      <c r="G56" s="413" t="s">
        <v>68</v>
      </c>
      <c r="H56" s="414" t="s">
        <v>69</v>
      </c>
    </row>
    <row r="57" spans="1:8" x14ac:dyDescent="0.25">
      <c r="A57" s="420" t="s">
        <v>466</v>
      </c>
      <c r="B57" s="505">
        <f>B24</f>
        <v>70</v>
      </c>
      <c r="C57" s="506" t="s">
        <v>459</v>
      </c>
      <c r="D57" s="505">
        <v>5.15</v>
      </c>
      <c r="E57" s="507">
        <f>D57*B57</f>
        <v>360.5</v>
      </c>
      <c r="F57" s="438"/>
      <c r="G57" s="443"/>
      <c r="H57" s="508"/>
    </row>
    <row r="58" spans="1:8" x14ac:dyDescent="0.25">
      <c r="A58" s="420" t="s">
        <v>460</v>
      </c>
      <c r="B58" s="505">
        <f>B39</f>
        <v>5.9422222222222221</v>
      </c>
      <c r="C58" s="506" t="s">
        <v>118</v>
      </c>
      <c r="D58" s="505">
        <v>98</v>
      </c>
      <c r="E58" s="507">
        <f>D58*B58</f>
        <v>582.33777777777777</v>
      </c>
      <c r="F58" s="438"/>
      <c r="G58" s="438"/>
      <c r="H58" s="508"/>
    </row>
    <row r="59" spans="1:8" x14ac:dyDescent="0.25">
      <c r="A59" s="509" t="s">
        <v>461</v>
      </c>
      <c r="B59" s="505">
        <f>B42</f>
        <v>1.0804040404040405</v>
      </c>
      <c r="C59" s="506" t="s">
        <v>462</v>
      </c>
      <c r="D59" s="505">
        <v>110</v>
      </c>
      <c r="E59" s="507">
        <f>D59*B59</f>
        <v>118.84444444444445</v>
      </c>
      <c r="F59" s="438"/>
      <c r="G59" s="438"/>
      <c r="H59" s="508"/>
    </row>
    <row r="60" spans="1:8" x14ac:dyDescent="0.25">
      <c r="A60" s="509" t="s">
        <v>463</v>
      </c>
      <c r="B60" s="505">
        <f>ROUNDUP(154/25,0)</f>
        <v>7</v>
      </c>
      <c r="C60" s="506" t="s">
        <v>464</v>
      </c>
      <c r="D60" s="505">
        <v>3.45</v>
      </c>
      <c r="E60" s="507">
        <f>D60*B60</f>
        <v>24.150000000000002</v>
      </c>
      <c r="F60" s="438"/>
      <c r="G60" s="438"/>
      <c r="H60" s="508"/>
    </row>
    <row r="61" spans="1:8" ht="15.75" thickBot="1" x14ac:dyDescent="0.3">
      <c r="A61" s="510"/>
      <c r="B61" s="511"/>
      <c r="C61" s="512"/>
      <c r="D61" s="511" t="str">
        <f>IF(A61="","",VLOOKUP(A61,$O$3:$P$17,2,FALSE))</f>
        <v/>
      </c>
      <c r="E61" s="513" t="str">
        <f>IF(A61="","",B61*D61)</f>
        <v/>
      </c>
      <c r="F61" s="514"/>
      <c r="G61" s="514"/>
      <c r="H61" s="515"/>
    </row>
  </sheetData>
  <mergeCells count="20">
    <mergeCell ref="G11:H11"/>
    <mergeCell ref="A14:H16"/>
    <mergeCell ref="C9:D9"/>
    <mergeCell ref="G9:H9"/>
    <mergeCell ref="C10:D10"/>
    <mergeCell ref="G10:H10"/>
    <mergeCell ref="C12:D12"/>
    <mergeCell ref="G12:H12"/>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58"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0">
    <pageSetUpPr fitToPage="1"/>
  </sheetPr>
  <dimension ref="A1:H36"/>
  <sheetViews>
    <sheetView topLeftCell="A9" zoomScale="55" zoomScaleNormal="55" workbookViewId="0">
      <selection activeCell="G4" sqref="G4"/>
    </sheetView>
  </sheetViews>
  <sheetFormatPr baseColWidth="10" defaultRowHeight="15" x14ac:dyDescent="0.25"/>
  <cols>
    <col min="2" max="2" width="13.140625" bestFit="1" customWidth="1"/>
    <col min="8" max="8" width="12.42578125" bestFit="1"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100</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90.66</v>
      </c>
      <c r="F4" s="85" t="s">
        <v>122</v>
      </c>
      <c r="G4" s="3" t="s">
        <v>615</v>
      </c>
      <c r="H4" s="729">
        <f>H21</f>
        <v>5.308333333333333E-2</v>
      </c>
    </row>
    <row r="5" spans="1:8" x14ac:dyDescent="0.25">
      <c r="A5" s="664" t="s">
        <v>8</v>
      </c>
      <c r="B5" s="665"/>
      <c r="C5" s="665"/>
      <c r="D5" s="665"/>
      <c r="E5" s="665"/>
      <c r="F5" s="665"/>
      <c r="G5" s="665"/>
      <c r="H5" s="666"/>
    </row>
    <row r="6" spans="1:8" ht="121.5" customHeight="1" x14ac:dyDescent="0.25">
      <c r="A6" s="667" t="s">
        <v>101</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32.25" customHeight="1" x14ac:dyDescent="0.25">
      <c r="A9" s="5"/>
      <c r="B9" s="6"/>
      <c r="C9" s="736"/>
      <c r="D9" s="737"/>
      <c r="E9" s="749" t="s">
        <v>610</v>
      </c>
      <c r="F9" s="749">
        <v>1</v>
      </c>
      <c r="G9" s="762" t="s">
        <v>616</v>
      </c>
      <c r="H9" s="754"/>
    </row>
    <row r="10" spans="1:8" ht="15.75" x14ac:dyDescent="0.25">
      <c r="A10" s="5"/>
      <c r="B10" s="6"/>
      <c r="C10" s="736"/>
      <c r="D10" s="737"/>
      <c r="E10" s="749" t="s">
        <v>127</v>
      </c>
      <c r="F10" s="749">
        <v>2</v>
      </c>
      <c r="G10" s="762" t="s">
        <v>389</v>
      </c>
      <c r="H10" s="754"/>
    </row>
    <row r="11" spans="1:8" x14ac:dyDescent="0.25">
      <c r="A11" s="8"/>
      <c r="B11" s="9"/>
      <c r="C11" s="675"/>
      <c r="D11" s="676"/>
      <c r="E11" s="749" t="s">
        <v>261</v>
      </c>
      <c r="F11" s="749">
        <v>1</v>
      </c>
      <c r="G11" s="753"/>
      <c r="H11" s="754"/>
    </row>
    <row r="12" spans="1:8" x14ac:dyDescent="0.25">
      <c r="A12" s="8"/>
      <c r="B12" s="9"/>
      <c r="C12" s="677"/>
      <c r="D12" s="678"/>
      <c r="E12" s="10"/>
      <c r="F12" s="9"/>
      <c r="G12" s="682"/>
      <c r="H12" s="683"/>
    </row>
    <row r="13" spans="1:8" x14ac:dyDescent="0.25">
      <c r="A13" s="12" t="s">
        <v>16</v>
      </c>
      <c r="B13" s="13"/>
      <c r="C13" s="13"/>
      <c r="D13" s="13"/>
      <c r="E13" s="13"/>
      <c r="F13" s="13"/>
      <c r="G13" s="13"/>
      <c r="H13" s="14"/>
    </row>
    <row r="14" spans="1:8" x14ac:dyDescent="0.25">
      <c r="A14" s="15" t="s">
        <v>617</v>
      </c>
      <c r="B14" s="16"/>
      <c r="C14" s="16"/>
      <c r="D14" s="16"/>
      <c r="E14" s="16"/>
      <c r="F14" s="16"/>
      <c r="G14" s="16"/>
      <c r="H14" s="17"/>
    </row>
    <row r="15" spans="1:8" x14ac:dyDescent="0.25">
      <c r="A15" s="18"/>
      <c r="B15" s="19"/>
      <c r="C15" s="19"/>
      <c r="D15" s="19"/>
      <c r="E15" s="19"/>
      <c r="F15" s="19"/>
      <c r="G15" s="19"/>
      <c r="H15" s="11"/>
    </row>
    <row r="16" spans="1:8" x14ac:dyDescent="0.25">
      <c r="A16" s="20"/>
      <c r="B16" s="19"/>
      <c r="C16" s="19"/>
      <c r="D16" s="19"/>
      <c r="E16" s="19"/>
      <c r="F16" s="19"/>
      <c r="G16" s="19"/>
      <c r="H16" s="11"/>
    </row>
    <row r="17" spans="1:8" x14ac:dyDescent="0.25">
      <c r="A17" s="12" t="s">
        <v>17</v>
      </c>
      <c r="B17" s="21"/>
      <c r="C17" s="21"/>
      <c r="D17" s="21"/>
      <c r="E17" s="21"/>
      <c r="F17" s="21"/>
      <c r="G17" s="21"/>
      <c r="H17" s="22"/>
    </row>
    <row r="18" spans="1:8" ht="15.75" thickBot="1" x14ac:dyDescent="0.3">
      <c r="A18" s="23" t="s">
        <v>18</v>
      </c>
      <c r="B18" s="24" t="s">
        <v>3</v>
      </c>
      <c r="C18" s="16"/>
      <c r="D18" s="23" t="s">
        <v>18</v>
      </c>
      <c r="E18" s="24" t="s">
        <v>3</v>
      </c>
      <c r="F18" s="16"/>
      <c r="G18" s="16"/>
      <c r="H18" s="17"/>
    </row>
    <row r="19" spans="1:8" ht="26.25" thickBot="1" x14ac:dyDescent="0.3">
      <c r="A19" s="520" t="s">
        <v>469</v>
      </c>
      <c r="B19" s="87" t="str">
        <f t="shared" ref="B19:B20" si="0">E3</f>
        <v>Quantité</v>
      </c>
      <c r="C19" s="57"/>
      <c r="D19" s="431" t="s">
        <v>473</v>
      </c>
      <c r="E19" s="432"/>
      <c r="F19" s="57"/>
      <c r="G19" s="524" t="s">
        <v>433</v>
      </c>
      <c r="H19" s="525">
        <f>B29+E26+E22</f>
        <v>3.3177083333333329E-2</v>
      </c>
    </row>
    <row r="20" spans="1:8" ht="30" x14ac:dyDescent="0.25">
      <c r="A20" s="63" t="s">
        <v>129</v>
      </c>
      <c r="B20" s="87">
        <f t="shared" si="0"/>
        <v>90.66</v>
      </c>
      <c r="C20" s="62"/>
      <c r="D20" s="523" t="s">
        <v>476</v>
      </c>
      <c r="E20" s="435">
        <v>15</v>
      </c>
      <c r="F20" s="62"/>
      <c r="G20" s="526" t="s">
        <v>282</v>
      </c>
      <c r="H20" s="527">
        <f>8/5</f>
        <v>1.6</v>
      </c>
    </row>
    <row r="21" spans="1:8" ht="38.25" x14ac:dyDescent="0.25">
      <c r="A21" s="63" t="s">
        <v>470</v>
      </c>
      <c r="B21" s="87">
        <f>0.1</f>
        <v>0.1</v>
      </c>
      <c r="C21" s="62"/>
      <c r="D21" s="441" t="s">
        <v>393</v>
      </c>
      <c r="E21" s="442">
        <f>E20*B20</f>
        <v>1359.8999999999999</v>
      </c>
      <c r="F21" s="62"/>
      <c r="G21" s="524" t="s">
        <v>437</v>
      </c>
      <c r="H21" s="525">
        <f>H19*H20</f>
        <v>5.308333333333333E-2</v>
      </c>
    </row>
    <row r="22" spans="1:8" ht="39" thickBot="1" x14ac:dyDescent="0.3">
      <c r="A22" s="63" t="s">
        <v>471</v>
      </c>
      <c r="B22" s="87">
        <f>B20*B21</f>
        <v>9.0660000000000007</v>
      </c>
      <c r="C22" s="62"/>
      <c r="D22" s="446" t="s">
        <v>395</v>
      </c>
      <c r="E22" s="447">
        <f>E21/3600/24</f>
        <v>1.5739583333333331E-2</v>
      </c>
      <c r="F22" s="62"/>
      <c r="G22" s="524" t="s">
        <v>440</v>
      </c>
      <c r="H22" s="528">
        <f>H21/8</f>
        <v>6.6354166666666662E-3</v>
      </c>
    </row>
    <row r="23" spans="1:8" ht="26.25" thickBot="1" x14ac:dyDescent="0.3">
      <c r="A23" s="428" t="s">
        <v>438</v>
      </c>
      <c r="B23" s="464"/>
      <c r="C23" s="62"/>
      <c r="D23" s="448" t="s">
        <v>474</v>
      </c>
      <c r="E23" s="432"/>
      <c r="F23" s="62"/>
      <c r="G23" s="62" t="s">
        <v>574</v>
      </c>
      <c r="H23" s="64">
        <f>E4/(1+16/60)</f>
        <v>71.573684210526309</v>
      </c>
    </row>
    <row r="24" spans="1:8" ht="38.25" x14ac:dyDescent="0.25">
      <c r="A24" s="434" t="s">
        <v>441</v>
      </c>
      <c r="B24" s="435">
        <v>5.5</v>
      </c>
      <c r="C24" s="62"/>
      <c r="D24" s="451" t="s">
        <v>475</v>
      </c>
      <c r="E24" s="452">
        <v>10</v>
      </c>
      <c r="F24" s="62"/>
      <c r="G24" s="62"/>
      <c r="H24" s="64"/>
    </row>
    <row r="25" spans="1:8" ht="38.25" x14ac:dyDescent="0.25">
      <c r="A25" s="444" t="s">
        <v>443</v>
      </c>
      <c r="B25" s="474">
        <f>B22/B24</f>
        <v>1.6483636363636365</v>
      </c>
      <c r="C25" s="62"/>
      <c r="D25" s="441" t="s">
        <v>393</v>
      </c>
      <c r="E25" s="455">
        <f>E24*B20</f>
        <v>906.59999999999991</v>
      </c>
      <c r="F25" s="62"/>
      <c r="G25" s="62"/>
      <c r="H25" s="64"/>
    </row>
    <row r="26" spans="1:8" ht="15.75" thickBot="1" x14ac:dyDescent="0.3">
      <c r="A26" s="66" t="s">
        <v>54</v>
      </c>
      <c r="B26" s="522">
        <f>ROUNDUP(B25,0)</f>
        <v>2</v>
      </c>
      <c r="C26" s="62"/>
      <c r="D26" s="446" t="s">
        <v>403</v>
      </c>
      <c r="E26" s="447">
        <f>E25/3600/24</f>
        <v>1.0493055555555554E-2</v>
      </c>
      <c r="F26" s="62"/>
      <c r="G26" s="62"/>
      <c r="H26" s="64"/>
    </row>
    <row r="27" spans="1:8" ht="39.75" thickBot="1" x14ac:dyDescent="0.3">
      <c r="A27" s="65" t="s">
        <v>472</v>
      </c>
      <c r="B27" s="87">
        <f>60*5</f>
        <v>300</v>
      </c>
      <c r="C27" s="62"/>
      <c r="D27" s="448"/>
      <c r="E27" s="432"/>
      <c r="F27" s="62"/>
      <c r="G27" s="62"/>
      <c r="H27" s="64"/>
    </row>
    <row r="28" spans="1:8" x14ac:dyDescent="0.25">
      <c r="A28" s="63" t="s">
        <v>179</v>
      </c>
      <c r="B28" s="87">
        <f>B27*B26</f>
        <v>600</v>
      </c>
      <c r="C28" s="62"/>
      <c r="D28" s="451"/>
      <c r="E28" s="452"/>
      <c r="F28" s="62"/>
      <c r="G28" s="62"/>
      <c r="H28" s="64"/>
    </row>
    <row r="29" spans="1:8" x14ac:dyDescent="0.25">
      <c r="A29" s="63"/>
      <c r="B29" s="529">
        <f>B28/24/3600</f>
        <v>6.9444444444444441E-3</v>
      </c>
      <c r="C29" s="62"/>
      <c r="D29" s="441"/>
      <c r="E29" s="442"/>
      <c r="F29" s="62"/>
      <c r="G29" s="62"/>
      <c r="H29" s="64"/>
    </row>
    <row r="30" spans="1:8" x14ac:dyDescent="0.25">
      <c r="A30" s="63"/>
      <c r="B30" s="87"/>
      <c r="C30" s="62"/>
      <c r="D30" s="462"/>
      <c r="E30" s="447"/>
      <c r="F30" s="62"/>
      <c r="G30" s="62"/>
      <c r="H30" s="64"/>
    </row>
    <row r="31" spans="1:8" x14ac:dyDescent="0.25">
      <c r="A31" s="63"/>
      <c r="B31" s="521"/>
      <c r="C31" s="62"/>
      <c r="D31" s="63"/>
      <c r="E31" s="56"/>
      <c r="F31" s="62"/>
      <c r="G31" s="62"/>
      <c r="H31" s="64"/>
    </row>
    <row r="32" spans="1:8" x14ac:dyDescent="0.25">
      <c r="A32" s="62"/>
      <c r="B32" s="62"/>
      <c r="C32" s="62"/>
      <c r="D32" s="62"/>
      <c r="E32" s="62"/>
      <c r="F32" s="62"/>
      <c r="G32" s="62"/>
      <c r="H32" s="64"/>
    </row>
    <row r="33" spans="1:8" x14ac:dyDescent="0.25">
      <c r="A33" s="38" t="s">
        <v>63</v>
      </c>
      <c r="B33" s="39"/>
      <c r="C33" s="39"/>
      <c r="D33" s="39"/>
      <c r="E33" s="39"/>
      <c r="F33" s="679" t="s">
        <v>64</v>
      </c>
      <c r="G33" s="679"/>
      <c r="H33" s="680"/>
    </row>
    <row r="34" spans="1:8" ht="25.5" x14ac:dyDescent="0.25">
      <c r="A34" s="40" t="s">
        <v>11</v>
      </c>
      <c r="B34" s="41" t="s">
        <v>12</v>
      </c>
      <c r="C34" s="41" t="s">
        <v>4</v>
      </c>
      <c r="D34" s="41" t="s">
        <v>65</v>
      </c>
      <c r="E34" s="42" t="s">
        <v>66</v>
      </c>
      <c r="F34" s="43" t="s">
        <v>67</v>
      </c>
      <c r="G34" s="43" t="s">
        <v>68</v>
      </c>
      <c r="H34" s="44" t="s">
        <v>69</v>
      </c>
    </row>
    <row r="35" spans="1:8" x14ac:dyDescent="0.25">
      <c r="A35" s="45" t="s">
        <v>478</v>
      </c>
      <c r="B35" s="9">
        <f>B22</f>
        <v>9.0660000000000007</v>
      </c>
      <c r="C35" s="46" t="s">
        <v>118</v>
      </c>
      <c r="D35" s="9"/>
      <c r="E35" s="47"/>
      <c r="F35" s="29"/>
      <c r="G35" s="28"/>
      <c r="H35" s="48"/>
    </row>
    <row r="36" spans="1:8" ht="120.75" thickBot="1" x14ac:dyDescent="0.3">
      <c r="A36" s="49" t="s">
        <v>477</v>
      </c>
      <c r="B36" s="50">
        <f>B26</f>
        <v>2</v>
      </c>
      <c r="C36" s="51" t="s">
        <v>479</v>
      </c>
      <c r="D36" s="50"/>
      <c r="E36" s="52"/>
      <c r="F36" s="530" t="s">
        <v>480</v>
      </c>
      <c r="G36" s="53"/>
      <c r="H36" s="54">
        <v>9.6</v>
      </c>
    </row>
  </sheetData>
  <mergeCells count="19">
    <mergeCell ref="G9:H9"/>
    <mergeCell ref="G10:H10"/>
    <mergeCell ref="C11:D11"/>
    <mergeCell ref="G11:H11"/>
    <mergeCell ref="C12:D12"/>
    <mergeCell ref="G12:H12"/>
    <mergeCell ref="F33:H33"/>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80" orientation="portrait"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9">
    <pageSetUpPr fitToPage="1"/>
  </sheetPr>
  <dimension ref="A1:H61"/>
  <sheetViews>
    <sheetView zoomScale="40" zoomScaleNormal="40" workbookViewId="0">
      <selection activeCell="G4" sqref="G4"/>
    </sheetView>
  </sheetViews>
  <sheetFormatPr baseColWidth="10" defaultRowHeight="15" x14ac:dyDescent="0.25"/>
  <cols>
    <col min="1" max="1" width="26.5703125" customWidth="1"/>
    <col min="4" max="4" width="22.5703125" customWidth="1"/>
    <col min="7" max="7" width="45.4257812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98</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8.36</v>
      </c>
      <c r="F4" s="85" t="s">
        <v>121</v>
      </c>
      <c r="G4" s="3" t="s">
        <v>614</v>
      </c>
      <c r="H4" s="729">
        <f>H33</f>
        <v>3.5308888888888883E-2</v>
      </c>
    </row>
    <row r="5" spans="1:8" x14ac:dyDescent="0.25">
      <c r="A5" s="664" t="s">
        <v>8</v>
      </c>
      <c r="B5" s="665"/>
      <c r="C5" s="665"/>
      <c r="D5" s="665"/>
      <c r="E5" s="665"/>
      <c r="F5" s="665"/>
      <c r="G5" s="665"/>
      <c r="H5" s="666"/>
    </row>
    <row r="6" spans="1:8" ht="84.75" customHeight="1" x14ac:dyDescent="0.25">
      <c r="A6" s="667" t="s">
        <v>99</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750" t="s">
        <v>145</v>
      </c>
      <c r="B9" s="749">
        <v>1</v>
      </c>
      <c r="C9" s="751" t="s">
        <v>609</v>
      </c>
      <c r="D9" s="752"/>
      <c r="E9" s="749" t="s">
        <v>610</v>
      </c>
      <c r="F9" s="749">
        <v>1</v>
      </c>
      <c r="G9" s="753" t="s">
        <v>611</v>
      </c>
      <c r="H9" s="754"/>
    </row>
    <row r="10" spans="1:8" x14ac:dyDescent="0.25">
      <c r="A10" s="750" t="s">
        <v>174</v>
      </c>
      <c r="B10" s="749">
        <v>1</v>
      </c>
      <c r="C10" s="751" t="s">
        <v>609</v>
      </c>
      <c r="D10" s="752"/>
      <c r="E10" s="749" t="s">
        <v>127</v>
      </c>
      <c r="F10" s="749">
        <v>2</v>
      </c>
      <c r="G10" s="753" t="s">
        <v>611</v>
      </c>
      <c r="H10" s="754"/>
    </row>
    <row r="11" spans="1:8" x14ac:dyDescent="0.25">
      <c r="A11" s="750"/>
      <c r="B11" s="749"/>
      <c r="C11" s="755"/>
      <c r="D11" s="755"/>
      <c r="E11" s="749" t="s">
        <v>540</v>
      </c>
      <c r="F11" s="749">
        <v>1</v>
      </c>
      <c r="G11" s="753" t="s">
        <v>15</v>
      </c>
      <c r="H11" s="754"/>
    </row>
    <row r="12" spans="1:8" x14ac:dyDescent="0.25">
      <c r="A12" s="8"/>
      <c r="B12" s="9"/>
      <c r="C12" s="682"/>
      <c r="D12" s="735"/>
      <c r="E12" s="10"/>
      <c r="F12" s="9"/>
      <c r="G12" s="682"/>
      <c r="H12" s="683"/>
    </row>
    <row r="13" spans="1:8" x14ac:dyDescent="0.25">
      <c r="A13" s="12" t="s">
        <v>16</v>
      </c>
      <c r="B13" s="13"/>
      <c r="C13" s="13"/>
      <c r="D13" s="13"/>
      <c r="E13" s="13"/>
      <c r="F13" s="13"/>
      <c r="G13" s="13"/>
      <c r="H13" s="14"/>
    </row>
    <row r="14" spans="1:8" x14ac:dyDescent="0.25">
      <c r="A14" s="756" t="s">
        <v>612</v>
      </c>
      <c r="B14" s="756"/>
      <c r="C14" s="756"/>
      <c r="D14" s="756"/>
      <c r="E14" s="756"/>
      <c r="F14" s="756"/>
      <c r="G14" s="756"/>
      <c r="H14" s="757"/>
    </row>
    <row r="15" spans="1:8" x14ac:dyDescent="0.25">
      <c r="A15" s="758"/>
      <c r="B15" s="758"/>
      <c r="C15" s="758"/>
      <c r="D15" s="758"/>
      <c r="E15" s="758"/>
      <c r="F15" s="758"/>
      <c r="G15" s="758"/>
      <c r="H15" s="759"/>
    </row>
    <row r="16" spans="1:8" ht="48" customHeight="1" x14ac:dyDescent="0.25">
      <c r="A16" s="760"/>
      <c r="B16" s="760"/>
      <c r="C16" s="760"/>
      <c r="D16" s="760"/>
      <c r="E16" s="760"/>
      <c r="F16" s="760"/>
      <c r="G16" s="760"/>
      <c r="H16" s="761"/>
    </row>
    <row r="17" spans="1:8" ht="15.75" thickBot="1" x14ac:dyDescent="0.3">
      <c r="A17" s="12" t="s">
        <v>17</v>
      </c>
      <c r="B17" s="21"/>
      <c r="C17" s="21"/>
      <c r="D17" s="21"/>
      <c r="E17" s="21"/>
      <c r="F17" s="21"/>
      <c r="G17" s="21"/>
      <c r="H17" s="22"/>
    </row>
    <row r="18" spans="1:8" ht="15.75" thickBot="1" x14ac:dyDescent="0.3">
      <c r="A18" s="421" t="s">
        <v>18</v>
      </c>
      <c r="B18" s="422" t="s">
        <v>3</v>
      </c>
      <c r="C18" s="423"/>
      <c r="D18" s="424" t="s">
        <v>18</v>
      </c>
      <c r="E18" s="425" t="s">
        <v>3</v>
      </c>
      <c r="F18" s="423"/>
      <c r="G18" s="426" t="s">
        <v>18</v>
      </c>
      <c r="H18" s="427" t="s">
        <v>3</v>
      </c>
    </row>
    <row r="19" spans="1:8" ht="15.75" thickBot="1" x14ac:dyDescent="0.3">
      <c r="A19" s="428" t="s">
        <v>468</v>
      </c>
      <c r="B19" s="429"/>
      <c r="C19" s="430"/>
      <c r="D19" s="431" t="s">
        <v>389</v>
      </c>
      <c r="E19" s="432"/>
      <c r="F19" s="430"/>
      <c r="G19" s="456" t="s">
        <v>401</v>
      </c>
      <c r="H19" s="457"/>
    </row>
    <row r="20" spans="1:8" ht="30" x14ac:dyDescent="0.25">
      <c r="A20" s="434" t="s">
        <v>390</v>
      </c>
      <c r="B20" s="435">
        <v>0.12</v>
      </c>
      <c r="C20" s="436"/>
      <c r="D20" s="435" t="s">
        <v>391</v>
      </c>
      <c r="E20" s="435">
        <v>3</v>
      </c>
      <c r="F20" s="436"/>
      <c r="G20" s="434" t="s">
        <v>404</v>
      </c>
      <c r="H20" s="458">
        <f>B20*B21</f>
        <v>1.7999999999999999E-2</v>
      </c>
    </row>
    <row r="21" spans="1:8" ht="15.75" thickBot="1" x14ac:dyDescent="0.3">
      <c r="A21" s="439" t="s">
        <v>392</v>
      </c>
      <c r="B21" s="440">
        <v>0.15</v>
      </c>
      <c r="C21" s="436"/>
      <c r="D21" s="441" t="s">
        <v>393</v>
      </c>
      <c r="E21" s="442">
        <f>E20*B22</f>
        <v>25.08</v>
      </c>
      <c r="F21" s="436"/>
      <c r="G21" s="449" t="s">
        <v>407</v>
      </c>
      <c r="H21" s="459">
        <v>0.05</v>
      </c>
    </row>
    <row r="22" spans="1:8" ht="15.75" thickBot="1" x14ac:dyDescent="0.3">
      <c r="A22" s="444" t="s">
        <v>394</v>
      </c>
      <c r="B22" s="518">
        <f>E4</f>
        <v>8.36</v>
      </c>
      <c r="C22" s="436"/>
      <c r="D22" s="446" t="s">
        <v>395</v>
      </c>
      <c r="E22" s="447">
        <f>E21/3600/24</f>
        <v>2.9027777777777776E-4</v>
      </c>
      <c r="F22" s="436"/>
      <c r="G22" s="449" t="s">
        <v>410</v>
      </c>
      <c r="H22" s="460">
        <f>H21*H20</f>
        <v>8.9999999999999998E-4</v>
      </c>
    </row>
    <row r="23" spans="1:8" ht="15.75" thickBot="1" x14ac:dyDescent="0.3">
      <c r="A23" s="444" t="s">
        <v>396</v>
      </c>
      <c r="B23" s="445">
        <v>1</v>
      </c>
      <c r="C23" s="436"/>
      <c r="D23" s="448" t="s">
        <v>397</v>
      </c>
      <c r="E23" s="432"/>
      <c r="F23" s="436"/>
      <c r="G23" s="444" t="s">
        <v>412</v>
      </c>
      <c r="H23" s="460">
        <f>H22*1000</f>
        <v>0.9</v>
      </c>
    </row>
    <row r="24" spans="1:8" ht="26.25" thickBot="1" x14ac:dyDescent="0.3">
      <c r="A24" s="449" t="s">
        <v>398</v>
      </c>
      <c r="B24" s="450">
        <f>ROUNDUP(B22*B23,0)</f>
        <v>9</v>
      </c>
      <c r="C24" s="436"/>
      <c r="D24" s="451" t="s">
        <v>399</v>
      </c>
      <c r="E24" s="452">
        <v>3</v>
      </c>
      <c r="F24" s="436"/>
      <c r="G24" s="439" t="s">
        <v>414</v>
      </c>
      <c r="H24" s="463">
        <f>15/60/24</f>
        <v>1.0416666666666666E-2</v>
      </c>
    </row>
    <row r="25" spans="1:8" ht="15.75" thickBot="1" x14ac:dyDescent="0.3">
      <c r="A25" s="428" t="s">
        <v>400</v>
      </c>
      <c r="B25" s="454"/>
      <c r="C25" s="436"/>
      <c r="D25" s="441" t="s">
        <v>393</v>
      </c>
      <c r="E25" s="455">
        <f>E24*B22</f>
        <v>25.08</v>
      </c>
      <c r="F25" s="436"/>
      <c r="G25" s="444" t="s">
        <v>417</v>
      </c>
      <c r="H25" s="460">
        <f>H29*H23</f>
        <v>6.6239999999999997</v>
      </c>
    </row>
    <row r="26" spans="1:8" ht="15.75" thickBot="1" x14ac:dyDescent="0.3">
      <c r="A26" s="434" t="s">
        <v>402</v>
      </c>
      <c r="B26" s="435">
        <f>ROUNDUP(B21+B31+B34,1)</f>
        <v>0.4</v>
      </c>
      <c r="C26" s="436"/>
      <c r="D26" s="446" t="s">
        <v>403</v>
      </c>
      <c r="E26" s="447">
        <f>E25/3600/24</f>
        <v>2.9027777777777776E-4</v>
      </c>
      <c r="F26" s="436"/>
      <c r="G26" s="439" t="s">
        <v>414</v>
      </c>
      <c r="H26" s="463">
        <f>H24*(ROUNDUP(H25/35,0))</f>
        <v>1.0416666666666666E-2</v>
      </c>
    </row>
    <row r="27" spans="1:8" ht="15.75" thickBot="1" x14ac:dyDescent="0.3">
      <c r="A27" s="444" t="s">
        <v>405</v>
      </c>
      <c r="B27" s="445">
        <f>0.15</f>
        <v>0.15</v>
      </c>
      <c r="C27" s="436"/>
      <c r="D27" s="448" t="s">
        <v>406</v>
      </c>
      <c r="E27" s="432"/>
      <c r="F27" s="436"/>
      <c r="G27" s="468" t="s">
        <v>422</v>
      </c>
      <c r="H27" s="454" t="s">
        <v>423</v>
      </c>
    </row>
    <row r="28" spans="1:8" x14ac:dyDescent="0.25">
      <c r="A28" s="444" t="s">
        <v>408</v>
      </c>
      <c r="B28" s="445">
        <f>B27*B26</f>
        <v>0.06</v>
      </c>
      <c r="C28" s="436"/>
      <c r="D28" s="451" t="s">
        <v>409</v>
      </c>
      <c r="E28" s="452">
        <v>3</v>
      </c>
      <c r="F28" s="436"/>
      <c r="G28" s="434" t="s">
        <v>426</v>
      </c>
      <c r="H28" s="458">
        <v>30</v>
      </c>
    </row>
    <row r="29" spans="1:8" ht="15.75" thickBot="1" x14ac:dyDescent="0.3">
      <c r="A29" s="449" t="s">
        <v>411</v>
      </c>
      <c r="B29" s="461">
        <f>B28*B22</f>
        <v>0.50159999999999993</v>
      </c>
      <c r="C29" s="436"/>
      <c r="D29" s="441" t="s">
        <v>393</v>
      </c>
      <c r="E29" s="442">
        <f>E28*B22</f>
        <v>25.08</v>
      </c>
      <c r="F29" s="436"/>
      <c r="G29" s="444" t="s">
        <v>429</v>
      </c>
      <c r="H29" s="460">
        <f>B22-1+H38</f>
        <v>7.3599999999999994</v>
      </c>
    </row>
    <row r="30" spans="1:8" ht="15.75" thickBot="1" x14ac:dyDescent="0.3">
      <c r="A30" s="428" t="s">
        <v>413</v>
      </c>
      <c r="B30" s="454"/>
      <c r="C30" s="436"/>
      <c r="D30" s="462" t="s">
        <v>403</v>
      </c>
      <c r="E30" s="447">
        <f>E29/3600/24</f>
        <v>2.9027777777777776E-4</v>
      </c>
      <c r="F30" s="436"/>
      <c r="G30" s="449" t="s">
        <v>403</v>
      </c>
      <c r="H30" s="473">
        <f>H28*H29/3600/24</f>
        <v>2.5555555555555553E-3</v>
      </c>
    </row>
    <row r="31" spans="1:8" ht="26.25" thickBot="1" x14ac:dyDescent="0.3">
      <c r="A31" s="444" t="s">
        <v>415</v>
      </c>
      <c r="B31" s="460">
        <f>(2/3)*B20</f>
        <v>7.9999999999999988E-2</v>
      </c>
      <c r="C31" s="436"/>
      <c r="D31" s="428" t="s">
        <v>416</v>
      </c>
      <c r="E31" s="464"/>
      <c r="F31" s="436"/>
      <c r="G31" s="345" t="s">
        <v>433</v>
      </c>
      <c r="H31" s="477">
        <f>E22+E26+E30+E34+E41+E45+E54+H26+H30</f>
        <v>2.2068055555555553E-2</v>
      </c>
    </row>
    <row r="32" spans="1:8" x14ac:dyDescent="0.25">
      <c r="A32" s="444" t="s">
        <v>418</v>
      </c>
      <c r="B32" s="458">
        <f>(B31*B31)/2</f>
        <v>3.1999999999999989E-3</v>
      </c>
      <c r="C32" s="436"/>
      <c r="D32" s="465" t="s">
        <v>419</v>
      </c>
      <c r="E32" s="466">
        <v>30</v>
      </c>
      <c r="F32" s="436"/>
      <c r="G32" s="480" t="s">
        <v>282</v>
      </c>
      <c r="H32" s="481">
        <f>8/5</f>
        <v>1.6</v>
      </c>
    </row>
    <row r="33" spans="1:8" ht="15.75" x14ac:dyDescent="0.25">
      <c r="A33" s="444" t="s">
        <v>420</v>
      </c>
      <c r="B33" s="467">
        <f>B32*B22</f>
        <v>2.6751999999999988E-2</v>
      </c>
      <c r="C33" s="436"/>
      <c r="D33" s="441" t="s">
        <v>421</v>
      </c>
      <c r="E33" s="442">
        <v>30</v>
      </c>
      <c r="F33" s="436"/>
      <c r="G33" s="345" t="s">
        <v>437</v>
      </c>
      <c r="H33" s="477">
        <f>H31*H32</f>
        <v>3.5308888888888883E-2</v>
      </c>
    </row>
    <row r="34" spans="1:8" ht="15.75" thickBot="1" x14ac:dyDescent="0.3">
      <c r="A34" s="444" t="s">
        <v>424</v>
      </c>
      <c r="B34" s="469">
        <f>2/3*0.12</f>
        <v>7.9999999999999988E-2</v>
      </c>
      <c r="C34" s="436"/>
      <c r="D34" s="462" t="s">
        <v>425</v>
      </c>
      <c r="E34" s="470">
        <f>(E32+E33)*B46/3600/24</f>
        <v>6.9444444444444447E-4</v>
      </c>
      <c r="F34" s="436"/>
      <c r="G34" s="485" t="s">
        <v>440</v>
      </c>
      <c r="H34" s="486">
        <f>H33/8</f>
        <v>4.4136111111111103E-3</v>
      </c>
    </row>
    <row r="35" spans="1:8" ht="30.75" thickBot="1" x14ac:dyDescent="0.3">
      <c r="A35" s="444" t="s">
        <v>427</v>
      </c>
      <c r="B35" s="469">
        <f>(B34*B34)/2</f>
        <v>3.1999999999999989E-3</v>
      </c>
      <c r="C35" s="436"/>
      <c r="D35" s="416" t="s">
        <v>428</v>
      </c>
      <c r="E35" s="471"/>
      <c r="F35" s="436"/>
      <c r="G35" s="415" t="s">
        <v>574</v>
      </c>
      <c r="H35" s="433">
        <f>E4/H36</f>
        <v>10.031999999999998</v>
      </c>
    </row>
    <row r="36" spans="1:8" ht="25.5" x14ac:dyDescent="0.25">
      <c r="A36" s="444" t="s">
        <v>430</v>
      </c>
      <c r="B36" s="467">
        <f>B35*B22</f>
        <v>2.6751999999999988E-2</v>
      </c>
      <c r="C36" s="436"/>
      <c r="D36" s="472" t="s">
        <v>431</v>
      </c>
      <c r="E36" s="435">
        <v>5</v>
      </c>
      <c r="F36" s="436"/>
      <c r="G36" s="437"/>
      <c r="H36" s="438">
        <f>50/60</f>
        <v>0.83333333333333337</v>
      </c>
    </row>
    <row r="37" spans="1:8" ht="26.25" thickBot="1" x14ac:dyDescent="0.3">
      <c r="A37" s="444" t="s">
        <v>432</v>
      </c>
      <c r="B37" s="474">
        <f>B28+B32+B35</f>
        <v>6.6399999999999987E-2</v>
      </c>
      <c r="C37" s="436"/>
      <c r="D37" s="475" t="s">
        <v>403</v>
      </c>
      <c r="E37" s="476">
        <f>B45*E36/3600/24</f>
        <v>1.0416666666666667E-3</v>
      </c>
      <c r="F37" s="436"/>
      <c r="G37" s="443"/>
      <c r="H37" s="438"/>
    </row>
    <row r="38" spans="1:8" ht="25.5" x14ac:dyDescent="0.25">
      <c r="A38" s="444" t="s">
        <v>434</v>
      </c>
      <c r="B38" s="445">
        <f>B37*1000</f>
        <v>66.399999999999991</v>
      </c>
      <c r="C38" s="436"/>
      <c r="D38" s="478" t="s">
        <v>435</v>
      </c>
      <c r="E38" s="479">
        <v>5</v>
      </c>
      <c r="F38" s="436"/>
      <c r="G38" s="443"/>
      <c r="H38" s="438"/>
    </row>
    <row r="39" spans="1:8" ht="15.75" thickBot="1" x14ac:dyDescent="0.3">
      <c r="A39" s="439" t="s">
        <v>436</v>
      </c>
      <c r="B39" s="482">
        <f>B29+B33+B36</f>
        <v>0.55510399999999993</v>
      </c>
      <c r="C39" s="436"/>
      <c r="D39" s="475" t="s">
        <v>403</v>
      </c>
      <c r="E39" s="476">
        <f>E38*B45/3600/24</f>
        <v>1.0416666666666667E-3</v>
      </c>
      <c r="F39" s="436"/>
      <c r="G39" s="443"/>
      <c r="H39" s="438"/>
    </row>
    <row r="40" spans="1:8" ht="15.75" thickBot="1" x14ac:dyDescent="0.3">
      <c r="A40" s="428" t="s">
        <v>438</v>
      </c>
      <c r="B40" s="464"/>
      <c r="C40" s="436"/>
      <c r="D40" s="483" t="s">
        <v>439</v>
      </c>
      <c r="E40" s="484">
        <f>E39+E37</f>
        <v>2.0833333333333333E-3</v>
      </c>
      <c r="F40" s="436"/>
      <c r="G40" s="443"/>
      <c r="H40" s="453"/>
    </row>
    <row r="41" spans="1:8" ht="15.75" thickBot="1" x14ac:dyDescent="0.3">
      <c r="A41" s="434" t="s">
        <v>441</v>
      </c>
      <c r="B41" s="435">
        <v>5.5</v>
      </c>
      <c r="C41" s="436"/>
      <c r="D41" s="483" t="s">
        <v>442</v>
      </c>
      <c r="E41" s="487">
        <f>E40*B46</f>
        <v>2.0833333333333333E-3</v>
      </c>
      <c r="F41" s="436"/>
      <c r="G41" s="488"/>
      <c r="H41" s="489"/>
    </row>
    <row r="42" spans="1:8" ht="15.75" thickBot="1" x14ac:dyDescent="0.3">
      <c r="A42" s="444" t="s">
        <v>443</v>
      </c>
      <c r="B42" s="474">
        <f>B39/B41</f>
        <v>0.10092799999999999</v>
      </c>
      <c r="C42" s="436"/>
      <c r="D42" s="416" t="s">
        <v>444</v>
      </c>
      <c r="E42" s="490"/>
      <c r="F42" s="436"/>
      <c r="G42" s="491"/>
      <c r="H42" s="489"/>
    </row>
    <row r="43" spans="1:8" ht="26.25" thickBot="1" x14ac:dyDescent="0.3">
      <c r="A43" s="449" t="s">
        <v>445</v>
      </c>
      <c r="B43" s="450">
        <f>B41/B37</f>
        <v>82.831325301204842</v>
      </c>
      <c r="C43" s="436"/>
      <c r="D43" s="472" t="s">
        <v>446</v>
      </c>
      <c r="E43" s="435">
        <v>10</v>
      </c>
      <c r="F43" s="436"/>
      <c r="G43" s="491"/>
      <c r="H43" s="489"/>
    </row>
    <row r="44" spans="1:8" ht="26.25" thickBot="1" x14ac:dyDescent="0.3">
      <c r="A44" s="428" t="s">
        <v>447</v>
      </c>
      <c r="B44" s="471"/>
      <c r="C44" s="436"/>
      <c r="D44" s="492" t="s">
        <v>448</v>
      </c>
      <c r="E44" s="450">
        <v>30</v>
      </c>
      <c r="F44" s="436"/>
      <c r="G44" s="436"/>
      <c r="H44" s="489"/>
    </row>
    <row r="45" spans="1:8" ht="15.75" thickBot="1" x14ac:dyDescent="0.3">
      <c r="A45" s="434" t="s">
        <v>449</v>
      </c>
      <c r="B45" s="493">
        <v>18</v>
      </c>
      <c r="C45" s="436"/>
      <c r="D45" s="483" t="s">
        <v>442</v>
      </c>
      <c r="E45" s="494">
        <f>E44*B24/3600/24</f>
        <v>3.1249999999999997E-3</v>
      </c>
      <c r="F45" s="436"/>
      <c r="G45" s="495"/>
      <c r="H45" s="489"/>
    </row>
    <row r="46" spans="1:8" ht="15.75" thickBot="1" x14ac:dyDescent="0.3">
      <c r="A46" s="444" t="s">
        <v>450</v>
      </c>
      <c r="B46" s="496">
        <f>ROUNDUP(B24/B45,0)</f>
        <v>1</v>
      </c>
      <c r="C46" s="436"/>
      <c r="D46" s="416" t="s">
        <v>451</v>
      </c>
      <c r="E46" s="464"/>
      <c r="F46" s="436"/>
      <c r="G46" s="436"/>
      <c r="H46" s="489"/>
    </row>
    <row r="47" spans="1:8" ht="25.5" x14ac:dyDescent="0.25">
      <c r="A47" s="497"/>
      <c r="B47" s="436"/>
      <c r="C47" s="436"/>
      <c r="D47" s="472" t="s">
        <v>452</v>
      </c>
      <c r="E47" s="435">
        <v>8</v>
      </c>
      <c r="F47" s="436"/>
      <c r="G47" s="436"/>
      <c r="H47" s="489"/>
    </row>
    <row r="48" spans="1:8" x14ac:dyDescent="0.25">
      <c r="A48" s="497"/>
      <c r="B48" s="436"/>
      <c r="C48" s="436"/>
      <c r="D48" s="478" t="s">
        <v>453</v>
      </c>
      <c r="E48" s="498">
        <v>2</v>
      </c>
      <c r="F48" s="436"/>
      <c r="G48" s="436"/>
      <c r="H48" s="489"/>
    </row>
    <row r="49" spans="1:8" x14ac:dyDescent="0.25">
      <c r="A49" s="497"/>
      <c r="B49" s="436"/>
      <c r="C49" s="436"/>
      <c r="D49" s="478" t="s">
        <v>454</v>
      </c>
      <c r="E49" s="498">
        <f>E47*E48</f>
        <v>16</v>
      </c>
      <c r="F49" s="436"/>
      <c r="G49" s="436"/>
      <c r="H49" s="489"/>
    </row>
    <row r="50" spans="1:8" ht="25.5" x14ac:dyDescent="0.25">
      <c r="A50" s="497"/>
      <c r="B50" s="436"/>
      <c r="C50" s="436"/>
      <c r="D50" s="478" t="s">
        <v>455</v>
      </c>
      <c r="E50" s="445">
        <v>2</v>
      </c>
      <c r="F50" s="436"/>
      <c r="G50" s="436"/>
      <c r="H50" s="489"/>
    </row>
    <row r="51" spans="1:8" x14ac:dyDescent="0.25">
      <c r="A51" s="497"/>
      <c r="B51" s="436"/>
      <c r="C51" s="436"/>
      <c r="D51" s="478" t="s">
        <v>456</v>
      </c>
      <c r="E51" s="445">
        <v>4</v>
      </c>
      <c r="F51" s="436"/>
      <c r="G51" s="436"/>
      <c r="H51" s="489"/>
    </row>
    <row r="52" spans="1:8" x14ac:dyDescent="0.25">
      <c r="A52" s="497"/>
      <c r="B52" s="436"/>
      <c r="C52" s="436"/>
      <c r="D52" s="478" t="s">
        <v>403</v>
      </c>
      <c r="E52" s="445">
        <f>E50*E51</f>
        <v>8</v>
      </c>
      <c r="F52" s="436"/>
      <c r="G52" s="436"/>
      <c r="H52" s="489"/>
    </row>
    <row r="53" spans="1:8" ht="25.5" x14ac:dyDescent="0.25">
      <c r="A53" s="497"/>
      <c r="B53" s="436"/>
      <c r="C53" s="436"/>
      <c r="D53" s="492" t="s">
        <v>457</v>
      </c>
      <c r="E53" s="499">
        <f>E52+E49</f>
        <v>24</v>
      </c>
      <c r="F53" s="436"/>
      <c r="G53" s="436"/>
      <c r="H53" s="489"/>
    </row>
    <row r="54" spans="1:8" ht="15.75" thickBot="1" x14ac:dyDescent="0.3">
      <c r="A54" s="500"/>
      <c r="B54" s="501"/>
      <c r="C54" s="501"/>
      <c r="D54" s="475" t="s">
        <v>458</v>
      </c>
      <c r="E54" s="494">
        <f>E53*B22/3600/24</f>
        <v>2.322222222222222E-3</v>
      </c>
      <c r="F54" s="501"/>
      <c r="G54" s="436"/>
      <c r="H54" s="489"/>
    </row>
    <row r="55" spans="1:8" ht="25.5" x14ac:dyDescent="0.25">
      <c r="A55" s="502" t="s">
        <v>63</v>
      </c>
      <c r="B55" s="503"/>
      <c r="C55" s="503"/>
      <c r="D55" s="503"/>
      <c r="E55" s="503"/>
      <c r="F55" s="503" t="s">
        <v>64</v>
      </c>
      <c r="G55" s="503"/>
      <c r="H55" s="504"/>
    </row>
    <row r="56" spans="1:8" ht="25.5" x14ac:dyDescent="0.25">
      <c r="A56" s="417" t="s">
        <v>11</v>
      </c>
      <c r="B56" s="418" t="s">
        <v>12</v>
      </c>
      <c r="C56" s="418" t="s">
        <v>4</v>
      </c>
      <c r="D56" s="418" t="s">
        <v>65</v>
      </c>
      <c r="E56" s="419" t="s">
        <v>66</v>
      </c>
      <c r="F56" s="413" t="s">
        <v>67</v>
      </c>
      <c r="G56" s="413" t="s">
        <v>68</v>
      </c>
      <c r="H56" s="414" t="s">
        <v>69</v>
      </c>
    </row>
    <row r="57" spans="1:8" x14ac:dyDescent="0.25">
      <c r="A57" s="420" t="s">
        <v>467</v>
      </c>
      <c r="B57" s="505">
        <f>B24</f>
        <v>9</v>
      </c>
      <c r="C57" s="506" t="s">
        <v>459</v>
      </c>
      <c r="D57" s="505">
        <v>5.15</v>
      </c>
      <c r="E57" s="507">
        <f>D57*B57</f>
        <v>46.35</v>
      </c>
      <c r="F57" s="438"/>
      <c r="G57" s="443"/>
      <c r="H57" s="508"/>
    </row>
    <row r="58" spans="1:8" x14ac:dyDescent="0.25">
      <c r="A58" s="420" t="s">
        <v>460</v>
      </c>
      <c r="B58" s="505">
        <f>B39</f>
        <v>0.55510399999999993</v>
      </c>
      <c r="C58" s="506" t="s">
        <v>118</v>
      </c>
      <c r="D58" s="505">
        <v>98</v>
      </c>
      <c r="E58" s="507">
        <f>D58*B58</f>
        <v>54.40019199999999</v>
      </c>
      <c r="F58" s="438"/>
      <c r="G58" s="438"/>
      <c r="H58" s="508"/>
    </row>
    <row r="59" spans="1:8" x14ac:dyDescent="0.25">
      <c r="A59" s="509" t="s">
        <v>461</v>
      </c>
      <c r="B59" s="505">
        <f>B42</f>
        <v>0.10092799999999999</v>
      </c>
      <c r="C59" s="506" t="s">
        <v>462</v>
      </c>
      <c r="D59" s="505">
        <v>110</v>
      </c>
      <c r="E59" s="507">
        <f>D59*B59</f>
        <v>11.102079999999999</v>
      </c>
      <c r="F59" s="438"/>
      <c r="G59" s="438"/>
      <c r="H59" s="508"/>
    </row>
    <row r="60" spans="1:8" x14ac:dyDescent="0.25">
      <c r="A60" s="509" t="s">
        <v>463</v>
      </c>
      <c r="B60" s="505">
        <f>ROUNDUP(154/25,0)</f>
        <v>7</v>
      </c>
      <c r="C60" s="506" t="s">
        <v>464</v>
      </c>
      <c r="D60" s="505">
        <v>3.45</v>
      </c>
      <c r="E60" s="507">
        <f>D60*B60</f>
        <v>24.150000000000002</v>
      </c>
      <c r="F60" s="438"/>
      <c r="G60" s="438"/>
      <c r="H60" s="508"/>
    </row>
    <row r="61" spans="1:8" ht="15.75" thickBot="1" x14ac:dyDescent="0.3">
      <c r="A61" s="510"/>
      <c r="B61" s="511"/>
      <c r="C61" s="512"/>
      <c r="D61" s="511" t="str">
        <f>IF(A61="","",VLOOKUP(A61,$O$3:$P$19,2,FALSE))</f>
        <v/>
      </c>
      <c r="E61" s="513" t="str">
        <f>IF(A61="","",B61*D61)</f>
        <v/>
      </c>
      <c r="F61" s="514"/>
      <c r="G61" s="514"/>
      <c r="H61" s="515"/>
    </row>
  </sheetData>
  <mergeCells count="20">
    <mergeCell ref="A14:H16"/>
    <mergeCell ref="G11:H11"/>
    <mergeCell ref="C12:D12"/>
    <mergeCell ref="G12:H12"/>
    <mergeCell ref="A5:H5"/>
    <mergeCell ref="A6:H6"/>
    <mergeCell ref="A7:D7"/>
    <mergeCell ref="E7:H7"/>
    <mergeCell ref="C8:D8"/>
    <mergeCell ref="G8:H8"/>
    <mergeCell ref="C9:D9"/>
    <mergeCell ref="G9:H9"/>
    <mergeCell ref="C10:D10"/>
    <mergeCell ref="G10:H10"/>
    <mergeCell ref="A1:C1"/>
    <mergeCell ref="D1:H1"/>
    <mergeCell ref="A2:C2"/>
    <mergeCell ref="D2:H2"/>
    <mergeCell ref="A3:A4"/>
    <mergeCell ref="B3:D4"/>
  </mergeCells>
  <pageMargins left="0.7" right="0.7" top="0.75" bottom="0.75" header="0.3" footer="0.3"/>
  <pageSetup paperSize="9" scale="57" orientation="portrait" r:id="rId1"/>
  <tableParts count="3">
    <tablePart r:id="rId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pageSetUpPr fitToPage="1"/>
  </sheetPr>
  <dimension ref="A1:K33"/>
  <sheetViews>
    <sheetView topLeftCell="A4" zoomScale="40" zoomScaleNormal="40" workbookViewId="0">
      <selection activeCell="G4" sqref="G4"/>
    </sheetView>
  </sheetViews>
  <sheetFormatPr baseColWidth="10" defaultRowHeight="15" x14ac:dyDescent="0.25"/>
  <cols>
    <col min="5" max="5" width="20.710937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102</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145.80000000000001</v>
      </c>
      <c r="F4" s="85" t="s">
        <v>122</v>
      </c>
      <c r="G4" s="3" t="s">
        <v>619</v>
      </c>
      <c r="H4" s="729">
        <f>H21</f>
        <v>7.6222222222222233E-2</v>
      </c>
    </row>
    <row r="5" spans="1:8" x14ac:dyDescent="0.25">
      <c r="A5" s="664" t="s">
        <v>8</v>
      </c>
      <c r="B5" s="665"/>
      <c r="C5" s="665"/>
      <c r="D5" s="665"/>
      <c r="E5" s="665"/>
      <c r="F5" s="665"/>
      <c r="G5" s="665"/>
      <c r="H5" s="666"/>
    </row>
    <row r="6" spans="1:8" ht="66" customHeight="1" x14ac:dyDescent="0.25">
      <c r="A6" s="667" t="s">
        <v>103</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29.25" customHeight="1" x14ac:dyDescent="0.25">
      <c r="A9" s="750"/>
      <c r="B9" s="749"/>
      <c r="C9" s="751"/>
      <c r="D9" s="752"/>
      <c r="E9" s="749" t="s">
        <v>610</v>
      </c>
      <c r="F9" s="749">
        <v>1</v>
      </c>
      <c r="G9" s="753"/>
      <c r="H9" s="754"/>
    </row>
    <row r="10" spans="1:8" ht="28.5" customHeight="1" x14ac:dyDescent="0.25">
      <c r="A10" s="750"/>
      <c r="B10" s="749"/>
      <c r="C10" s="751"/>
      <c r="D10" s="752"/>
      <c r="E10" s="749" t="s">
        <v>127</v>
      </c>
      <c r="F10" s="749">
        <v>2</v>
      </c>
      <c r="G10" s="762"/>
      <c r="H10" s="754"/>
    </row>
    <row r="11" spans="1:8" x14ac:dyDescent="0.25">
      <c r="A11" s="750"/>
      <c r="B11" s="749"/>
      <c r="C11" s="755"/>
      <c r="D11" s="755"/>
      <c r="E11" s="749"/>
      <c r="F11" s="749"/>
      <c r="G11" s="753"/>
      <c r="H11" s="754"/>
    </row>
    <row r="12" spans="1:8" x14ac:dyDescent="0.25">
      <c r="A12" s="8"/>
      <c r="B12" s="9"/>
      <c r="C12" s="682"/>
      <c r="D12" s="735"/>
      <c r="E12" s="10"/>
      <c r="F12" s="9"/>
      <c r="G12" s="682"/>
      <c r="H12" s="683"/>
    </row>
    <row r="13" spans="1:8" x14ac:dyDescent="0.25">
      <c r="A13" s="12" t="s">
        <v>16</v>
      </c>
      <c r="B13" s="13"/>
      <c r="C13" s="13"/>
      <c r="D13" s="13"/>
      <c r="E13" s="13"/>
      <c r="F13" s="13"/>
      <c r="G13" s="13"/>
      <c r="H13" s="14"/>
    </row>
    <row r="14" spans="1:8" x14ac:dyDescent="0.25">
      <c r="A14" s="15"/>
      <c r="B14" s="16"/>
      <c r="C14" s="16"/>
      <c r="D14" s="16"/>
      <c r="E14" s="16"/>
      <c r="F14" s="16"/>
      <c r="G14" s="16"/>
      <c r="H14" s="17"/>
    </row>
    <row r="15" spans="1:8" x14ac:dyDescent="0.25">
      <c r="A15" s="18"/>
      <c r="B15" s="19"/>
      <c r="C15" s="19"/>
      <c r="D15" s="19"/>
      <c r="E15" s="19"/>
      <c r="F15" s="19"/>
      <c r="G15" s="19"/>
      <c r="H15" s="11"/>
    </row>
    <row r="16" spans="1:8" x14ac:dyDescent="0.25">
      <c r="A16" s="20"/>
      <c r="B16" s="19"/>
      <c r="C16" s="19"/>
      <c r="D16" s="19"/>
      <c r="E16" s="19"/>
      <c r="F16" s="19"/>
      <c r="G16" s="19"/>
      <c r="H16" s="11"/>
    </row>
    <row r="17" spans="1:11" x14ac:dyDescent="0.25">
      <c r="A17" s="12" t="s">
        <v>17</v>
      </c>
      <c r="B17" s="21"/>
      <c r="C17" s="21"/>
      <c r="D17" s="21"/>
      <c r="E17" s="21"/>
      <c r="F17" s="21"/>
      <c r="G17" s="21"/>
      <c r="H17" s="22"/>
    </row>
    <row r="18" spans="1:11" ht="15.75" thickBot="1" x14ac:dyDescent="0.3">
      <c r="A18" s="23" t="s">
        <v>18</v>
      </c>
      <c r="B18" s="24" t="s">
        <v>3</v>
      </c>
      <c r="C18" s="16"/>
      <c r="D18" s="23" t="s">
        <v>18</v>
      </c>
      <c r="E18" s="24" t="s">
        <v>3</v>
      </c>
      <c r="F18" s="16"/>
      <c r="G18" s="16"/>
      <c r="H18" s="17"/>
    </row>
    <row r="19" spans="1:11" ht="26.25" thickBot="1" x14ac:dyDescent="0.3">
      <c r="A19" s="520" t="s">
        <v>469</v>
      </c>
      <c r="B19" s="87" t="str">
        <f t="shared" ref="B19:B20" si="0">E3</f>
        <v>Quantité</v>
      </c>
      <c r="C19" s="57"/>
      <c r="D19" s="431" t="s">
        <v>481</v>
      </c>
      <c r="E19" s="432"/>
      <c r="F19" s="57"/>
      <c r="G19" s="524" t="s">
        <v>433</v>
      </c>
      <c r="H19" s="525">
        <f>B29+E26+E22</f>
        <v>4.763888888888889E-2</v>
      </c>
    </row>
    <row r="20" spans="1:11" ht="45" x14ac:dyDescent="0.25">
      <c r="A20" s="63" t="s">
        <v>129</v>
      </c>
      <c r="B20" s="87">
        <f t="shared" si="0"/>
        <v>145.80000000000001</v>
      </c>
      <c r="C20" s="62"/>
      <c r="D20" s="523" t="s">
        <v>482</v>
      </c>
      <c r="E20" s="435">
        <v>10</v>
      </c>
      <c r="F20" s="62"/>
      <c r="G20" s="526" t="s">
        <v>282</v>
      </c>
      <c r="H20" s="527">
        <f>8/5</f>
        <v>1.6</v>
      </c>
    </row>
    <row r="21" spans="1:11" ht="38.25" x14ac:dyDescent="0.25">
      <c r="A21" s="63" t="s">
        <v>470</v>
      </c>
      <c r="B21" s="87">
        <v>0.15</v>
      </c>
      <c r="C21" s="62"/>
      <c r="D21" s="441" t="s">
        <v>393</v>
      </c>
      <c r="E21" s="442">
        <f>E20*B20</f>
        <v>1458</v>
      </c>
      <c r="F21" s="62"/>
      <c r="G21" s="524" t="s">
        <v>437</v>
      </c>
      <c r="H21" s="525">
        <f>H19*H20</f>
        <v>7.6222222222222233E-2</v>
      </c>
      <c r="K21" s="604"/>
    </row>
    <row r="22" spans="1:11" ht="39" thickBot="1" x14ac:dyDescent="0.3">
      <c r="A22" s="63" t="s">
        <v>471</v>
      </c>
      <c r="B22" s="87">
        <f>B20*B21</f>
        <v>21.87</v>
      </c>
      <c r="C22" s="62"/>
      <c r="D22" s="446" t="s">
        <v>395</v>
      </c>
      <c r="E22" s="447">
        <f>E21/3600/24</f>
        <v>1.6875000000000001E-2</v>
      </c>
      <c r="F22" s="62"/>
      <c r="G22" s="524" t="s">
        <v>440</v>
      </c>
      <c r="H22" s="528">
        <f>H21/8</f>
        <v>9.5277777777777791E-3</v>
      </c>
      <c r="K22" s="604"/>
    </row>
    <row r="23" spans="1:11" ht="26.25" thickBot="1" x14ac:dyDescent="0.3">
      <c r="A23" s="428" t="s">
        <v>438</v>
      </c>
      <c r="B23" s="464"/>
      <c r="C23" s="62"/>
      <c r="D23" s="448" t="s">
        <v>474</v>
      </c>
      <c r="E23" s="432"/>
      <c r="F23" s="62"/>
      <c r="G23" s="62" t="s">
        <v>618</v>
      </c>
      <c r="H23" s="64">
        <f>E4/(1+49/60)</f>
        <v>80.256880733944968</v>
      </c>
    </row>
    <row r="24" spans="1:11" ht="38.25" x14ac:dyDescent="0.25">
      <c r="A24" s="434" t="s">
        <v>441</v>
      </c>
      <c r="B24" s="435">
        <v>5.5</v>
      </c>
      <c r="C24" s="62"/>
      <c r="D24" s="451" t="s">
        <v>475</v>
      </c>
      <c r="E24" s="452">
        <v>10</v>
      </c>
      <c r="F24" s="62"/>
      <c r="G24" s="62"/>
      <c r="H24" s="64"/>
    </row>
    <row r="25" spans="1:11" ht="38.25" x14ac:dyDescent="0.25">
      <c r="A25" s="444" t="s">
        <v>443</v>
      </c>
      <c r="B25" s="474">
        <f>B22/B24</f>
        <v>3.9763636363636365</v>
      </c>
      <c r="C25" s="62"/>
      <c r="D25" s="441" t="s">
        <v>393</v>
      </c>
      <c r="E25" s="455">
        <f>E24*B20</f>
        <v>1458</v>
      </c>
      <c r="F25" s="62"/>
      <c r="G25" s="62"/>
      <c r="H25" s="64"/>
    </row>
    <row r="26" spans="1:11" ht="15.75" thickBot="1" x14ac:dyDescent="0.3">
      <c r="A26" s="66" t="s">
        <v>54</v>
      </c>
      <c r="B26" s="522">
        <f>ROUNDUP(B25,0)</f>
        <v>4</v>
      </c>
      <c r="C26" s="62"/>
      <c r="D26" s="446" t="s">
        <v>403</v>
      </c>
      <c r="E26" s="447">
        <f>E25/3600/24</f>
        <v>1.6875000000000001E-2</v>
      </c>
      <c r="F26" s="62"/>
      <c r="G26" s="62"/>
      <c r="H26" s="64"/>
    </row>
    <row r="27" spans="1:11" ht="39.75" thickBot="1" x14ac:dyDescent="0.3">
      <c r="A27" s="65" t="s">
        <v>472</v>
      </c>
      <c r="B27" s="87">
        <f>60*5</f>
        <v>300</v>
      </c>
      <c r="C27" s="62"/>
      <c r="D27" s="448"/>
      <c r="E27" s="432"/>
      <c r="F27" s="62"/>
      <c r="G27" s="62"/>
      <c r="H27" s="64"/>
    </row>
    <row r="28" spans="1:11" x14ac:dyDescent="0.25">
      <c r="A28" s="63" t="s">
        <v>179</v>
      </c>
      <c r="B28" s="87">
        <f>B27*B26</f>
        <v>1200</v>
      </c>
      <c r="C28" s="62"/>
      <c r="D28" s="451"/>
      <c r="E28" s="452"/>
      <c r="F28" s="62"/>
      <c r="G28" s="62"/>
      <c r="H28" s="64"/>
    </row>
    <row r="29" spans="1:11" x14ac:dyDescent="0.25">
      <c r="A29" s="63"/>
      <c r="B29" s="529">
        <f>B28/24/3600</f>
        <v>1.3888888888888888E-2</v>
      </c>
      <c r="C29" s="62"/>
      <c r="D29" s="441"/>
      <c r="E29" s="442"/>
      <c r="F29" s="62"/>
      <c r="G29" s="62"/>
      <c r="H29" s="64"/>
    </row>
    <row r="30" spans="1:11" x14ac:dyDescent="0.25">
      <c r="A30" s="710" t="s">
        <v>63</v>
      </c>
      <c r="B30" s="679"/>
      <c r="C30" s="679"/>
      <c r="D30" s="679"/>
      <c r="E30" s="679"/>
      <c r="F30" s="679" t="s">
        <v>64</v>
      </c>
      <c r="G30" s="679"/>
      <c r="H30" s="680"/>
    </row>
    <row r="31" spans="1:11" ht="25.5" x14ac:dyDescent="0.25">
      <c r="A31" s="40" t="s">
        <v>11</v>
      </c>
      <c r="B31" s="41" t="s">
        <v>12</v>
      </c>
      <c r="C31" s="41" t="s">
        <v>4</v>
      </c>
      <c r="D31" s="41" t="s">
        <v>65</v>
      </c>
      <c r="E31" s="42" t="s">
        <v>66</v>
      </c>
      <c r="F31" s="43" t="s">
        <v>67</v>
      </c>
      <c r="G31" s="43" t="s">
        <v>68</v>
      </c>
      <c r="H31" s="44" t="s">
        <v>69</v>
      </c>
    </row>
    <row r="32" spans="1:11" x14ac:dyDescent="0.25">
      <c r="A32" s="45" t="s">
        <v>478</v>
      </c>
      <c r="B32" s="9">
        <f>B22</f>
        <v>21.87</v>
      </c>
      <c r="C32" s="407" t="s">
        <v>118</v>
      </c>
      <c r="D32" s="9"/>
      <c r="E32" s="47"/>
      <c r="F32" s="29"/>
      <c r="G32" s="28"/>
      <c r="H32" s="48"/>
    </row>
    <row r="33" spans="1:8" ht="120.75" thickBot="1" x14ac:dyDescent="0.3">
      <c r="A33" s="49" t="s">
        <v>477</v>
      </c>
      <c r="B33" s="50">
        <f>B26</f>
        <v>4</v>
      </c>
      <c r="C33" s="51" t="s">
        <v>479</v>
      </c>
      <c r="D33" s="50"/>
      <c r="E33" s="52"/>
      <c r="F33" s="530" t="s">
        <v>480</v>
      </c>
      <c r="G33" s="53"/>
      <c r="H33" s="54">
        <v>9.6</v>
      </c>
    </row>
  </sheetData>
  <mergeCells count="21">
    <mergeCell ref="C9:D9"/>
    <mergeCell ref="G9:H9"/>
    <mergeCell ref="C10:D10"/>
    <mergeCell ref="G10:H10"/>
    <mergeCell ref="G11:H11"/>
    <mergeCell ref="C12:D12"/>
    <mergeCell ref="G12:H12"/>
    <mergeCell ref="F30:H30"/>
    <mergeCell ref="A30:E30"/>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86" orientation="portrait"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pageSetUpPr fitToPage="1"/>
  </sheetPr>
  <dimension ref="A1:H39"/>
  <sheetViews>
    <sheetView topLeftCell="A4" zoomScale="85" zoomScaleNormal="85" workbookViewId="0">
      <selection activeCell="G4" sqref="G4"/>
    </sheetView>
  </sheetViews>
  <sheetFormatPr baseColWidth="10" defaultRowHeight="15" x14ac:dyDescent="0.25"/>
  <sheetData>
    <row r="1" spans="1:8" ht="15.75" x14ac:dyDescent="0.25">
      <c r="A1" s="646" t="s">
        <v>0</v>
      </c>
      <c r="B1" s="647"/>
      <c r="C1" s="648"/>
      <c r="D1" s="646" t="s">
        <v>1</v>
      </c>
      <c r="E1" s="647"/>
      <c r="F1" s="647"/>
      <c r="G1" s="647"/>
      <c r="H1" s="649"/>
    </row>
    <row r="2" spans="1:8" ht="30.75" customHeight="1" thickBot="1" x14ac:dyDescent="0.3">
      <c r="A2" s="650" t="s">
        <v>70</v>
      </c>
      <c r="B2" s="651"/>
      <c r="C2" s="652"/>
      <c r="D2" s="684" t="s">
        <v>104</v>
      </c>
      <c r="E2" s="685"/>
      <c r="F2" s="685"/>
      <c r="G2" s="685"/>
      <c r="H2" s="686"/>
    </row>
    <row r="3" spans="1:8" x14ac:dyDescent="0.25">
      <c r="A3" s="656" t="s">
        <v>2</v>
      </c>
      <c r="B3" s="658"/>
      <c r="C3" s="659"/>
      <c r="D3" s="660"/>
      <c r="E3" s="1" t="s">
        <v>3</v>
      </c>
      <c r="F3" s="1" t="s">
        <v>4</v>
      </c>
      <c r="G3" s="1" t="s">
        <v>5</v>
      </c>
      <c r="H3" s="2" t="s">
        <v>6</v>
      </c>
    </row>
    <row r="4" spans="1:8" ht="16.5" thickBot="1" x14ac:dyDescent="0.3">
      <c r="A4" s="657"/>
      <c r="B4" s="661"/>
      <c r="C4" s="662"/>
      <c r="D4" s="663"/>
      <c r="E4" s="3">
        <v>90.8</v>
      </c>
      <c r="F4" s="85" t="s">
        <v>122</v>
      </c>
      <c r="G4" s="3" t="s">
        <v>620</v>
      </c>
      <c r="H4" s="729">
        <f>H19</f>
        <v>0.86401234567901231</v>
      </c>
    </row>
    <row r="5" spans="1:8" x14ac:dyDescent="0.25">
      <c r="A5" s="664" t="s">
        <v>8</v>
      </c>
      <c r="B5" s="665"/>
      <c r="C5" s="665"/>
      <c r="D5" s="665"/>
      <c r="E5" s="665"/>
      <c r="F5" s="665"/>
      <c r="G5" s="665"/>
      <c r="H5" s="666"/>
    </row>
    <row r="6" spans="1:8" ht="98.25" customHeight="1" x14ac:dyDescent="0.25">
      <c r="A6" s="667" t="s">
        <v>105</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c r="B9" s="9"/>
      <c r="C9" s="675"/>
      <c r="D9" s="676"/>
      <c r="E9" s="749" t="s">
        <v>610</v>
      </c>
      <c r="F9" s="749">
        <v>1</v>
      </c>
      <c r="G9" s="675"/>
      <c r="H9" s="681"/>
    </row>
    <row r="10" spans="1:8" x14ac:dyDescent="0.25">
      <c r="A10" s="8"/>
      <c r="B10" s="9"/>
      <c r="C10" s="677"/>
      <c r="D10" s="678"/>
      <c r="E10" s="749" t="s">
        <v>127</v>
      </c>
      <c r="F10" s="749">
        <v>2</v>
      </c>
      <c r="G10" s="682"/>
      <c r="H10" s="683"/>
    </row>
    <row r="11" spans="1:8" x14ac:dyDescent="0.25">
      <c r="A11" s="12" t="s">
        <v>16</v>
      </c>
      <c r="B11" s="13"/>
      <c r="C11" s="13"/>
      <c r="D11" s="13"/>
      <c r="E11" s="13"/>
      <c r="F11" s="13"/>
      <c r="G11" s="13"/>
      <c r="H11" s="14"/>
    </row>
    <row r="12" spans="1:8" x14ac:dyDescent="0.25">
      <c r="A12" s="15"/>
      <c r="B12" s="16"/>
      <c r="C12" s="16"/>
      <c r="D12" s="16"/>
      <c r="E12" s="16"/>
      <c r="F12" s="16"/>
      <c r="G12" s="16"/>
      <c r="H12" s="17"/>
    </row>
    <row r="13" spans="1:8" x14ac:dyDescent="0.25">
      <c r="A13" s="18"/>
      <c r="B13" s="19"/>
      <c r="C13" s="19"/>
      <c r="D13" s="19"/>
      <c r="E13" s="19"/>
      <c r="F13" s="19"/>
      <c r="G13" s="19"/>
      <c r="H13" s="11"/>
    </row>
    <row r="14" spans="1:8" x14ac:dyDescent="0.25">
      <c r="A14" s="20"/>
      <c r="B14" s="19"/>
      <c r="C14" s="19"/>
      <c r="D14" s="19"/>
      <c r="E14" s="19"/>
      <c r="F14" s="19"/>
      <c r="G14" s="19"/>
      <c r="H14" s="11"/>
    </row>
    <row r="15" spans="1:8" x14ac:dyDescent="0.25">
      <c r="A15" s="12" t="s">
        <v>17</v>
      </c>
      <c r="B15" s="21"/>
      <c r="C15" s="21"/>
      <c r="D15" s="21"/>
      <c r="E15" s="21"/>
      <c r="F15" s="21"/>
      <c r="G15" s="21"/>
      <c r="H15" s="22"/>
    </row>
    <row r="16" spans="1:8" ht="15.75" thickBot="1" x14ac:dyDescent="0.3">
      <c r="A16" s="23" t="s">
        <v>18</v>
      </c>
      <c r="B16" s="24" t="s">
        <v>3</v>
      </c>
      <c r="C16" s="16"/>
      <c r="D16" s="23" t="s">
        <v>18</v>
      </c>
      <c r="E16" s="24" t="s">
        <v>3</v>
      </c>
      <c r="F16" s="16"/>
      <c r="G16" s="16"/>
      <c r="H16" s="17"/>
    </row>
    <row r="17" spans="1:8" ht="26.25" thickBot="1" x14ac:dyDescent="0.3">
      <c r="A17" s="520" t="s">
        <v>469</v>
      </c>
      <c r="B17" s="87" t="str">
        <f t="shared" ref="B17:B18" si="0">E3</f>
        <v>Quantité</v>
      </c>
      <c r="C17" s="57"/>
      <c r="D17" s="431" t="s">
        <v>481</v>
      </c>
      <c r="E17" s="432"/>
      <c r="F17" s="57"/>
      <c r="G17" s="524" t="s">
        <v>433</v>
      </c>
      <c r="H17" s="525">
        <f>B27+E30+E20+E24</f>
        <v>0.64800925925925923</v>
      </c>
    </row>
    <row r="18" spans="1:8" ht="30" x14ac:dyDescent="0.25">
      <c r="A18" s="63" t="s">
        <v>129</v>
      </c>
      <c r="B18" s="87">
        <f t="shared" si="0"/>
        <v>90.8</v>
      </c>
      <c r="C18" s="62"/>
      <c r="D18" s="523" t="s">
        <v>485</v>
      </c>
      <c r="E18" s="435">
        <v>10</v>
      </c>
      <c r="F18" s="62"/>
      <c r="G18" s="526" t="s">
        <v>282</v>
      </c>
      <c r="H18" s="527">
        <f>8/6</f>
        <v>1.3333333333333333</v>
      </c>
    </row>
    <row r="19" spans="1:8" ht="38.25" x14ac:dyDescent="0.25">
      <c r="A19" s="63" t="s">
        <v>470</v>
      </c>
      <c r="B19" s="87">
        <f>0.1</f>
        <v>0.1</v>
      </c>
      <c r="C19" s="62"/>
      <c r="D19" s="441" t="s">
        <v>393</v>
      </c>
      <c r="E19" s="442">
        <f>E18*B18</f>
        <v>908</v>
      </c>
      <c r="F19" s="62"/>
      <c r="G19" s="524" t="s">
        <v>437</v>
      </c>
      <c r="H19" s="525">
        <f>H17*H18</f>
        <v>0.86401234567901231</v>
      </c>
    </row>
    <row r="20" spans="1:8" ht="39" thickBot="1" x14ac:dyDescent="0.3">
      <c r="A20" s="63" t="s">
        <v>471</v>
      </c>
      <c r="B20" s="87">
        <f>B18*B19</f>
        <v>9.08</v>
      </c>
      <c r="C20" s="62"/>
      <c r="D20" s="446" t="s">
        <v>395</v>
      </c>
      <c r="E20" s="447">
        <f>E19/3600/24</f>
        <v>1.050925925925926E-2</v>
      </c>
      <c r="F20" s="62"/>
      <c r="G20" s="524" t="s">
        <v>440</v>
      </c>
      <c r="H20" s="528">
        <f>H19/8</f>
        <v>0.10800154320987654</v>
      </c>
    </row>
    <row r="21" spans="1:8" ht="26.25" thickBot="1" x14ac:dyDescent="0.3">
      <c r="A21" s="428" t="s">
        <v>438</v>
      </c>
      <c r="B21" s="464"/>
      <c r="C21" s="62"/>
      <c r="D21" s="448" t="s">
        <v>483</v>
      </c>
      <c r="E21" s="432"/>
      <c r="F21" s="62"/>
      <c r="G21" s="62" t="s">
        <v>574</v>
      </c>
      <c r="H21" s="64">
        <f>E4/(20+44/60)</f>
        <v>4.3794212218649511</v>
      </c>
    </row>
    <row r="22" spans="1:8" ht="38.25" x14ac:dyDescent="0.25">
      <c r="A22" s="434" t="s">
        <v>441</v>
      </c>
      <c r="B22" s="435">
        <v>5.5</v>
      </c>
      <c r="C22" s="62"/>
      <c r="D22" s="451" t="s">
        <v>485</v>
      </c>
      <c r="E22" s="81">
        <v>300</v>
      </c>
      <c r="F22" s="62"/>
      <c r="G22" s="62"/>
      <c r="H22" s="64"/>
    </row>
    <row r="23" spans="1:8" ht="38.25" x14ac:dyDescent="0.25">
      <c r="A23" s="444" t="s">
        <v>443</v>
      </c>
      <c r="B23" s="474">
        <f>B20/B22</f>
        <v>1.6509090909090909</v>
      </c>
      <c r="C23" s="62"/>
      <c r="D23" s="446"/>
      <c r="E23" s="531">
        <f>E22/24/3600</f>
        <v>3.472222222222222E-3</v>
      </c>
      <c r="F23" s="62"/>
      <c r="G23" s="62"/>
      <c r="H23" s="64"/>
    </row>
    <row r="24" spans="1:8" ht="15.75" thickBot="1" x14ac:dyDescent="0.3">
      <c r="A24" s="66" t="s">
        <v>54</v>
      </c>
      <c r="B24" s="522">
        <f>ROUNDUP(B23,0)</f>
        <v>2</v>
      </c>
      <c r="C24" s="62"/>
      <c r="D24" s="517" t="s">
        <v>484</v>
      </c>
      <c r="E24" s="534">
        <f>E23*B18</f>
        <v>0.31527777777777777</v>
      </c>
      <c r="F24" s="62"/>
      <c r="G24" s="62"/>
      <c r="H24" s="64"/>
    </row>
    <row r="25" spans="1:8" ht="39.75" thickBot="1" x14ac:dyDescent="0.3">
      <c r="A25" s="65" t="s">
        <v>472</v>
      </c>
      <c r="B25" s="87">
        <f>60*5</f>
        <v>300</v>
      </c>
      <c r="C25" s="62"/>
      <c r="D25" s="535" t="s">
        <v>486</v>
      </c>
      <c r="E25" s="536"/>
      <c r="F25" s="62"/>
      <c r="G25" s="62"/>
      <c r="H25" s="64"/>
    </row>
    <row r="26" spans="1:8" x14ac:dyDescent="0.25">
      <c r="A26" s="63" t="s">
        <v>179</v>
      </c>
      <c r="B26" s="87">
        <f>B25*B24</f>
        <v>600</v>
      </c>
      <c r="C26" s="62"/>
      <c r="D26" s="532" t="s">
        <v>166</v>
      </c>
      <c r="E26" s="532">
        <v>5.0000000000000001E-3</v>
      </c>
      <c r="F26" s="62"/>
      <c r="G26" s="62"/>
      <c r="H26" s="64"/>
    </row>
    <row r="27" spans="1:8" x14ac:dyDescent="0.25">
      <c r="A27" s="63"/>
      <c r="B27" s="529">
        <f>B26/24/3600</f>
        <v>6.9444444444444441E-3</v>
      </c>
      <c r="C27" s="62"/>
      <c r="D27" s="462" t="s">
        <v>135</v>
      </c>
      <c r="E27" s="462">
        <f>E26*B18</f>
        <v>0.45400000000000001</v>
      </c>
      <c r="F27" s="62"/>
      <c r="G27" s="62"/>
      <c r="H27" s="64"/>
    </row>
    <row r="28" spans="1:8" ht="25.5" x14ac:dyDescent="0.25">
      <c r="A28" s="63"/>
      <c r="B28" s="87"/>
      <c r="C28" s="62"/>
      <c r="D28" s="462" t="s">
        <v>485</v>
      </c>
      <c r="E28" s="462">
        <v>300</v>
      </c>
      <c r="F28" s="62"/>
      <c r="G28" s="62"/>
      <c r="H28" s="64"/>
    </row>
    <row r="29" spans="1:8" x14ac:dyDescent="0.25">
      <c r="A29" s="63"/>
      <c r="B29" s="521"/>
      <c r="C29" s="62"/>
      <c r="D29" s="63"/>
      <c r="E29" s="529">
        <f>E28/24/3600</f>
        <v>3.472222222222222E-3</v>
      </c>
      <c r="F29" s="62"/>
      <c r="G29" s="62"/>
      <c r="H29" s="64"/>
    </row>
    <row r="30" spans="1:8" x14ac:dyDescent="0.25">
      <c r="A30" s="62"/>
      <c r="B30" s="62"/>
      <c r="C30" s="62"/>
      <c r="D30" s="62" t="s">
        <v>484</v>
      </c>
      <c r="E30" s="533">
        <f>E29*B18</f>
        <v>0.31527777777777777</v>
      </c>
      <c r="F30" s="62"/>
      <c r="G30" s="62"/>
      <c r="H30" s="64"/>
    </row>
    <row r="31" spans="1:8" x14ac:dyDescent="0.25">
      <c r="A31" s="62"/>
      <c r="B31" s="62"/>
      <c r="C31" s="62"/>
      <c r="D31" s="62"/>
      <c r="E31" s="62"/>
      <c r="F31" s="62"/>
      <c r="G31" s="62"/>
      <c r="H31" s="64"/>
    </row>
    <row r="32" spans="1:8" x14ac:dyDescent="0.25">
      <c r="A32" s="62"/>
      <c r="B32" s="62"/>
      <c r="C32" s="62"/>
      <c r="D32" s="62"/>
      <c r="E32" s="62"/>
      <c r="F32" s="62"/>
      <c r="G32" s="62"/>
      <c r="H32" s="64"/>
    </row>
    <row r="33" spans="1:8" x14ac:dyDescent="0.25">
      <c r="A33" s="62"/>
      <c r="B33" s="62"/>
      <c r="C33" s="62"/>
      <c r="D33" s="62"/>
      <c r="E33" s="62"/>
      <c r="F33" s="62"/>
      <c r="G33" s="62"/>
      <c r="H33" s="64"/>
    </row>
    <row r="34" spans="1:8" x14ac:dyDescent="0.25">
      <c r="A34" s="62"/>
      <c r="B34" s="62"/>
      <c r="C34" s="62"/>
      <c r="D34" s="62"/>
      <c r="E34" s="62"/>
      <c r="F34" s="62"/>
      <c r="G34" s="62"/>
      <c r="H34" s="64"/>
    </row>
    <row r="35" spans="1:8" x14ac:dyDescent="0.25">
      <c r="A35" s="409" t="s">
        <v>63</v>
      </c>
      <c r="B35" s="408"/>
      <c r="C35" s="408"/>
      <c r="D35" s="408"/>
      <c r="E35" s="408"/>
      <c r="F35" s="679" t="s">
        <v>64</v>
      </c>
      <c r="G35" s="679"/>
      <c r="H35" s="680"/>
    </row>
    <row r="36" spans="1:8" ht="25.5" x14ac:dyDescent="0.25">
      <c r="A36" s="40" t="s">
        <v>11</v>
      </c>
      <c r="B36" s="41" t="s">
        <v>12</v>
      </c>
      <c r="C36" s="41" t="s">
        <v>4</v>
      </c>
      <c r="D36" s="41" t="s">
        <v>65</v>
      </c>
      <c r="E36" s="42" t="s">
        <v>66</v>
      </c>
      <c r="F36" s="43" t="s">
        <v>67</v>
      </c>
      <c r="G36" s="43" t="s">
        <v>68</v>
      </c>
      <c r="H36" s="44" t="s">
        <v>69</v>
      </c>
    </row>
    <row r="37" spans="1:8" x14ac:dyDescent="0.25">
      <c r="A37" s="40" t="s">
        <v>487</v>
      </c>
      <c r="B37" s="41">
        <f>E27</f>
        <v>0.45400000000000001</v>
      </c>
      <c r="C37" s="41" t="s">
        <v>118</v>
      </c>
      <c r="D37" s="41"/>
      <c r="E37" s="42"/>
      <c r="F37" s="43"/>
      <c r="G37" s="43"/>
      <c r="H37" s="44"/>
    </row>
    <row r="38" spans="1:8" x14ac:dyDescent="0.25">
      <c r="A38" s="45" t="s">
        <v>478</v>
      </c>
      <c r="B38" s="9">
        <f>B20</f>
        <v>9.08</v>
      </c>
      <c r="C38" s="407" t="s">
        <v>118</v>
      </c>
      <c r="D38" s="9"/>
      <c r="E38" s="47"/>
      <c r="F38" s="29"/>
      <c r="G38" s="28"/>
      <c r="H38" s="48"/>
    </row>
    <row r="39" spans="1:8" ht="120.75" thickBot="1" x14ac:dyDescent="0.3">
      <c r="A39" s="49" t="s">
        <v>477</v>
      </c>
      <c r="B39" s="50">
        <f>B24</f>
        <v>2</v>
      </c>
      <c r="C39" s="51" t="s">
        <v>479</v>
      </c>
      <c r="D39" s="50"/>
      <c r="E39" s="52"/>
      <c r="F39" s="530" t="s">
        <v>480</v>
      </c>
      <c r="G39" s="53"/>
      <c r="H39" s="54">
        <v>9.6</v>
      </c>
    </row>
  </sheetData>
  <mergeCells count="17">
    <mergeCell ref="C9:D9"/>
    <mergeCell ref="G9:H9"/>
    <mergeCell ref="C10:D10"/>
    <mergeCell ref="G10:H10"/>
    <mergeCell ref="F35:H35"/>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78" orientation="portrait"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
    <pageSetUpPr fitToPage="1"/>
  </sheetPr>
  <dimension ref="A1:H39"/>
  <sheetViews>
    <sheetView zoomScale="25" zoomScaleNormal="25" workbookViewId="0">
      <selection activeCell="G4" sqref="G4"/>
    </sheetView>
  </sheetViews>
  <sheetFormatPr baseColWidth="10" defaultRowHeight="15" x14ac:dyDescent="0.25"/>
  <sheetData>
    <row r="1" spans="1:8" ht="15.75" x14ac:dyDescent="0.25">
      <c r="A1" s="646" t="s">
        <v>0</v>
      </c>
      <c r="B1" s="647"/>
      <c r="C1" s="648"/>
      <c r="D1" s="646" t="s">
        <v>1</v>
      </c>
      <c r="E1" s="647"/>
      <c r="F1" s="647"/>
      <c r="G1" s="647"/>
      <c r="H1" s="649"/>
    </row>
    <row r="2" spans="1:8" ht="15.75" thickBot="1" x14ac:dyDescent="0.3">
      <c r="A2" s="650" t="s">
        <v>70</v>
      </c>
      <c r="B2" s="651"/>
      <c r="C2" s="652"/>
      <c r="D2" s="653" t="s">
        <v>106</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236.6</v>
      </c>
      <c r="F4" s="85" t="s">
        <v>122</v>
      </c>
      <c r="G4" s="3" t="s">
        <v>621</v>
      </c>
      <c r="H4" s="729">
        <f>H19</f>
        <v>2.2504012345679012</v>
      </c>
    </row>
    <row r="5" spans="1:8" x14ac:dyDescent="0.25">
      <c r="A5" s="664" t="s">
        <v>8</v>
      </c>
      <c r="B5" s="665"/>
      <c r="C5" s="665"/>
      <c r="D5" s="665"/>
      <c r="E5" s="665"/>
      <c r="F5" s="665"/>
      <c r="G5" s="665"/>
      <c r="H5" s="666"/>
    </row>
    <row r="6" spans="1:8" ht="87.75" customHeight="1" x14ac:dyDescent="0.25">
      <c r="A6" s="667" t="s">
        <v>107</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c r="B9" s="9"/>
      <c r="C9" s="675"/>
      <c r="D9" s="676"/>
      <c r="E9" s="749" t="s">
        <v>610</v>
      </c>
      <c r="F9" s="749">
        <v>1</v>
      </c>
      <c r="G9" s="675"/>
      <c r="H9" s="681"/>
    </row>
    <row r="10" spans="1:8" x14ac:dyDescent="0.25">
      <c r="A10" s="8"/>
      <c r="B10" s="9"/>
      <c r="C10" s="677"/>
      <c r="D10" s="678"/>
      <c r="E10" s="749" t="s">
        <v>127</v>
      </c>
      <c r="F10" s="749">
        <v>2</v>
      </c>
      <c r="G10" s="682"/>
      <c r="H10" s="683"/>
    </row>
    <row r="11" spans="1:8" x14ac:dyDescent="0.25">
      <c r="A11" s="12" t="s">
        <v>16</v>
      </c>
      <c r="B11" s="13"/>
      <c r="C11" s="13"/>
      <c r="D11" s="13"/>
      <c r="E11" s="13"/>
      <c r="F11" s="13"/>
      <c r="G11" s="13"/>
      <c r="H11" s="14"/>
    </row>
    <row r="12" spans="1:8" x14ac:dyDescent="0.25">
      <c r="A12" s="15"/>
      <c r="B12" s="16"/>
      <c r="C12" s="16"/>
      <c r="D12" s="16"/>
      <c r="E12" s="16"/>
      <c r="F12" s="16"/>
      <c r="G12" s="16"/>
      <c r="H12" s="17"/>
    </row>
    <row r="13" spans="1:8" x14ac:dyDescent="0.25">
      <c r="A13" s="18"/>
      <c r="B13" s="19"/>
      <c r="C13" s="19"/>
      <c r="D13" s="19"/>
      <c r="E13" s="19"/>
      <c r="F13" s="19"/>
      <c r="G13" s="19"/>
      <c r="H13" s="11"/>
    </row>
    <row r="14" spans="1:8" x14ac:dyDescent="0.25">
      <c r="A14" s="20"/>
      <c r="B14" s="19"/>
      <c r="C14" s="19"/>
      <c r="D14" s="19"/>
      <c r="E14" s="19"/>
      <c r="F14" s="19"/>
      <c r="G14" s="19"/>
      <c r="H14" s="11"/>
    </row>
    <row r="15" spans="1:8" x14ac:dyDescent="0.25">
      <c r="A15" s="12" t="s">
        <v>17</v>
      </c>
      <c r="B15" s="21"/>
      <c r="C15" s="21"/>
      <c r="D15" s="21"/>
      <c r="E15" s="21"/>
      <c r="F15" s="21"/>
      <c r="G15" s="21"/>
      <c r="H15" s="22"/>
    </row>
    <row r="16" spans="1:8" ht="15.75" thickBot="1" x14ac:dyDescent="0.3">
      <c r="A16" s="23" t="s">
        <v>18</v>
      </c>
      <c r="B16" s="24" t="s">
        <v>3</v>
      </c>
      <c r="C16" s="16"/>
      <c r="D16" s="23" t="s">
        <v>18</v>
      </c>
      <c r="E16" s="24" t="s">
        <v>3</v>
      </c>
      <c r="F16" s="16"/>
      <c r="G16" s="16"/>
      <c r="H16" s="17"/>
    </row>
    <row r="17" spans="1:8" ht="26.25" thickBot="1" x14ac:dyDescent="0.3">
      <c r="A17" s="520" t="s">
        <v>469</v>
      </c>
      <c r="B17" s="87" t="str">
        <f t="shared" ref="B17:B18" si="0">E3</f>
        <v>Quantité</v>
      </c>
      <c r="C17" s="57"/>
      <c r="D17" s="431" t="s">
        <v>481</v>
      </c>
      <c r="E17" s="432"/>
      <c r="F17" s="57"/>
      <c r="G17" s="524" t="s">
        <v>433</v>
      </c>
      <c r="H17" s="525">
        <f>B27+E30+E20+E24</f>
        <v>1.6878009259259259</v>
      </c>
    </row>
    <row r="18" spans="1:8" ht="30" x14ac:dyDescent="0.25">
      <c r="A18" s="63" t="s">
        <v>129</v>
      </c>
      <c r="B18" s="87">
        <f t="shared" si="0"/>
        <v>236.6</v>
      </c>
      <c r="C18" s="62"/>
      <c r="D18" s="523" t="s">
        <v>485</v>
      </c>
      <c r="E18" s="435">
        <v>10</v>
      </c>
      <c r="F18" s="62"/>
      <c r="G18" s="526" t="s">
        <v>282</v>
      </c>
      <c r="H18" s="527">
        <f>8/6</f>
        <v>1.3333333333333333</v>
      </c>
    </row>
    <row r="19" spans="1:8" ht="38.25" x14ac:dyDescent="0.25">
      <c r="A19" s="63" t="s">
        <v>470</v>
      </c>
      <c r="B19" s="87">
        <f>0.1</f>
        <v>0.1</v>
      </c>
      <c r="C19" s="62"/>
      <c r="D19" s="441" t="s">
        <v>393</v>
      </c>
      <c r="E19" s="442">
        <f>E18*B18</f>
        <v>2366</v>
      </c>
      <c r="F19" s="62"/>
      <c r="G19" s="524" t="s">
        <v>437</v>
      </c>
      <c r="H19" s="525">
        <f>H17*H18</f>
        <v>2.2504012345679012</v>
      </c>
    </row>
    <row r="20" spans="1:8" ht="39" thickBot="1" x14ac:dyDescent="0.3">
      <c r="A20" s="63" t="s">
        <v>471</v>
      </c>
      <c r="B20" s="87">
        <f>B18*B19</f>
        <v>23.66</v>
      </c>
      <c r="C20" s="62"/>
      <c r="D20" s="446" t="s">
        <v>395</v>
      </c>
      <c r="E20" s="447">
        <f>E19/3600/24</f>
        <v>2.7384259259259261E-2</v>
      </c>
      <c r="F20" s="62"/>
      <c r="G20" s="524" t="s">
        <v>440</v>
      </c>
      <c r="H20" s="528">
        <f>H19/8</f>
        <v>0.28130015432098765</v>
      </c>
    </row>
    <row r="21" spans="1:8" ht="26.25" thickBot="1" x14ac:dyDescent="0.3">
      <c r="A21" s="428" t="s">
        <v>438</v>
      </c>
      <c r="B21" s="464"/>
      <c r="C21" s="62"/>
      <c r="D21" s="448" t="s">
        <v>483</v>
      </c>
      <c r="E21" s="432"/>
      <c r="F21" s="62"/>
      <c r="G21" s="62" t="s">
        <v>574</v>
      </c>
      <c r="H21" s="64">
        <f>E4/54</f>
        <v>4.3814814814814813</v>
      </c>
    </row>
    <row r="22" spans="1:8" ht="38.25" x14ac:dyDescent="0.25">
      <c r="A22" s="434" t="s">
        <v>441</v>
      </c>
      <c r="B22" s="435">
        <v>5.5</v>
      </c>
      <c r="C22" s="62"/>
      <c r="D22" s="451" t="s">
        <v>485</v>
      </c>
      <c r="E22" s="81">
        <v>300</v>
      </c>
      <c r="F22" s="62"/>
      <c r="G22" s="62"/>
      <c r="H22" s="64"/>
    </row>
    <row r="23" spans="1:8" ht="38.25" x14ac:dyDescent="0.25">
      <c r="A23" s="444" t="s">
        <v>443</v>
      </c>
      <c r="B23" s="474">
        <f>B20/B22</f>
        <v>4.3018181818181818</v>
      </c>
      <c r="C23" s="62"/>
      <c r="D23" s="446"/>
      <c r="E23" s="531">
        <f>E22/24/3600</f>
        <v>3.472222222222222E-3</v>
      </c>
      <c r="F23" s="62"/>
      <c r="G23" s="62"/>
      <c r="H23" s="64"/>
    </row>
    <row r="24" spans="1:8" ht="15.75" thickBot="1" x14ac:dyDescent="0.3">
      <c r="A24" s="66" t="s">
        <v>54</v>
      </c>
      <c r="B24" s="522">
        <f>ROUNDUP(B23,0)</f>
        <v>5</v>
      </c>
      <c r="C24" s="62"/>
      <c r="D24" s="517" t="s">
        <v>484</v>
      </c>
      <c r="E24" s="534">
        <f>E23*B18</f>
        <v>0.82152777777777775</v>
      </c>
      <c r="F24" s="62"/>
      <c r="G24" s="62"/>
      <c r="H24" s="64"/>
    </row>
    <row r="25" spans="1:8" ht="39.75" thickBot="1" x14ac:dyDescent="0.3">
      <c r="A25" s="65" t="s">
        <v>472</v>
      </c>
      <c r="B25" s="87">
        <f>60*5</f>
        <v>300</v>
      </c>
      <c r="C25" s="62"/>
      <c r="D25" s="535" t="s">
        <v>486</v>
      </c>
      <c r="E25" s="536"/>
      <c r="F25" s="62"/>
      <c r="G25" s="62"/>
      <c r="H25" s="64"/>
    </row>
    <row r="26" spans="1:8" x14ac:dyDescent="0.25">
      <c r="A26" s="63" t="s">
        <v>179</v>
      </c>
      <c r="B26" s="87">
        <f>B25*B24</f>
        <v>1500</v>
      </c>
      <c r="C26" s="62"/>
      <c r="D26" s="532" t="s">
        <v>166</v>
      </c>
      <c r="E26" s="532">
        <v>5.0000000000000001E-3</v>
      </c>
      <c r="F26" s="62"/>
      <c r="G26" s="62"/>
      <c r="H26" s="64"/>
    </row>
    <row r="27" spans="1:8" x14ac:dyDescent="0.25">
      <c r="A27" s="63"/>
      <c r="B27" s="529">
        <f>B26/24/3600</f>
        <v>1.7361111111111112E-2</v>
      </c>
      <c r="C27" s="62"/>
      <c r="D27" s="462" t="s">
        <v>135</v>
      </c>
      <c r="E27" s="462">
        <f>E26*B18</f>
        <v>1.1830000000000001</v>
      </c>
      <c r="F27" s="62"/>
      <c r="G27" s="62"/>
      <c r="H27" s="64"/>
    </row>
    <row r="28" spans="1:8" ht="25.5" x14ac:dyDescent="0.25">
      <c r="A28" s="63"/>
      <c r="B28" s="87"/>
      <c r="C28" s="62"/>
      <c r="D28" s="462" t="s">
        <v>485</v>
      </c>
      <c r="E28" s="462">
        <v>300</v>
      </c>
      <c r="F28" s="62"/>
      <c r="G28" s="62"/>
      <c r="H28" s="64"/>
    </row>
    <row r="29" spans="1:8" x14ac:dyDescent="0.25">
      <c r="A29" s="63"/>
      <c r="B29" s="521"/>
      <c r="C29" s="62"/>
      <c r="D29" s="63"/>
      <c r="E29" s="529">
        <f>E28/24/3600</f>
        <v>3.472222222222222E-3</v>
      </c>
      <c r="F29" s="62"/>
      <c r="G29" s="62"/>
      <c r="H29" s="64"/>
    </row>
    <row r="30" spans="1:8" x14ac:dyDescent="0.25">
      <c r="A30" s="62"/>
      <c r="B30" s="62"/>
      <c r="C30" s="62"/>
      <c r="D30" s="62" t="s">
        <v>484</v>
      </c>
      <c r="E30" s="533">
        <f>E29*B18</f>
        <v>0.82152777777777775</v>
      </c>
      <c r="F30" s="62"/>
      <c r="G30" s="62"/>
      <c r="H30" s="64"/>
    </row>
    <row r="31" spans="1:8" x14ac:dyDescent="0.25">
      <c r="A31" s="62"/>
      <c r="B31" s="62"/>
      <c r="C31" s="62"/>
      <c r="D31" s="62"/>
      <c r="E31" s="62"/>
      <c r="F31" s="62"/>
      <c r="G31" s="62"/>
      <c r="H31" s="64"/>
    </row>
    <row r="32" spans="1:8" x14ac:dyDescent="0.25">
      <c r="A32" s="62"/>
      <c r="B32" s="62"/>
      <c r="C32" s="62"/>
      <c r="D32" s="62"/>
      <c r="E32" s="62"/>
      <c r="F32" s="62"/>
      <c r="G32" s="62"/>
      <c r="H32" s="64"/>
    </row>
    <row r="33" spans="1:8" x14ac:dyDescent="0.25">
      <c r="A33" s="62"/>
      <c r="B33" s="62"/>
      <c r="C33" s="62"/>
      <c r="D33" s="62"/>
      <c r="E33" s="62"/>
      <c r="F33" s="62"/>
      <c r="G33" s="62"/>
      <c r="H33" s="64"/>
    </row>
    <row r="34" spans="1:8" x14ac:dyDescent="0.25">
      <c r="A34" s="62"/>
      <c r="B34" s="62"/>
      <c r="C34" s="62"/>
      <c r="D34" s="62"/>
      <c r="E34" s="62"/>
      <c r="F34" s="62"/>
      <c r="G34" s="62"/>
      <c r="H34" s="64"/>
    </row>
    <row r="35" spans="1:8" x14ac:dyDescent="0.25">
      <c r="A35" s="710" t="s">
        <v>63</v>
      </c>
      <c r="B35" s="679"/>
      <c r="C35" s="679"/>
      <c r="D35" s="679"/>
      <c r="E35" s="679"/>
      <c r="F35" s="679" t="s">
        <v>64</v>
      </c>
      <c r="G35" s="679"/>
      <c r="H35" s="680"/>
    </row>
    <row r="36" spans="1:8" ht="25.5" x14ac:dyDescent="0.25">
      <c r="A36" s="40" t="s">
        <v>11</v>
      </c>
      <c r="B36" s="41" t="s">
        <v>12</v>
      </c>
      <c r="C36" s="41" t="s">
        <v>4</v>
      </c>
      <c r="D36" s="41" t="s">
        <v>65</v>
      </c>
      <c r="E36" s="42" t="s">
        <v>66</v>
      </c>
      <c r="F36" s="43" t="s">
        <v>67</v>
      </c>
      <c r="G36" s="43" t="s">
        <v>68</v>
      </c>
      <c r="H36" s="44" t="s">
        <v>69</v>
      </c>
    </row>
    <row r="37" spans="1:8" x14ac:dyDescent="0.25">
      <c r="A37" s="40" t="s">
        <v>487</v>
      </c>
      <c r="B37" s="41">
        <f>E27</f>
        <v>1.1830000000000001</v>
      </c>
      <c r="C37" s="41" t="s">
        <v>118</v>
      </c>
      <c r="D37" s="41"/>
      <c r="E37" s="42"/>
      <c r="F37" s="43"/>
      <c r="G37" s="43"/>
      <c r="H37" s="44"/>
    </row>
    <row r="38" spans="1:8" x14ac:dyDescent="0.25">
      <c r="A38" s="45" t="s">
        <v>478</v>
      </c>
      <c r="B38" s="9">
        <f>B20</f>
        <v>23.66</v>
      </c>
      <c r="C38" s="407" t="s">
        <v>118</v>
      </c>
      <c r="D38" s="9"/>
      <c r="E38" s="47"/>
      <c r="F38" s="29"/>
      <c r="G38" s="28"/>
      <c r="H38" s="48"/>
    </row>
    <row r="39" spans="1:8" ht="120.75" thickBot="1" x14ac:dyDescent="0.3">
      <c r="A39" s="49" t="s">
        <v>477</v>
      </c>
      <c r="B39" s="50">
        <f>B24</f>
        <v>5</v>
      </c>
      <c r="C39" s="51" t="s">
        <v>479</v>
      </c>
      <c r="D39" s="50"/>
      <c r="E39" s="52"/>
      <c r="F39" s="530" t="s">
        <v>480</v>
      </c>
      <c r="G39" s="53"/>
      <c r="H39" s="54">
        <v>9.6</v>
      </c>
    </row>
  </sheetData>
  <mergeCells count="18">
    <mergeCell ref="G10:H10"/>
    <mergeCell ref="F35:H35"/>
    <mergeCell ref="A35:E35"/>
    <mergeCell ref="A1:C1"/>
    <mergeCell ref="D1:H1"/>
    <mergeCell ref="A2:C2"/>
    <mergeCell ref="D2:H2"/>
    <mergeCell ref="A3:A4"/>
    <mergeCell ref="B3:D4"/>
    <mergeCell ref="A5:H5"/>
    <mergeCell ref="A6:H6"/>
    <mergeCell ref="A7:D7"/>
    <mergeCell ref="E7:H7"/>
    <mergeCell ref="C8:D8"/>
    <mergeCell ref="G8:H8"/>
    <mergeCell ref="C9:D9"/>
    <mergeCell ref="G9:H9"/>
    <mergeCell ref="C10:D10"/>
  </mergeCells>
  <pageMargins left="0.7" right="0.7" top="0.75" bottom="0.75" header="0.3" footer="0.3"/>
  <pageSetup paperSize="9" scale="80" orientation="portrait"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pageSetUpPr fitToPage="1"/>
  </sheetPr>
  <dimension ref="A1:H34"/>
  <sheetViews>
    <sheetView zoomScale="25" zoomScaleNormal="25" workbookViewId="0">
      <selection activeCell="G4" sqref="G4"/>
    </sheetView>
  </sheetViews>
  <sheetFormatPr baseColWidth="10" defaultRowHeight="15" x14ac:dyDescent="0.25"/>
  <cols>
    <col min="1" max="1" width="15.140625" customWidth="1"/>
    <col min="4" max="4" width="20.2851562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108</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10</v>
      </c>
      <c r="F4" s="85" t="s">
        <v>121</v>
      </c>
      <c r="G4" s="3" t="s">
        <v>622</v>
      </c>
      <c r="H4" s="729">
        <f>H24</f>
        <v>5.092592592592593E-2</v>
      </c>
    </row>
    <row r="5" spans="1:8" x14ac:dyDescent="0.25">
      <c r="A5" s="664" t="s">
        <v>8</v>
      </c>
      <c r="B5" s="665"/>
      <c r="C5" s="665"/>
      <c r="D5" s="665"/>
      <c r="E5" s="665"/>
      <c r="F5" s="665"/>
      <c r="G5" s="665"/>
      <c r="H5" s="666"/>
    </row>
    <row r="6" spans="1:8" ht="102.75" customHeight="1" x14ac:dyDescent="0.25">
      <c r="A6" s="667" t="s">
        <v>109</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c r="B9" s="9"/>
      <c r="C9" s="675"/>
      <c r="D9" s="676"/>
      <c r="E9" s="749" t="s">
        <v>610</v>
      </c>
      <c r="F9" s="749">
        <v>1</v>
      </c>
      <c r="G9" s="675"/>
      <c r="H9" s="681"/>
    </row>
    <row r="10" spans="1:8" x14ac:dyDescent="0.25">
      <c r="A10" s="8"/>
      <c r="B10" s="9"/>
      <c r="C10" s="677"/>
      <c r="D10" s="678"/>
      <c r="E10" s="749" t="s">
        <v>127</v>
      </c>
      <c r="F10" s="749">
        <v>2</v>
      </c>
      <c r="G10" s="682"/>
      <c r="H10" s="683"/>
    </row>
    <row r="11" spans="1:8" x14ac:dyDescent="0.25">
      <c r="A11" s="12" t="s">
        <v>16</v>
      </c>
      <c r="B11" s="13"/>
      <c r="C11" s="13"/>
      <c r="D11" s="13"/>
      <c r="E11" s="13"/>
      <c r="F11" s="13"/>
      <c r="G11" s="13"/>
      <c r="H11" s="14"/>
    </row>
    <row r="12" spans="1:8" x14ac:dyDescent="0.25">
      <c r="A12" s="15"/>
      <c r="B12" s="16"/>
      <c r="C12" s="16"/>
      <c r="D12" s="16"/>
      <c r="E12" s="16"/>
      <c r="F12" s="16"/>
      <c r="G12" s="16"/>
      <c r="H12" s="17"/>
    </row>
    <row r="13" spans="1:8" x14ac:dyDescent="0.25">
      <c r="A13" s="18"/>
      <c r="B13" s="19"/>
      <c r="C13" s="19"/>
      <c r="D13" s="19"/>
      <c r="E13" s="19"/>
      <c r="F13" s="19"/>
      <c r="G13" s="19"/>
      <c r="H13" s="11"/>
    </row>
    <row r="14" spans="1:8" x14ac:dyDescent="0.25">
      <c r="A14" s="20"/>
      <c r="B14" s="19"/>
      <c r="C14" s="19"/>
      <c r="D14" s="19"/>
      <c r="E14" s="19"/>
      <c r="F14" s="19"/>
      <c r="G14" s="19"/>
      <c r="H14" s="11"/>
    </row>
    <row r="15" spans="1:8" x14ac:dyDescent="0.25">
      <c r="A15" s="12" t="s">
        <v>17</v>
      </c>
      <c r="B15" s="21"/>
      <c r="C15" s="21"/>
      <c r="D15" s="21"/>
      <c r="E15" s="21"/>
      <c r="F15" s="21"/>
      <c r="G15" s="21"/>
      <c r="H15" s="22"/>
    </row>
    <row r="16" spans="1:8" x14ac:dyDescent="0.25">
      <c r="A16" s="23" t="s">
        <v>18</v>
      </c>
      <c r="B16" s="24" t="s">
        <v>3</v>
      </c>
      <c r="C16" s="16"/>
      <c r="D16" s="23" t="s">
        <v>18</v>
      </c>
      <c r="E16" s="24" t="s">
        <v>3</v>
      </c>
      <c r="F16" s="16"/>
      <c r="G16" s="16"/>
      <c r="H16" s="17"/>
    </row>
    <row r="17" spans="1:8" x14ac:dyDescent="0.25">
      <c r="A17" s="519" t="s">
        <v>295</v>
      </c>
      <c r="B17" s="56"/>
      <c r="C17" s="57"/>
      <c r="D17" s="519" t="s">
        <v>519</v>
      </c>
      <c r="E17" s="56"/>
      <c r="F17" s="57"/>
      <c r="G17" s="59"/>
      <c r="H17" s="60"/>
    </row>
    <row r="18" spans="1:8" x14ac:dyDescent="0.25">
      <c r="A18" s="61" t="s">
        <v>296</v>
      </c>
      <c r="B18" s="56">
        <v>10</v>
      </c>
      <c r="C18" s="62"/>
      <c r="D18" s="63" t="s">
        <v>403</v>
      </c>
      <c r="E18" s="529">
        <f t="shared" ref="E18:E26" si="0">10/24/60</f>
        <v>6.9444444444444449E-3</v>
      </c>
      <c r="F18" s="62"/>
      <c r="G18" s="62"/>
      <c r="H18" s="64"/>
    </row>
    <row r="19" spans="1:8" x14ac:dyDescent="0.25">
      <c r="A19" s="63" t="s">
        <v>470</v>
      </c>
      <c r="B19" s="56">
        <v>0.25</v>
      </c>
      <c r="C19" s="62"/>
      <c r="D19" s="58" t="s">
        <v>520</v>
      </c>
      <c r="E19" s="56"/>
      <c r="F19" s="62"/>
      <c r="G19" s="62"/>
      <c r="H19" s="64"/>
    </row>
    <row r="20" spans="1:8" x14ac:dyDescent="0.25">
      <c r="A20" s="63" t="s">
        <v>524</v>
      </c>
      <c r="B20" s="56">
        <v>2</v>
      </c>
      <c r="C20" s="62"/>
      <c r="D20" s="63" t="s">
        <v>403</v>
      </c>
      <c r="E20" s="529">
        <f t="shared" si="0"/>
        <v>6.9444444444444449E-3</v>
      </c>
      <c r="F20" s="62"/>
      <c r="G20" s="62"/>
      <c r="H20" s="64"/>
    </row>
    <row r="21" spans="1:8" x14ac:dyDescent="0.25">
      <c r="A21" s="63" t="s">
        <v>165</v>
      </c>
      <c r="B21" s="56">
        <f>B20*B18</f>
        <v>20</v>
      </c>
      <c r="C21" s="62"/>
      <c r="D21" s="552" t="s">
        <v>521</v>
      </c>
      <c r="E21" s="56"/>
      <c r="F21" s="62"/>
      <c r="G21" s="62"/>
      <c r="H21" s="64"/>
    </row>
    <row r="22" spans="1:8" ht="26.25" thickBot="1" x14ac:dyDescent="0.3">
      <c r="A22" s="63" t="s">
        <v>135</v>
      </c>
      <c r="B22" s="56">
        <f>B21*B19</f>
        <v>5</v>
      </c>
      <c r="C22" s="62"/>
      <c r="D22" s="63" t="s">
        <v>403</v>
      </c>
      <c r="E22" s="529">
        <f t="shared" si="0"/>
        <v>6.9444444444444449E-3</v>
      </c>
      <c r="F22" s="62"/>
      <c r="G22" s="524" t="s">
        <v>433</v>
      </c>
      <c r="H22" s="525">
        <f>B29+E26+E24+Tableau25152773[[#This Row],[Quantité]]+E20+E18</f>
        <v>3.8194444444444448E-2</v>
      </c>
    </row>
    <row r="23" spans="1:8" ht="15.75" thickBot="1" x14ac:dyDescent="0.3">
      <c r="A23" s="428" t="s">
        <v>438</v>
      </c>
      <c r="B23" s="464"/>
      <c r="C23" s="62"/>
      <c r="D23" s="58" t="s">
        <v>522</v>
      </c>
      <c r="E23" s="56"/>
      <c r="F23" s="62"/>
      <c r="G23" s="526" t="s">
        <v>282</v>
      </c>
      <c r="H23" s="527">
        <f>8/6</f>
        <v>1.3333333333333333</v>
      </c>
    </row>
    <row r="24" spans="1:8" ht="41.25" customHeight="1" x14ac:dyDescent="0.25">
      <c r="A24" s="434" t="s">
        <v>441</v>
      </c>
      <c r="B24" s="435">
        <v>5.5</v>
      </c>
      <c r="C24" s="62"/>
      <c r="D24" s="63" t="s">
        <v>403</v>
      </c>
      <c r="E24" s="529">
        <f t="shared" si="0"/>
        <v>6.9444444444444449E-3</v>
      </c>
      <c r="F24" s="62"/>
      <c r="G24" s="524" t="s">
        <v>437</v>
      </c>
      <c r="H24" s="525">
        <f>H22*H23</f>
        <v>5.092592592592593E-2</v>
      </c>
    </row>
    <row r="25" spans="1:8" ht="38.25" x14ac:dyDescent="0.25">
      <c r="A25" s="444" t="s">
        <v>443</v>
      </c>
      <c r="B25" s="474">
        <f>B22/B24</f>
        <v>0.90909090909090906</v>
      </c>
      <c r="C25" s="62"/>
      <c r="D25" s="552" t="s">
        <v>523</v>
      </c>
      <c r="E25" s="70"/>
      <c r="F25" s="62"/>
      <c r="G25" s="524" t="s">
        <v>440</v>
      </c>
      <c r="H25" s="528">
        <f>H24/8</f>
        <v>6.3657407407407413E-3</v>
      </c>
    </row>
    <row r="26" spans="1:8" x14ac:dyDescent="0.25">
      <c r="A26" s="66" t="s">
        <v>54</v>
      </c>
      <c r="B26" s="522">
        <f>ROUNDUP(B25,0)</f>
        <v>1</v>
      </c>
      <c r="C26" s="62"/>
      <c r="D26" s="63" t="s">
        <v>403</v>
      </c>
      <c r="E26" s="529">
        <f t="shared" si="0"/>
        <v>6.9444444444444449E-3</v>
      </c>
      <c r="F26" s="62"/>
      <c r="G26" s="62" t="s">
        <v>574</v>
      </c>
      <c r="H26" s="64">
        <f>E4/(1+13/60)</f>
        <v>8.2191780821917799</v>
      </c>
    </row>
    <row r="27" spans="1:8" ht="26.25" x14ac:dyDescent="0.25">
      <c r="A27" s="65" t="s">
        <v>472</v>
      </c>
      <c r="B27" s="87">
        <f>60*5</f>
        <v>300</v>
      </c>
      <c r="C27" s="62"/>
      <c r="D27" s="552"/>
      <c r="E27" s="70"/>
      <c r="F27" s="62"/>
      <c r="G27" s="62"/>
      <c r="H27" s="64"/>
    </row>
    <row r="28" spans="1:8" x14ac:dyDescent="0.25">
      <c r="A28" s="63" t="s">
        <v>179</v>
      </c>
      <c r="B28" s="87">
        <f>B27*B26</f>
        <v>300</v>
      </c>
      <c r="C28" s="62"/>
      <c r="D28" s="63"/>
      <c r="E28" s="529"/>
      <c r="F28" s="62"/>
      <c r="G28" s="62"/>
      <c r="H28" s="64"/>
    </row>
    <row r="29" spans="1:8" x14ac:dyDescent="0.25">
      <c r="A29" s="63"/>
      <c r="B29" s="529">
        <f>B28/24/3600</f>
        <v>3.472222222222222E-3</v>
      </c>
      <c r="C29" s="62"/>
      <c r="D29" s="176"/>
      <c r="E29" s="70"/>
      <c r="F29" s="62"/>
      <c r="G29" s="62"/>
      <c r="H29" s="64"/>
    </row>
    <row r="30" spans="1:8" x14ac:dyDescent="0.25">
      <c r="A30" s="63"/>
      <c r="B30" s="77"/>
      <c r="C30" s="62"/>
      <c r="D30" s="69"/>
      <c r="E30" s="70"/>
      <c r="F30" s="62"/>
      <c r="G30" s="62"/>
      <c r="H30" s="64"/>
    </row>
    <row r="31" spans="1:8" x14ac:dyDescent="0.25">
      <c r="A31" s="38" t="s">
        <v>63</v>
      </c>
      <c r="B31" s="39"/>
      <c r="C31" s="39"/>
      <c r="D31" s="39"/>
      <c r="E31" s="39"/>
      <c r="F31" s="679" t="s">
        <v>64</v>
      </c>
      <c r="G31" s="679"/>
      <c r="H31" s="680"/>
    </row>
    <row r="32" spans="1:8" ht="25.5" x14ac:dyDescent="0.25">
      <c r="A32" s="40" t="s">
        <v>11</v>
      </c>
      <c r="B32" s="41" t="s">
        <v>12</v>
      </c>
      <c r="C32" s="41" t="s">
        <v>4</v>
      </c>
      <c r="D32" s="41" t="s">
        <v>65</v>
      </c>
      <c r="E32" s="42" t="s">
        <v>66</v>
      </c>
      <c r="F32" s="43" t="s">
        <v>67</v>
      </c>
      <c r="G32" s="43" t="s">
        <v>68</v>
      </c>
      <c r="H32" s="44" t="s">
        <v>69</v>
      </c>
    </row>
    <row r="33" spans="1:8" x14ac:dyDescent="0.25">
      <c r="A33" s="45" t="s">
        <v>478</v>
      </c>
      <c r="B33" s="9">
        <f>B22</f>
        <v>5</v>
      </c>
      <c r="C33" s="407" t="s">
        <v>118</v>
      </c>
      <c r="D33" s="9"/>
      <c r="E33" s="47"/>
      <c r="F33" s="29"/>
      <c r="G33" s="28"/>
      <c r="H33" s="48"/>
    </row>
    <row r="34" spans="1:8" ht="120.75" thickBot="1" x14ac:dyDescent="0.3">
      <c r="A34" s="49" t="s">
        <v>477</v>
      </c>
      <c r="B34" s="50">
        <f>B26</f>
        <v>1</v>
      </c>
      <c r="C34" s="51" t="s">
        <v>479</v>
      </c>
      <c r="D34" s="50"/>
      <c r="E34" s="52"/>
      <c r="F34" s="530" t="s">
        <v>480</v>
      </c>
      <c r="G34" s="53"/>
      <c r="H34" s="54">
        <v>9.6</v>
      </c>
    </row>
  </sheetData>
  <mergeCells count="17">
    <mergeCell ref="C9:D9"/>
    <mergeCell ref="G9:H9"/>
    <mergeCell ref="C10:D10"/>
    <mergeCell ref="G10:H10"/>
    <mergeCell ref="F31:H31"/>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84" orientation="portrait"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pageSetUpPr fitToPage="1"/>
  </sheetPr>
  <dimension ref="A1:H38"/>
  <sheetViews>
    <sheetView zoomScale="40" zoomScaleNormal="40" workbookViewId="0">
      <selection activeCell="G4" sqref="G4"/>
    </sheetView>
  </sheetViews>
  <sheetFormatPr baseColWidth="10" defaultRowHeight="15" x14ac:dyDescent="0.25"/>
  <cols>
    <col min="1" max="1" width="24.85546875" customWidth="1"/>
    <col min="4" max="4" width="31.710937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110</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1</v>
      </c>
      <c r="F4" s="85" t="s">
        <v>4</v>
      </c>
      <c r="G4" s="3" t="s">
        <v>623</v>
      </c>
      <c r="H4" s="730">
        <f>E22</f>
        <v>2.2499999999999996E-2</v>
      </c>
    </row>
    <row r="5" spans="1:8" x14ac:dyDescent="0.25">
      <c r="A5" s="664" t="s">
        <v>8</v>
      </c>
      <c r="B5" s="665"/>
      <c r="C5" s="665"/>
      <c r="D5" s="665"/>
      <c r="E5" s="665"/>
      <c r="F5" s="665"/>
      <c r="G5" s="665"/>
      <c r="H5" s="666"/>
    </row>
    <row r="6" spans="1:8" ht="182.25" customHeight="1" x14ac:dyDescent="0.25">
      <c r="A6" s="667" t="s">
        <v>111</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34.5" customHeight="1" x14ac:dyDescent="0.25">
      <c r="A9" s="550" t="s">
        <v>145</v>
      </c>
      <c r="B9" s="550">
        <v>1</v>
      </c>
      <c r="C9" s="712" t="s">
        <v>518</v>
      </c>
      <c r="D9" s="712"/>
      <c r="E9" s="550" t="s">
        <v>127</v>
      </c>
      <c r="F9" s="551">
        <v>1</v>
      </c>
      <c r="G9" s="712" t="s">
        <v>511</v>
      </c>
      <c r="H9" s="713"/>
    </row>
    <row r="10" spans="1:8" ht="39.75" customHeight="1" x14ac:dyDescent="0.25">
      <c r="A10" s="550" t="s">
        <v>512</v>
      </c>
      <c r="B10" s="550">
        <v>1</v>
      </c>
      <c r="C10" s="712" t="s">
        <v>513</v>
      </c>
      <c r="D10" s="712"/>
      <c r="E10" s="551" t="s">
        <v>514</v>
      </c>
      <c r="F10" s="551">
        <v>2</v>
      </c>
      <c r="G10" s="712" t="s">
        <v>515</v>
      </c>
      <c r="H10" s="713"/>
    </row>
    <row r="11" spans="1:8" ht="25.5" x14ac:dyDescent="0.25">
      <c r="A11" s="551"/>
      <c r="B11" s="551"/>
      <c r="C11" s="714"/>
      <c r="D11" s="714"/>
      <c r="E11" s="551" t="s">
        <v>261</v>
      </c>
      <c r="F11" s="551">
        <v>1</v>
      </c>
      <c r="G11" s="712" t="s">
        <v>516</v>
      </c>
      <c r="H11" s="713"/>
    </row>
    <row r="12" spans="1:8" x14ac:dyDescent="0.25">
      <c r="A12" s="12" t="s">
        <v>16</v>
      </c>
      <c r="B12" s="13"/>
      <c r="C12" s="13"/>
      <c r="D12" s="13"/>
      <c r="E12" s="13"/>
      <c r="F12" s="13"/>
      <c r="G12" s="13"/>
      <c r="H12" s="14"/>
    </row>
    <row r="13" spans="1:8" ht="15" customHeight="1" x14ac:dyDescent="0.25">
      <c r="A13" s="715" t="s">
        <v>517</v>
      </c>
      <c r="B13" s="715"/>
      <c r="C13" s="715"/>
      <c r="D13" s="715"/>
      <c r="E13" s="715"/>
      <c r="F13" s="715"/>
      <c r="G13" s="715"/>
      <c r="H13" s="716"/>
    </row>
    <row r="14" spans="1:8" x14ac:dyDescent="0.25">
      <c r="A14" s="717"/>
      <c r="B14" s="717"/>
      <c r="C14" s="717"/>
      <c r="D14" s="717"/>
      <c r="E14" s="717"/>
      <c r="F14" s="717"/>
      <c r="G14" s="717"/>
      <c r="H14" s="718"/>
    </row>
    <row r="15" spans="1:8" x14ac:dyDescent="0.25">
      <c r="A15" s="12" t="s">
        <v>17</v>
      </c>
      <c r="B15" s="21"/>
      <c r="C15" s="21"/>
      <c r="D15" s="21"/>
      <c r="E15" s="21"/>
      <c r="F15" s="21"/>
      <c r="G15" s="21"/>
      <c r="H15" s="22"/>
    </row>
    <row r="16" spans="1:8" x14ac:dyDescent="0.25">
      <c r="A16" s="23" t="s">
        <v>18</v>
      </c>
      <c r="B16" s="24" t="s">
        <v>3</v>
      </c>
      <c r="C16" s="16"/>
      <c r="D16" s="23" t="s">
        <v>18</v>
      </c>
      <c r="E16" s="24" t="s">
        <v>3</v>
      </c>
      <c r="F16" s="16"/>
      <c r="G16" s="16"/>
      <c r="H16" s="17"/>
    </row>
    <row r="17" spans="1:8" x14ac:dyDescent="0.25">
      <c r="A17" s="537" t="s">
        <v>488</v>
      </c>
      <c r="B17" s="538">
        <v>60</v>
      </c>
      <c r="D17" s="539" t="s">
        <v>489</v>
      </c>
      <c r="E17" s="538">
        <v>300</v>
      </c>
      <c r="F17" s="57"/>
      <c r="G17" s="59"/>
      <c r="H17" s="60"/>
    </row>
    <row r="18" spans="1:8" x14ac:dyDescent="0.25">
      <c r="A18" s="147" t="s">
        <v>490</v>
      </c>
      <c r="B18" s="147">
        <v>0.77</v>
      </c>
      <c r="D18" s="539" t="s">
        <v>491</v>
      </c>
      <c r="E18" s="540">
        <v>120</v>
      </c>
      <c r="F18" s="62"/>
      <c r="G18" s="62"/>
      <c r="H18" s="64"/>
    </row>
    <row r="19" spans="1:8" x14ac:dyDescent="0.25">
      <c r="A19" s="147" t="s">
        <v>492</v>
      </c>
      <c r="B19" s="147">
        <v>1.44</v>
      </c>
      <c r="D19" s="541" t="s">
        <v>493</v>
      </c>
      <c r="E19" s="542">
        <f>B17+B22+B27+B29+B30+B32+E17+E18</f>
        <v>1620</v>
      </c>
      <c r="F19" s="62"/>
      <c r="G19" s="62"/>
      <c r="H19" s="64"/>
    </row>
    <row r="20" spans="1:8" ht="15.75" x14ac:dyDescent="0.25">
      <c r="A20" s="147" t="s">
        <v>494</v>
      </c>
      <c r="B20" s="147">
        <v>0.2</v>
      </c>
      <c r="D20" s="541" t="s">
        <v>495</v>
      </c>
      <c r="E20" s="543">
        <f>B21+B26</f>
        <v>0.52349999999999997</v>
      </c>
      <c r="F20" s="62"/>
      <c r="G20" s="62"/>
      <c r="H20" s="64"/>
    </row>
    <row r="21" spans="1:8" x14ac:dyDescent="0.25">
      <c r="A21" s="147" t="s">
        <v>496</v>
      </c>
      <c r="B21" s="544">
        <f>B19*B20</f>
        <v>0.28799999999999998</v>
      </c>
      <c r="D21" s="541" t="s">
        <v>497</v>
      </c>
      <c r="E21" s="545" t="s">
        <v>498</v>
      </c>
      <c r="F21" s="62"/>
      <c r="G21" s="62"/>
      <c r="H21" s="64"/>
    </row>
    <row r="22" spans="1:8" x14ac:dyDescent="0.25">
      <c r="A22" s="546" t="s">
        <v>499</v>
      </c>
      <c r="B22" s="544">
        <v>120</v>
      </c>
      <c r="C22" s="19"/>
      <c r="D22" s="547" t="s">
        <v>500</v>
      </c>
      <c r="E22" s="548">
        <f>E19*6/5/60/60/24</f>
        <v>2.2499999999999996E-2</v>
      </c>
      <c r="F22" s="62"/>
      <c r="G22" s="67"/>
      <c r="H22" s="68"/>
    </row>
    <row r="23" spans="1:8" x14ac:dyDescent="0.25">
      <c r="A23" s="546" t="s">
        <v>501</v>
      </c>
      <c r="B23" s="538">
        <v>3.14</v>
      </c>
      <c r="C23" s="19"/>
      <c r="D23" s="549"/>
      <c r="E23" s="549"/>
      <c r="F23" s="62"/>
      <c r="G23" s="71"/>
      <c r="H23" s="72"/>
    </row>
    <row r="24" spans="1:8" x14ac:dyDescent="0.25">
      <c r="A24" s="546" t="s">
        <v>502</v>
      </c>
      <c r="B24" s="538">
        <v>0.15</v>
      </c>
      <c r="C24" s="19"/>
      <c r="D24" s="29"/>
      <c r="E24" s="29"/>
      <c r="F24" s="62"/>
      <c r="G24" s="71"/>
      <c r="H24" s="73"/>
    </row>
    <row r="25" spans="1:8" x14ac:dyDescent="0.25">
      <c r="A25" s="546" t="s">
        <v>503</v>
      </c>
      <c r="B25" s="538">
        <v>0.5</v>
      </c>
      <c r="C25" s="19"/>
      <c r="D25" s="29"/>
      <c r="E25" s="29"/>
      <c r="F25" s="62"/>
      <c r="G25" s="75"/>
      <c r="H25" s="76"/>
    </row>
    <row r="26" spans="1:8" x14ac:dyDescent="0.25">
      <c r="A26" s="546" t="s">
        <v>504</v>
      </c>
      <c r="B26" s="542">
        <f>B23*B24*B25</f>
        <v>0.23549999999999999</v>
      </c>
      <c r="C26" s="19"/>
      <c r="D26" s="29"/>
      <c r="E26" s="29"/>
      <c r="F26" s="62"/>
      <c r="G26" s="62"/>
      <c r="H26" s="64"/>
    </row>
    <row r="27" spans="1:8" x14ac:dyDescent="0.25">
      <c r="A27" s="546" t="s">
        <v>505</v>
      </c>
      <c r="B27" s="542">
        <v>600</v>
      </c>
      <c r="C27" s="19"/>
      <c r="D27" s="29"/>
      <c r="E27" s="29"/>
      <c r="F27" s="62"/>
      <c r="G27" s="62"/>
      <c r="H27" s="64"/>
    </row>
    <row r="28" spans="1:8" x14ac:dyDescent="0.25">
      <c r="A28" s="546" t="s">
        <v>506</v>
      </c>
      <c r="B28" s="538">
        <v>0.15</v>
      </c>
      <c r="C28" s="19"/>
      <c r="D28" s="29"/>
      <c r="E28" s="29"/>
      <c r="F28" s="62"/>
      <c r="G28" s="62"/>
      <c r="H28" s="64"/>
    </row>
    <row r="29" spans="1:8" x14ac:dyDescent="0.25">
      <c r="A29" s="546" t="s">
        <v>507</v>
      </c>
      <c r="B29" s="538">
        <v>60</v>
      </c>
      <c r="C29" s="19"/>
      <c r="D29" s="29"/>
      <c r="E29" s="29"/>
      <c r="F29" s="62"/>
      <c r="G29" s="62"/>
      <c r="H29" s="64"/>
    </row>
    <row r="30" spans="1:8" x14ac:dyDescent="0.25">
      <c r="A30" s="546" t="s">
        <v>508</v>
      </c>
      <c r="B30" s="538">
        <v>300</v>
      </c>
      <c r="C30" s="19"/>
      <c r="D30" s="29"/>
      <c r="E30" s="29"/>
      <c r="F30" s="62"/>
      <c r="G30" s="62"/>
      <c r="H30" s="64"/>
    </row>
    <row r="31" spans="1:8" x14ac:dyDescent="0.25">
      <c r="A31" s="546" t="s">
        <v>509</v>
      </c>
      <c r="B31" s="538">
        <v>1</v>
      </c>
      <c r="C31" s="19"/>
      <c r="D31" s="29"/>
      <c r="E31" s="29"/>
      <c r="F31" s="62"/>
      <c r="G31" s="62"/>
      <c r="H31" s="64"/>
    </row>
    <row r="32" spans="1:8" x14ac:dyDescent="0.25">
      <c r="A32" s="539" t="s">
        <v>510</v>
      </c>
      <c r="B32" s="538">
        <v>60</v>
      </c>
      <c r="C32" s="19"/>
      <c r="D32" s="29"/>
      <c r="E32" s="29"/>
      <c r="F32" s="62"/>
      <c r="G32" s="62"/>
      <c r="H32" s="64"/>
    </row>
    <row r="33" spans="1:8" x14ac:dyDescent="0.25">
      <c r="A33" s="546"/>
      <c r="B33" s="538"/>
      <c r="C33" s="19"/>
      <c r="D33" s="29"/>
      <c r="E33" s="29"/>
      <c r="F33" s="62"/>
      <c r="G33" s="62"/>
      <c r="H33" s="64"/>
    </row>
    <row r="34" spans="1:8" x14ac:dyDescent="0.25">
      <c r="A34" s="81"/>
      <c r="B34" s="81"/>
      <c r="C34" s="62"/>
      <c r="D34" s="84"/>
      <c r="E34" s="80"/>
      <c r="F34" s="62"/>
      <c r="G34" s="62"/>
      <c r="H34" s="64"/>
    </row>
    <row r="35" spans="1:8" x14ac:dyDescent="0.25">
      <c r="A35" s="38" t="s">
        <v>63</v>
      </c>
      <c r="B35" s="39"/>
      <c r="C35" s="39"/>
      <c r="D35" s="39"/>
      <c r="E35" s="39"/>
      <c r="F35" s="679" t="s">
        <v>64</v>
      </c>
      <c r="G35" s="679"/>
      <c r="H35" s="680"/>
    </row>
    <row r="36" spans="1:8" ht="25.5" x14ac:dyDescent="0.25">
      <c r="A36" s="40" t="s">
        <v>11</v>
      </c>
      <c r="B36" s="41" t="s">
        <v>12</v>
      </c>
      <c r="C36" s="41" t="s">
        <v>4</v>
      </c>
      <c r="D36" s="41" t="s">
        <v>65</v>
      </c>
      <c r="E36" s="42" t="s">
        <v>66</v>
      </c>
      <c r="F36" s="43" t="s">
        <v>67</v>
      </c>
      <c r="G36" s="43" t="s">
        <v>68</v>
      </c>
      <c r="H36" s="44" t="s">
        <v>69</v>
      </c>
    </row>
    <row r="37" spans="1:8" x14ac:dyDescent="0.25">
      <c r="A37" s="553" t="s">
        <v>525</v>
      </c>
      <c r="B37" s="554">
        <v>1</v>
      </c>
      <c r="C37" s="407" t="s">
        <v>459</v>
      </c>
      <c r="D37" s="555">
        <v>76.959999999999994</v>
      </c>
      <c r="E37" s="47">
        <f>B37*D37</f>
        <v>76.959999999999994</v>
      </c>
      <c r="F37" s="147"/>
      <c r="G37" s="147"/>
      <c r="H37" s="148">
        <v>1</v>
      </c>
    </row>
    <row r="38" spans="1:8" x14ac:dyDescent="0.25">
      <c r="A38" s="553" t="s">
        <v>526</v>
      </c>
      <c r="B38" s="9">
        <f>E22</f>
        <v>2.2499999999999996E-2</v>
      </c>
      <c r="C38" s="407" t="s">
        <v>118</v>
      </c>
      <c r="D38" s="555">
        <v>98</v>
      </c>
      <c r="E38" s="47">
        <f>B38*D38</f>
        <v>2.2049999999999996</v>
      </c>
      <c r="F38" s="147"/>
      <c r="G38" s="218"/>
      <c r="H38" s="556">
        <v>1</v>
      </c>
    </row>
  </sheetData>
  <mergeCells count="20">
    <mergeCell ref="C9:D9"/>
    <mergeCell ref="G9:H9"/>
    <mergeCell ref="C10:D10"/>
    <mergeCell ref="G10:H10"/>
    <mergeCell ref="F35:H35"/>
    <mergeCell ref="C11:D11"/>
    <mergeCell ref="G11:H11"/>
    <mergeCell ref="A13:H14"/>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69" orientation="portrait"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pageSetUpPr fitToPage="1"/>
  </sheetPr>
  <dimension ref="A1:M34"/>
  <sheetViews>
    <sheetView zoomScale="40" zoomScaleNormal="40" workbookViewId="0">
      <selection activeCell="G4" sqref="G4"/>
    </sheetView>
  </sheetViews>
  <sheetFormatPr baseColWidth="10" defaultRowHeight="15" x14ac:dyDescent="0.25"/>
  <cols>
    <col min="1" max="1" width="14.140625" customWidth="1"/>
    <col min="13" max="13" width="12.140625" bestFit="1"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112</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50</v>
      </c>
      <c r="F4" s="85" t="s">
        <v>121</v>
      </c>
      <c r="G4" s="3" t="s">
        <v>625</v>
      </c>
      <c r="H4" s="729">
        <f>B22</f>
        <v>0.1388888888888889</v>
      </c>
    </row>
    <row r="5" spans="1:8" x14ac:dyDescent="0.25">
      <c r="A5" s="664" t="s">
        <v>8</v>
      </c>
      <c r="B5" s="665"/>
      <c r="C5" s="665"/>
      <c r="D5" s="665"/>
      <c r="E5" s="665"/>
      <c r="F5" s="665"/>
      <c r="G5" s="665"/>
      <c r="H5" s="666"/>
    </row>
    <row r="6" spans="1:8" ht="78" customHeight="1" x14ac:dyDescent="0.25">
      <c r="A6" s="667" t="s">
        <v>113</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c r="B9" s="9"/>
      <c r="C9" s="675"/>
      <c r="D9" s="676"/>
      <c r="E9" s="10"/>
      <c r="F9" s="9"/>
      <c r="G9" s="675"/>
      <c r="H9" s="681"/>
    </row>
    <row r="10" spans="1:8" x14ac:dyDescent="0.25">
      <c r="A10" s="8"/>
      <c r="B10" s="9"/>
      <c r="C10" s="677"/>
      <c r="D10" s="678"/>
      <c r="E10" s="10"/>
      <c r="F10" s="9"/>
      <c r="G10" s="682"/>
      <c r="H10" s="683"/>
    </row>
    <row r="11" spans="1:8" x14ac:dyDescent="0.25">
      <c r="A11" s="12" t="s">
        <v>16</v>
      </c>
      <c r="B11" s="13"/>
      <c r="C11" s="13"/>
      <c r="D11" s="13"/>
      <c r="E11" s="13"/>
      <c r="F11" s="13"/>
      <c r="G11" s="13"/>
      <c r="H11" s="14"/>
    </row>
    <row r="12" spans="1:8" x14ac:dyDescent="0.25">
      <c r="A12" s="15"/>
      <c r="B12" s="16"/>
      <c r="C12" s="16"/>
      <c r="D12" s="16"/>
      <c r="E12" s="16"/>
      <c r="F12" s="16"/>
      <c r="G12" s="16"/>
      <c r="H12" s="17"/>
    </row>
    <row r="13" spans="1:8" x14ac:dyDescent="0.25">
      <c r="A13" s="18"/>
      <c r="B13" s="19"/>
      <c r="C13" s="19"/>
      <c r="D13" s="19"/>
      <c r="E13" s="19"/>
      <c r="F13" s="19"/>
      <c r="G13" s="19"/>
      <c r="H13" s="11"/>
    </row>
    <row r="14" spans="1:8" x14ac:dyDescent="0.25">
      <c r="A14" s="20"/>
      <c r="B14" s="19"/>
      <c r="C14" s="19"/>
      <c r="D14" s="19"/>
      <c r="E14" s="19"/>
      <c r="F14" s="19"/>
      <c r="G14" s="19"/>
      <c r="H14" s="11"/>
    </row>
    <row r="15" spans="1:8" x14ac:dyDescent="0.25">
      <c r="A15" s="12" t="s">
        <v>17</v>
      </c>
      <c r="B15" s="21"/>
      <c r="C15" s="21"/>
      <c r="D15" s="21"/>
      <c r="E15" s="21"/>
      <c r="F15" s="21"/>
      <c r="G15" s="21"/>
      <c r="H15" s="22"/>
    </row>
    <row r="16" spans="1:8" x14ac:dyDescent="0.25">
      <c r="A16" s="23" t="s">
        <v>18</v>
      </c>
      <c r="B16" s="24" t="s">
        <v>3</v>
      </c>
      <c r="C16" s="16"/>
      <c r="D16" s="23" t="s">
        <v>18</v>
      </c>
      <c r="E16" s="24" t="s">
        <v>3</v>
      </c>
      <c r="F16" s="16"/>
      <c r="G16" s="16"/>
      <c r="H16" s="17"/>
    </row>
    <row r="17" spans="1:13" x14ac:dyDescent="0.25">
      <c r="A17" s="519" t="s">
        <v>295</v>
      </c>
      <c r="B17" s="56"/>
      <c r="C17" s="57"/>
      <c r="D17" s="58"/>
      <c r="E17" s="56"/>
      <c r="F17" s="57"/>
      <c r="G17" s="59"/>
      <c r="H17" s="60"/>
    </row>
    <row r="18" spans="1:13" x14ac:dyDescent="0.25">
      <c r="A18" s="61" t="s">
        <v>527</v>
      </c>
      <c r="B18" s="56">
        <v>50</v>
      </c>
      <c r="C18" s="62"/>
      <c r="D18" s="63"/>
      <c r="E18" s="56"/>
      <c r="F18" s="62"/>
      <c r="G18" s="62"/>
      <c r="H18" s="64"/>
    </row>
    <row r="19" spans="1:13" x14ac:dyDescent="0.25">
      <c r="A19" s="55" t="s">
        <v>528</v>
      </c>
      <c r="B19" s="56">
        <v>110</v>
      </c>
      <c r="C19" s="62"/>
      <c r="D19" s="63"/>
      <c r="E19" s="56"/>
      <c r="F19" s="62"/>
      <c r="G19" s="62"/>
      <c r="H19" s="64"/>
    </row>
    <row r="20" spans="1:13" x14ac:dyDescent="0.25">
      <c r="A20" s="58" t="s">
        <v>409</v>
      </c>
      <c r="B20" s="56">
        <f>4*60</f>
        <v>240</v>
      </c>
      <c r="C20" s="62"/>
      <c r="D20" s="63"/>
      <c r="E20" s="56"/>
      <c r="F20" s="62"/>
      <c r="G20" s="62"/>
      <c r="H20" s="64"/>
    </row>
    <row r="21" spans="1:13" x14ac:dyDescent="0.25">
      <c r="A21" s="63" t="s">
        <v>484</v>
      </c>
      <c r="B21" s="56">
        <f>B20*B18</f>
        <v>12000</v>
      </c>
      <c r="C21" s="62"/>
      <c r="D21" s="65"/>
      <c r="E21" s="56"/>
      <c r="F21" s="62"/>
      <c r="G21" s="62"/>
      <c r="H21" s="64"/>
      <c r="L21" s="605"/>
    </row>
    <row r="22" spans="1:13" x14ac:dyDescent="0.25">
      <c r="A22" s="63"/>
      <c r="B22" s="529">
        <f>B21/24/3600</f>
        <v>0.1388888888888889</v>
      </c>
      <c r="C22" s="62"/>
      <c r="D22" s="66"/>
      <c r="E22" s="56"/>
      <c r="F22" s="62"/>
      <c r="G22" s="67"/>
      <c r="H22" s="68"/>
      <c r="L22" s="605"/>
    </row>
    <row r="23" spans="1:13" x14ac:dyDescent="0.25">
      <c r="A23" s="69" t="s">
        <v>624</v>
      </c>
      <c r="B23" s="70">
        <f>E4/(3+20/60)</f>
        <v>15</v>
      </c>
      <c r="C23" s="62"/>
      <c r="D23" s="63"/>
      <c r="E23" s="56"/>
      <c r="F23" s="62"/>
      <c r="G23" s="71"/>
      <c r="H23" s="72"/>
    </row>
    <row r="24" spans="1:13" x14ac:dyDescent="0.25">
      <c r="A24" s="63"/>
      <c r="B24" s="56"/>
      <c r="C24" s="62"/>
      <c r="D24" s="66"/>
      <c r="E24" s="56"/>
      <c r="F24" s="62"/>
      <c r="G24" s="71"/>
      <c r="H24" s="73"/>
    </row>
    <row r="25" spans="1:13" x14ac:dyDescent="0.25">
      <c r="A25" s="63"/>
      <c r="B25" s="56"/>
      <c r="C25" s="62"/>
      <c r="D25" s="65"/>
      <c r="E25" s="74"/>
      <c r="F25" s="62"/>
      <c r="G25" s="75"/>
      <c r="H25" s="76"/>
    </row>
    <row r="26" spans="1:13" x14ac:dyDescent="0.25">
      <c r="A26" s="63"/>
      <c r="B26" s="56"/>
      <c r="C26" s="62"/>
      <c r="D26" s="65"/>
      <c r="E26" s="74"/>
      <c r="F26" s="62"/>
      <c r="G26" s="62"/>
      <c r="H26" s="64"/>
    </row>
    <row r="27" spans="1:13" x14ac:dyDescent="0.25">
      <c r="A27" s="63"/>
      <c r="B27" s="56"/>
      <c r="C27" s="62"/>
      <c r="D27" s="65"/>
      <c r="E27" s="74"/>
      <c r="F27" s="62"/>
      <c r="G27" s="62"/>
      <c r="H27" s="64"/>
    </row>
    <row r="28" spans="1:13" x14ac:dyDescent="0.25">
      <c r="A28" s="63"/>
      <c r="B28" s="56"/>
      <c r="C28" s="62"/>
      <c r="D28" s="63"/>
      <c r="E28" s="56"/>
      <c r="F28" s="62"/>
      <c r="G28" s="62"/>
      <c r="H28" s="64"/>
    </row>
    <row r="29" spans="1:13" x14ac:dyDescent="0.25">
      <c r="A29" s="62"/>
      <c r="B29" s="62"/>
      <c r="C29" s="62"/>
      <c r="D29" s="62"/>
      <c r="E29" s="62"/>
      <c r="F29" s="62"/>
      <c r="G29" s="62"/>
      <c r="H29" s="64"/>
      <c r="M29" s="604"/>
    </row>
    <row r="30" spans="1:13" x14ac:dyDescent="0.25">
      <c r="A30" s="62"/>
      <c r="B30" s="62"/>
      <c r="C30" s="62"/>
      <c r="D30" s="62"/>
      <c r="E30" s="62"/>
      <c r="F30" s="62"/>
      <c r="G30" s="62"/>
      <c r="H30" s="64"/>
      <c r="M30" s="81"/>
    </row>
    <row r="31" spans="1:13" x14ac:dyDescent="0.25">
      <c r="A31" s="38" t="s">
        <v>63</v>
      </c>
      <c r="B31" s="39"/>
      <c r="C31" s="39"/>
      <c r="D31" s="39"/>
      <c r="E31" s="39"/>
      <c r="F31" s="679" t="s">
        <v>64</v>
      </c>
      <c r="G31" s="679"/>
      <c r="H31" s="680"/>
    </row>
    <row r="32" spans="1:13" ht="25.5" x14ac:dyDescent="0.25">
      <c r="A32" s="40" t="s">
        <v>11</v>
      </c>
      <c r="B32" s="41" t="s">
        <v>12</v>
      </c>
      <c r="C32" s="41" t="s">
        <v>4</v>
      </c>
      <c r="D32" s="41" t="s">
        <v>65</v>
      </c>
      <c r="E32" s="42" t="s">
        <v>66</v>
      </c>
      <c r="F32" s="43" t="s">
        <v>67</v>
      </c>
      <c r="G32" s="43" t="s">
        <v>68</v>
      </c>
      <c r="H32" s="44" t="s">
        <v>69</v>
      </c>
    </row>
    <row r="33" spans="1:8" x14ac:dyDescent="0.25">
      <c r="A33" s="45" t="s">
        <v>529</v>
      </c>
      <c r="B33" s="9">
        <v>50</v>
      </c>
      <c r="C33" s="46" t="s">
        <v>530</v>
      </c>
      <c r="D33" s="9"/>
      <c r="E33" s="47"/>
      <c r="F33" s="29"/>
      <c r="G33" s="28"/>
      <c r="H33" s="48"/>
    </row>
    <row r="34" spans="1:8" ht="15.75" thickBot="1" x14ac:dyDescent="0.3">
      <c r="A34" s="49"/>
      <c r="B34" s="50"/>
      <c r="C34" s="51"/>
      <c r="D34" s="50" t="str">
        <f>IF(A34="","",VLOOKUP(A34,$O$3:$P$13,2,FALSE))</f>
        <v/>
      </c>
      <c r="E34" s="52" t="str">
        <f>IF(A34="","",B34*D34)</f>
        <v/>
      </c>
      <c r="F34" s="53"/>
      <c r="G34" s="53"/>
      <c r="H34" s="54"/>
    </row>
  </sheetData>
  <mergeCells count="17">
    <mergeCell ref="C9:D9"/>
    <mergeCell ref="G9:H9"/>
    <mergeCell ref="C10:D10"/>
    <mergeCell ref="G10:H10"/>
    <mergeCell ref="F31:H31"/>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93" orientation="portrait"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7">
    <pageSetUpPr fitToPage="1"/>
  </sheetPr>
  <dimension ref="A1:H33"/>
  <sheetViews>
    <sheetView zoomScale="40" zoomScaleNormal="40" workbookViewId="0">
      <selection activeCell="G4" sqref="G4"/>
    </sheetView>
  </sheetViews>
  <sheetFormatPr baseColWidth="10" defaultRowHeight="15" x14ac:dyDescent="0.25"/>
  <cols>
    <col min="1" max="1" width="13.7109375" customWidth="1"/>
    <col min="5" max="5" width="18"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114</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3.81</v>
      </c>
      <c r="F4" s="85" t="s">
        <v>530</v>
      </c>
      <c r="G4" s="3" t="s">
        <v>625</v>
      </c>
      <c r="H4" s="729">
        <f>H26</f>
        <v>1.074074074074074E-2</v>
      </c>
    </row>
    <row r="5" spans="1:8" x14ac:dyDescent="0.25">
      <c r="A5" s="664" t="s">
        <v>8</v>
      </c>
      <c r="B5" s="665"/>
      <c r="C5" s="665"/>
      <c r="D5" s="665"/>
      <c r="E5" s="665"/>
      <c r="F5" s="665"/>
      <c r="G5" s="665"/>
      <c r="H5" s="666"/>
    </row>
    <row r="6" spans="1:8" ht="126.75" customHeight="1" x14ac:dyDescent="0.25">
      <c r="A6" s="667" t="s">
        <v>115</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ht="15.75" x14ac:dyDescent="0.25">
      <c r="A9" s="5" t="s">
        <v>11</v>
      </c>
      <c r="B9" s="6" t="s">
        <v>12</v>
      </c>
      <c r="C9" s="673" t="s">
        <v>13</v>
      </c>
      <c r="D9" s="673"/>
      <c r="E9" s="7" t="s">
        <v>11</v>
      </c>
      <c r="F9" s="6" t="s">
        <v>3</v>
      </c>
      <c r="G9" s="673" t="s">
        <v>13</v>
      </c>
      <c r="H9" s="674"/>
    </row>
    <row r="10" spans="1:8" x14ac:dyDescent="0.25">
      <c r="A10" s="8" t="s">
        <v>145</v>
      </c>
      <c r="B10" s="9">
        <v>1</v>
      </c>
      <c r="C10" s="575" t="s">
        <v>539</v>
      </c>
      <c r="D10" s="19"/>
      <c r="E10" s="9" t="s">
        <v>540</v>
      </c>
      <c r="F10" s="9">
        <v>1</v>
      </c>
      <c r="G10" s="575" t="s">
        <v>15</v>
      </c>
      <c r="H10" s="11"/>
    </row>
    <row r="11" spans="1:8" x14ac:dyDescent="0.25">
      <c r="A11" s="8" t="s">
        <v>349</v>
      </c>
      <c r="B11" s="9">
        <v>1</v>
      </c>
      <c r="C11" s="575" t="s">
        <v>541</v>
      </c>
      <c r="D11" s="19"/>
      <c r="E11" s="9" t="s">
        <v>156</v>
      </c>
      <c r="F11" s="9">
        <v>2</v>
      </c>
      <c r="G11" s="575" t="s">
        <v>542</v>
      </c>
      <c r="H11" s="11"/>
    </row>
    <row r="12" spans="1:8" x14ac:dyDescent="0.25">
      <c r="A12" s="8"/>
      <c r="B12" s="9"/>
      <c r="C12" s="575"/>
      <c r="D12" s="19"/>
      <c r="E12" s="9" t="s">
        <v>127</v>
      </c>
      <c r="F12" s="9">
        <v>1</v>
      </c>
      <c r="G12" s="575" t="s">
        <v>543</v>
      </c>
      <c r="H12" s="11"/>
    </row>
    <row r="13" spans="1:8" x14ac:dyDescent="0.25">
      <c r="A13" s="719" t="s">
        <v>16</v>
      </c>
      <c r="B13" s="720"/>
      <c r="C13" s="720"/>
      <c r="D13" s="720"/>
      <c r="E13" s="720"/>
      <c r="F13" s="720"/>
      <c r="G13" s="720"/>
      <c r="H13" s="721"/>
    </row>
    <row r="14" spans="1:8" x14ac:dyDescent="0.25">
      <c r="A14" s="18"/>
      <c r="B14" s="19"/>
      <c r="C14" s="19"/>
      <c r="D14" s="19"/>
      <c r="E14" s="19"/>
      <c r="F14" s="19"/>
      <c r="G14" s="19"/>
      <c r="H14" s="11"/>
    </row>
    <row r="15" spans="1:8" x14ac:dyDescent="0.25">
      <c r="A15" s="20"/>
      <c r="B15" s="19"/>
      <c r="C15" s="19"/>
      <c r="D15" s="19"/>
      <c r="E15" s="19"/>
      <c r="F15" s="19"/>
      <c r="G15" s="19"/>
      <c r="H15" s="11"/>
    </row>
    <row r="16" spans="1:8" ht="15.75" thickBot="1" x14ac:dyDescent="0.3">
      <c r="A16" s="557" t="s">
        <v>17</v>
      </c>
      <c r="B16" s="558"/>
      <c r="C16" s="558"/>
      <c r="D16" s="558"/>
      <c r="E16" s="558"/>
      <c r="F16" s="558"/>
      <c r="G16" s="558"/>
      <c r="H16" s="559"/>
    </row>
    <row r="17" spans="1:8" ht="24" x14ac:dyDescent="0.25">
      <c r="A17" s="576" t="s">
        <v>295</v>
      </c>
      <c r="B17" s="577"/>
      <c r="C17" s="577"/>
      <c r="D17" s="578" t="s">
        <v>531</v>
      </c>
      <c r="E17" s="577"/>
      <c r="F17" s="577"/>
      <c r="G17" s="579" t="s">
        <v>532</v>
      </c>
      <c r="H17" s="580"/>
    </row>
    <row r="18" spans="1:8" x14ac:dyDescent="0.25">
      <c r="A18" s="581" t="s">
        <v>530</v>
      </c>
      <c r="B18" s="565">
        <v>4</v>
      </c>
      <c r="C18" s="565"/>
      <c r="D18" s="564" t="s">
        <v>533</v>
      </c>
      <c r="E18" s="566">
        <f>30/3600/24</f>
        <v>3.4722222222222224E-4</v>
      </c>
      <c r="F18" s="565"/>
      <c r="G18" s="567" t="s">
        <v>534</v>
      </c>
      <c r="H18" s="582">
        <f>30/3600/24</f>
        <v>3.4722222222222224E-4</v>
      </c>
    </row>
    <row r="19" spans="1:8" x14ac:dyDescent="0.25">
      <c r="A19" s="583" t="s">
        <v>134</v>
      </c>
      <c r="B19" s="563">
        <v>0.3</v>
      </c>
      <c r="C19" s="563"/>
      <c r="D19" s="567" t="s">
        <v>66</v>
      </c>
      <c r="E19" s="566">
        <f>E18*B21*B22</f>
        <v>6.9444444444444447E-4</v>
      </c>
      <c r="F19" s="563"/>
      <c r="G19" s="568" t="s">
        <v>66</v>
      </c>
      <c r="H19" s="582">
        <f>H18*B26</f>
        <v>5.2083333333333339E-3</v>
      </c>
    </row>
    <row r="20" spans="1:8" x14ac:dyDescent="0.25">
      <c r="A20" s="584" t="s">
        <v>535</v>
      </c>
      <c r="B20" s="563"/>
      <c r="C20" s="563"/>
      <c r="D20" s="569" t="s">
        <v>536</v>
      </c>
      <c r="E20" s="570">
        <f>E19*H25</f>
        <v>9.2592592592592596E-4</v>
      </c>
      <c r="F20" s="563"/>
      <c r="G20" s="571" t="s">
        <v>536</v>
      </c>
      <c r="H20" s="585">
        <f>H19*H25</f>
        <v>6.9444444444444449E-3</v>
      </c>
    </row>
    <row r="21" spans="1:8" x14ac:dyDescent="0.25">
      <c r="A21" s="586" t="s">
        <v>320</v>
      </c>
      <c r="B21" s="563">
        <f>B19+0.2</f>
        <v>0.5</v>
      </c>
      <c r="C21" s="563"/>
      <c r="D21" s="562" t="s">
        <v>537</v>
      </c>
      <c r="E21" s="563"/>
      <c r="F21" s="563"/>
      <c r="G21" s="563"/>
      <c r="H21" s="587"/>
    </row>
    <row r="22" spans="1:8" x14ac:dyDescent="0.25">
      <c r="A22" s="586" t="s">
        <v>321</v>
      </c>
      <c r="B22" s="563">
        <f>B18</f>
        <v>4</v>
      </c>
      <c r="C22" s="563"/>
      <c r="D22" s="567" t="s">
        <v>538</v>
      </c>
      <c r="E22" s="566">
        <f>6/3600/24</f>
        <v>6.9444444444444444E-5</v>
      </c>
      <c r="F22" s="563"/>
      <c r="G22" s="563"/>
      <c r="H22" s="587"/>
    </row>
    <row r="23" spans="1:8" x14ac:dyDescent="0.25">
      <c r="A23" s="586" t="s">
        <v>134</v>
      </c>
      <c r="B23" s="563">
        <f>0.1</f>
        <v>0.1</v>
      </c>
      <c r="C23" s="563"/>
      <c r="D23" s="567" t="s">
        <v>66</v>
      </c>
      <c r="E23" s="566">
        <f>E22*B21*B22</f>
        <v>1.3888888888888889E-4</v>
      </c>
      <c r="F23" s="563"/>
      <c r="G23" s="563"/>
      <c r="H23" s="587"/>
    </row>
    <row r="24" spans="1:8" x14ac:dyDescent="0.25">
      <c r="A24" s="583" t="s">
        <v>135</v>
      </c>
      <c r="B24" s="562">
        <f>B23*B21*B22</f>
        <v>0.2</v>
      </c>
      <c r="C24" s="563"/>
      <c r="D24" s="573" t="s">
        <v>536</v>
      </c>
      <c r="E24" s="570">
        <f>E23*H25</f>
        <v>1.8518518518518518E-4</v>
      </c>
      <c r="F24" s="563"/>
      <c r="G24" s="563" t="s">
        <v>433</v>
      </c>
      <c r="H24" s="588">
        <f>E28+E24+E20+H20</f>
        <v>8.0555555555555554E-3</v>
      </c>
    </row>
    <row r="25" spans="1:8" x14ac:dyDescent="0.25">
      <c r="A25" s="589" t="s">
        <v>532</v>
      </c>
      <c r="B25" s="574"/>
      <c r="C25" s="574"/>
      <c r="D25" s="562"/>
      <c r="E25" s="563"/>
      <c r="F25" s="574"/>
      <c r="G25" s="565" t="s">
        <v>282</v>
      </c>
      <c r="H25" s="590">
        <f>8/6</f>
        <v>1.3333333333333333</v>
      </c>
    </row>
    <row r="26" spans="1:8" x14ac:dyDescent="0.25">
      <c r="A26" s="583" t="s">
        <v>296</v>
      </c>
      <c r="B26" s="563">
        <v>15</v>
      </c>
      <c r="C26" s="563"/>
      <c r="D26" s="567"/>
      <c r="E26" s="566"/>
      <c r="F26" s="563"/>
      <c r="G26" s="563" t="s">
        <v>536</v>
      </c>
      <c r="H26" s="591">
        <f>H25*H24</f>
        <v>1.074074074074074E-2</v>
      </c>
    </row>
    <row r="27" spans="1:8" x14ac:dyDescent="0.25">
      <c r="A27" s="583" t="s">
        <v>320</v>
      </c>
      <c r="B27" s="563">
        <v>0.31</v>
      </c>
      <c r="C27" s="563"/>
      <c r="D27" s="568"/>
      <c r="E27" s="566"/>
      <c r="F27" s="563"/>
      <c r="G27" s="563" t="s">
        <v>574</v>
      </c>
      <c r="H27" s="587">
        <f>E4/(15/60)</f>
        <v>15.24</v>
      </c>
    </row>
    <row r="28" spans="1:8" x14ac:dyDescent="0.25">
      <c r="A28" s="583" t="s">
        <v>134</v>
      </c>
      <c r="B28" s="563">
        <v>0.2</v>
      </c>
      <c r="C28" s="563"/>
      <c r="D28" s="571"/>
      <c r="E28" s="572"/>
      <c r="F28" s="563"/>
      <c r="G28" s="563"/>
      <c r="H28" s="587"/>
    </row>
    <row r="29" spans="1:8" ht="15.75" thickBot="1" x14ac:dyDescent="0.3">
      <c r="A29" s="592" t="s">
        <v>135</v>
      </c>
      <c r="B29" s="593">
        <f>B26*B27*B28</f>
        <v>0.93000000000000016</v>
      </c>
      <c r="C29" s="594"/>
      <c r="D29" s="594"/>
      <c r="E29" s="594"/>
      <c r="F29" s="594"/>
      <c r="G29" s="594"/>
      <c r="H29" s="595"/>
    </row>
    <row r="30" spans="1:8" x14ac:dyDescent="0.25">
      <c r="A30" s="560" t="s">
        <v>63</v>
      </c>
      <c r="B30" s="561"/>
      <c r="C30" s="561"/>
      <c r="D30" s="561"/>
      <c r="E30" s="561"/>
      <c r="F30" s="722" t="s">
        <v>64</v>
      </c>
      <c r="G30" s="722"/>
      <c r="H30" s="723"/>
    </row>
    <row r="31" spans="1:8" ht="25.5" x14ac:dyDescent="0.25">
      <c r="A31" s="40" t="s">
        <v>11</v>
      </c>
      <c r="B31" s="41" t="s">
        <v>12</v>
      </c>
      <c r="C31" s="41" t="s">
        <v>4</v>
      </c>
      <c r="D31" s="41" t="s">
        <v>65</v>
      </c>
      <c r="E31" s="42" t="s">
        <v>66</v>
      </c>
      <c r="F31" s="43" t="s">
        <v>67</v>
      </c>
      <c r="G31" s="43" t="s">
        <v>68</v>
      </c>
      <c r="H31" s="44" t="s">
        <v>69</v>
      </c>
    </row>
    <row r="32" spans="1:8" x14ac:dyDescent="0.25">
      <c r="A32" s="45"/>
      <c r="B32" s="9"/>
      <c r="C32" s="46"/>
      <c r="D32" s="9"/>
      <c r="E32" s="47"/>
      <c r="F32" s="29"/>
      <c r="G32" s="28"/>
      <c r="H32" s="48"/>
    </row>
    <row r="33" spans="1:8" ht="15.75" thickBot="1" x14ac:dyDescent="0.3">
      <c r="A33" s="49"/>
      <c r="B33" s="50"/>
      <c r="C33" s="51"/>
      <c r="D33" s="50" t="str">
        <f>IF(A33="","",VLOOKUP(A33,$O$3:$P$13,2,FALSE))</f>
        <v/>
      </c>
      <c r="E33" s="52" t="str">
        <f>IF(A33="","",B33*D33)</f>
        <v/>
      </c>
      <c r="F33" s="53"/>
      <c r="G33" s="53"/>
      <c r="H33" s="54"/>
    </row>
  </sheetData>
  <mergeCells count="16">
    <mergeCell ref="F30:H30"/>
    <mergeCell ref="C9:D9"/>
    <mergeCell ref="G9:H9"/>
    <mergeCell ref="A13:H13"/>
    <mergeCell ref="A1:C1"/>
    <mergeCell ref="D1:H1"/>
    <mergeCell ref="A2:C2"/>
    <mergeCell ref="D2:H2"/>
    <mergeCell ref="A3:A4"/>
    <mergeCell ref="B3:D4"/>
    <mergeCell ref="A5:H5"/>
    <mergeCell ref="A6:H6"/>
    <mergeCell ref="A7:D7"/>
    <mergeCell ref="E7:H7"/>
    <mergeCell ref="C8:D8"/>
    <mergeCell ref="G8:H8"/>
  </mergeCells>
  <pageMargins left="0.7" right="0.7" top="0.75" bottom="0.75" header="0.3" footer="0.3"/>
  <pageSetup paperSize="9" scale="87"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pageSetUpPr fitToPage="1"/>
  </sheetPr>
  <dimension ref="A1:H32"/>
  <sheetViews>
    <sheetView zoomScale="40" zoomScaleNormal="40" workbookViewId="0">
      <selection activeCell="G4" sqref="G4"/>
    </sheetView>
  </sheetViews>
  <sheetFormatPr baseColWidth="10" defaultRowHeight="15" x14ac:dyDescent="0.25"/>
  <cols>
    <col min="1" max="1" width="18.85546875" customWidth="1"/>
  </cols>
  <sheetData>
    <row r="1" spans="1:8" ht="15.75" x14ac:dyDescent="0.25">
      <c r="A1" s="646" t="s">
        <v>0</v>
      </c>
      <c r="B1" s="647"/>
      <c r="C1" s="648"/>
      <c r="D1" s="646" t="s">
        <v>1</v>
      </c>
      <c r="E1" s="647"/>
      <c r="F1" s="647"/>
      <c r="G1" s="647"/>
      <c r="H1" s="649"/>
    </row>
    <row r="2" spans="1:8" ht="15.75" thickBot="1" x14ac:dyDescent="0.3">
      <c r="A2" s="650" t="s">
        <v>70</v>
      </c>
      <c r="B2" s="651"/>
      <c r="C2" s="652"/>
      <c r="D2" s="653" t="s">
        <v>116</v>
      </c>
      <c r="E2" s="654"/>
      <c r="F2" s="654"/>
      <c r="G2" s="654"/>
      <c r="H2" s="655"/>
    </row>
    <row r="3" spans="1:8" x14ac:dyDescent="0.25">
      <c r="A3" s="656" t="s">
        <v>2</v>
      </c>
      <c r="B3" s="658"/>
      <c r="C3" s="659"/>
      <c r="D3" s="660"/>
      <c r="E3" s="1" t="s">
        <v>3</v>
      </c>
      <c r="F3" s="1" t="s">
        <v>4</v>
      </c>
      <c r="G3" s="1" t="s">
        <v>5</v>
      </c>
      <c r="H3" s="2" t="s">
        <v>6</v>
      </c>
    </row>
    <row r="4" spans="1:8" ht="16.5" thickBot="1" x14ac:dyDescent="0.3">
      <c r="A4" s="657"/>
      <c r="B4" s="661"/>
      <c r="C4" s="662"/>
      <c r="D4" s="663"/>
      <c r="E4" s="3">
        <v>54.54</v>
      </c>
      <c r="F4" s="85" t="s">
        <v>121</v>
      </c>
      <c r="G4" s="3" t="s">
        <v>626</v>
      </c>
      <c r="H4" s="729">
        <f>B27</f>
        <v>7.6388888888888881E-2</v>
      </c>
    </row>
    <row r="5" spans="1:8" x14ac:dyDescent="0.25">
      <c r="A5" s="664" t="s">
        <v>8</v>
      </c>
      <c r="B5" s="665"/>
      <c r="C5" s="665"/>
      <c r="D5" s="665"/>
      <c r="E5" s="665"/>
      <c r="F5" s="665"/>
      <c r="G5" s="665"/>
      <c r="H5" s="666"/>
    </row>
    <row r="6" spans="1:8" ht="164.25" customHeight="1" x14ac:dyDescent="0.25">
      <c r="A6" s="667" t="s">
        <v>117</v>
      </c>
      <c r="B6" s="668"/>
      <c r="C6" s="668"/>
      <c r="D6" s="668"/>
      <c r="E6" s="668"/>
      <c r="F6" s="668"/>
      <c r="G6" s="668"/>
      <c r="H6" s="669"/>
    </row>
    <row r="7" spans="1:8" x14ac:dyDescent="0.25">
      <c r="A7" s="670" t="s">
        <v>9</v>
      </c>
      <c r="B7" s="671"/>
      <c r="C7" s="671"/>
      <c r="D7" s="671"/>
      <c r="E7" s="671" t="s">
        <v>10</v>
      </c>
      <c r="F7" s="671"/>
      <c r="G7" s="671"/>
      <c r="H7" s="672"/>
    </row>
    <row r="8" spans="1:8" ht="15.75" x14ac:dyDescent="0.25">
      <c r="A8" s="5" t="s">
        <v>11</v>
      </c>
      <c r="B8" s="6" t="s">
        <v>12</v>
      </c>
      <c r="C8" s="673" t="s">
        <v>13</v>
      </c>
      <c r="D8" s="673"/>
      <c r="E8" s="7" t="s">
        <v>11</v>
      </c>
      <c r="F8" s="6" t="s">
        <v>3</v>
      </c>
      <c r="G8" s="673" t="s">
        <v>13</v>
      </c>
      <c r="H8" s="674"/>
    </row>
    <row r="9" spans="1:8" x14ac:dyDescent="0.25">
      <c r="A9" s="8"/>
      <c r="B9" s="9"/>
      <c r="C9" s="675"/>
      <c r="D9" s="676"/>
      <c r="E9" s="9" t="s">
        <v>127</v>
      </c>
      <c r="F9" s="9">
        <v>2</v>
      </c>
      <c r="G9" s="675"/>
      <c r="H9" s="681"/>
    </row>
    <row r="10" spans="1:8" ht="25.5" x14ac:dyDescent="0.25">
      <c r="A10" s="8"/>
      <c r="B10" s="9"/>
      <c r="C10" s="677"/>
      <c r="D10" s="678"/>
      <c r="E10" s="10" t="s">
        <v>261</v>
      </c>
      <c r="F10" s="9">
        <v>1</v>
      </c>
      <c r="G10" s="682"/>
      <c r="H10" s="683"/>
    </row>
    <row r="11" spans="1:8" x14ac:dyDescent="0.25">
      <c r="A11" s="12" t="s">
        <v>16</v>
      </c>
      <c r="B11" s="13"/>
      <c r="C11" s="13"/>
      <c r="D11" s="13"/>
      <c r="E11" s="13"/>
      <c r="F11" s="13"/>
      <c r="G11" s="13"/>
      <c r="H11" s="14"/>
    </row>
    <row r="12" spans="1:8" x14ac:dyDescent="0.25">
      <c r="A12" s="15"/>
      <c r="B12" s="16"/>
      <c r="C12" s="16"/>
      <c r="D12" s="16"/>
      <c r="E12" s="16"/>
      <c r="F12" s="16"/>
      <c r="G12" s="16"/>
      <c r="H12" s="17"/>
    </row>
    <row r="13" spans="1:8" x14ac:dyDescent="0.25">
      <c r="A13" s="18"/>
      <c r="B13" s="19"/>
      <c r="C13" s="19"/>
      <c r="D13" s="19"/>
      <c r="E13" s="19"/>
      <c r="F13" s="19"/>
      <c r="G13" s="19"/>
      <c r="H13" s="11"/>
    </row>
    <row r="14" spans="1:8" x14ac:dyDescent="0.25">
      <c r="A14" s="20"/>
      <c r="B14" s="19"/>
      <c r="C14" s="19"/>
      <c r="D14" s="19"/>
      <c r="E14" s="19"/>
      <c r="F14" s="19"/>
      <c r="G14" s="19"/>
      <c r="H14" s="11"/>
    </row>
    <row r="15" spans="1:8" x14ac:dyDescent="0.25">
      <c r="A15" s="12" t="s">
        <v>17</v>
      </c>
      <c r="B15" s="21"/>
      <c r="C15" s="21"/>
      <c r="D15" s="21"/>
      <c r="E15" s="21"/>
      <c r="F15" s="21"/>
      <c r="G15" s="21"/>
      <c r="H15" s="22"/>
    </row>
    <row r="16" spans="1:8" x14ac:dyDescent="0.25">
      <c r="A16" s="23" t="s">
        <v>18</v>
      </c>
      <c r="B16" s="24" t="s">
        <v>3</v>
      </c>
      <c r="C16" s="16"/>
      <c r="D16" s="23" t="s">
        <v>18</v>
      </c>
      <c r="E16" s="24" t="s">
        <v>3</v>
      </c>
      <c r="F16" s="16"/>
      <c r="G16" s="16"/>
      <c r="H16" s="17"/>
    </row>
    <row r="17" spans="1:8" x14ac:dyDescent="0.25">
      <c r="A17" s="596" t="s">
        <v>295</v>
      </c>
      <c r="B17" s="29"/>
      <c r="C17" s="57"/>
      <c r="D17" s="58"/>
      <c r="E17" s="56"/>
      <c r="F17" s="57"/>
      <c r="G17" s="59"/>
      <c r="H17" s="60"/>
    </row>
    <row r="18" spans="1:8" x14ac:dyDescent="0.25">
      <c r="A18" s="29" t="s">
        <v>296</v>
      </c>
      <c r="B18" s="29">
        <v>55</v>
      </c>
      <c r="C18" s="62"/>
      <c r="D18" s="63"/>
      <c r="E18" s="56"/>
      <c r="F18" s="62"/>
      <c r="G18" s="62"/>
      <c r="H18" s="64"/>
    </row>
    <row r="19" spans="1:8" x14ac:dyDescent="0.25">
      <c r="A19" s="596" t="s">
        <v>544</v>
      </c>
      <c r="B19" s="29"/>
      <c r="C19" s="62"/>
      <c r="D19" s="63"/>
      <c r="E19" s="56"/>
      <c r="F19" s="62"/>
      <c r="G19" s="62"/>
      <c r="H19" s="64"/>
    </row>
    <row r="20" spans="1:8" x14ac:dyDescent="0.25">
      <c r="A20" s="29" t="s">
        <v>547</v>
      </c>
      <c r="B20" s="29">
        <v>60</v>
      </c>
      <c r="C20" s="62"/>
      <c r="D20" s="63"/>
      <c r="E20" s="56"/>
      <c r="F20" s="62"/>
      <c r="G20" s="62"/>
      <c r="H20" s="64"/>
    </row>
    <row r="21" spans="1:8" x14ac:dyDescent="0.25">
      <c r="A21" s="69" t="s">
        <v>484</v>
      </c>
      <c r="B21" s="70">
        <f>B18*B20</f>
        <v>3300</v>
      </c>
      <c r="C21" s="62"/>
      <c r="D21" s="65"/>
      <c r="E21" s="56"/>
      <c r="F21" s="62"/>
      <c r="G21" s="62"/>
      <c r="H21" s="64"/>
    </row>
    <row r="22" spans="1:8" x14ac:dyDescent="0.25">
      <c r="A22" s="596" t="s">
        <v>546</v>
      </c>
      <c r="B22" s="29"/>
      <c r="C22" s="62"/>
      <c r="D22" s="66"/>
      <c r="E22" s="56"/>
      <c r="F22" s="62"/>
      <c r="G22" s="67"/>
      <c r="H22" s="68"/>
    </row>
    <row r="23" spans="1:8" x14ac:dyDescent="0.25">
      <c r="A23" s="29" t="s">
        <v>545</v>
      </c>
      <c r="B23" s="29">
        <v>60</v>
      </c>
      <c r="C23" s="62"/>
      <c r="D23" s="63"/>
      <c r="E23" s="56"/>
      <c r="F23" s="62"/>
      <c r="G23" s="71"/>
      <c r="H23" s="72"/>
    </row>
    <row r="24" spans="1:8" x14ac:dyDescent="0.25">
      <c r="A24" s="63" t="s">
        <v>484</v>
      </c>
      <c r="B24" s="70">
        <f>B18*B23</f>
        <v>3300</v>
      </c>
      <c r="C24" s="62"/>
      <c r="D24" s="66"/>
      <c r="E24" s="56"/>
      <c r="F24" s="62"/>
      <c r="G24" s="71"/>
      <c r="H24" s="73"/>
    </row>
    <row r="25" spans="1:8" x14ac:dyDescent="0.25">
      <c r="A25" s="63"/>
      <c r="B25" s="56"/>
      <c r="C25" s="62"/>
      <c r="D25" s="65"/>
      <c r="E25" s="74"/>
      <c r="F25" s="62"/>
      <c r="G25" s="75"/>
      <c r="H25" s="76"/>
    </row>
    <row r="26" spans="1:8" x14ac:dyDescent="0.25">
      <c r="A26" s="63" t="s">
        <v>548</v>
      </c>
      <c r="B26" s="56">
        <f>B24+B21</f>
        <v>6600</v>
      </c>
      <c r="C26" s="62"/>
      <c r="D26" s="65"/>
      <c r="E26" s="74"/>
      <c r="F26" s="62"/>
      <c r="G26" s="62"/>
      <c r="H26" s="64"/>
    </row>
    <row r="27" spans="1:8" x14ac:dyDescent="0.25">
      <c r="A27" s="63"/>
      <c r="B27" s="597">
        <f>B26/3600/24</f>
        <v>7.6388888888888881E-2</v>
      </c>
      <c r="C27" s="62"/>
      <c r="D27" s="65"/>
      <c r="E27" s="74"/>
      <c r="F27" s="62"/>
      <c r="G27" s="62"/>
      <c r="H27" s="64"/>
    </row>
    <row r="28" spans="1:8" x14ac:dyDescent="0.25">
      <c r="A28" s="63" t="s">
        <v>574</v>
      </c>
      <c r="B28" s="56">
        <f>E4/(1+50/60)</f>
        <v>29.749090909090906</v>
      </c>
      <c r="C28" s="62"/>
      <c r="D28" s="63"/>
      <c r="E28" s="56"/>
      <c r="F28" s="62"/>
      <c r="G28" s="62"/>
      <c r="H28" s="64"/>
    </row>
    <row r="29" spans="1:8" x14ac:dyDescent="0.25">
      <c r="A29" s="38" t="s">
        <v>63</v>
      </c>
      <c r="B29" s="39"/>
      <c r="C29" s="39"/>
      <c r="D29" s="39"/>
      <c r="E29" s="39"/>
      <c r="F29" s="679" t="s">
        <v>64</v>
      </c>
      <c r="G29" s="679"/>
      <c r="H29" s="680"/>
    </row>
    <row r="30" spans="1:8" ht="25.5" x14ac:dyDescent="0.25">
      <c r="A30" s="40" t="s">
        <v>11</v>
      </c>
      <c r="B30" s="41" t="s">
        <v>12</v>
      </c>
      <c r="C30" s="41" t="s">
        <v>4</v>
      </c>
      <c r="D30" s="41" t="s">
        <v>65</v>
      </c>
      <c r="E30" s="42" t="s">
        <v>66</v>
      </c>
      <c r="F30" s="43" t="s">
        <v>67</v>
      </c>
      <c r="G30" s="43" t="s">
        <v>68</v>
      </c>
      <c r="H30" s="44" t="s">
        <v>69</v>
      </c>
    </row>
    <row r="31" spans="1:8" x14ac:dyDescent="0.25">
      <c r="A31" s="45"/>
      <c r="B31" s="9"/>
      <c r="C31" s="46"/>
      <c r="D31" s="9"/>
      <c r="E31" s="47"/>
      <c r="F31" s="29"/>
      <c r="G31" s="28"/>
      <c r="H31" s="48"/>
    </row>
    <row r="32" spans="1:8" ht="15.75" thickBot="1" x14ac:dyDescent="0.3">
      <c r="A32" s="49"/>
      <c r="B32" s="50"/>
      <c r="C32" s="51"/>
      <c r="D32" s="50" t="str">
        <f>IF(A32="","",VLOOKUP(A32,$O$3:$P$13,2,FALSE))</f>
        <v/>
      </c>
      <c r="E32" s="52" t="str">
        <f>IF(A32="","",B32*D32)</f>
        <v/>
      </c>
      <c r="F32" s="53"/>
      <c r="G32" s="53"/>
      <c r="H32" s="54"/>
    </row>
  </sheetData>
  <mergeCells count="17">
    <mergeCell ref="C9:D9"/>
    <mergeCell ref="G9:H9"/>
    <mergeCell ref="C10:D10"/>
    <mergeCell ref="G10:H10"/>
    <mergeCell ref="F29:H29"/>
    <mergeCell ref="A5:H5"/>
    <mergeCell ref="A6:H6"/>
    <mergeCell ref="A7:D7"/>
    <mergeCell ref="E7:H7"/>
    <mergeCell ref="C8:D8"/>
    <mergeCell ref="G8:H8"/>
    <mergeCell ref="A1:C1"/>
    <mergeCell ref="D1:H1"/>
    <mergeCell ref="A2:C2"/>
    <mergeCell ref="D2:H2"/>
    <mergeCell ref="A3:A4"/>
    <mergeCell ref="B3:D4"/>
  </mergeCells>
  <pageMargins left="0.7" right="0.7" top="0.75" bottom="0.75" header="0.3" footer="0.3"/>
  <pageSetup paperSize="9" scale="88" orientation="portrait"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3"/>
  <sheetViews>
    <sheetView tabSelected="1" zoomScale="70" zoomScaleNormal="70" workbookViewId="0">
      <selection activeCell="G4" sqref="G4"/>
    </sheetView>
  </sheetViews>
  <sheetFormatPr baseColWidth="10" defaultRowHeight="15" x14ac:dyDescent="0.25"/>
  <cols>
    <col min="1" max="1" width="33.140625" style="630" customWidth="1"/>
    <col min="2" max="16384" width="11.42578125" style="223"/>
  </cols>
  <sheetData>
    <row r="1" spans="1:12" ht="15.75" thickBot="1" x14ac:dyDescent="0.3"/>
    <row r="2" spans="1:12" ht="15.75" thickBot="1" x14ac:dyDescent="0.3">
      <c r="G2" s="627" t="s">
        <v>565</v>
      </c>
      <c r="H2" s="628" t="s">
        <v>566</v>
      </c>
      <c r="I2" s="628" t="s">
        <v>567</v>
      </c>
      <c r="J2" s="628" t="s">
        <v>568</v>
      </c>
      <c r="K2" s="628" t="s">
        <v>569</v>
      </c>
      <c r="L2" s="629" t="s">
        <v>570</v>
      </c>
    </row>
    <row r="3" spans="1:12" ht="19.5" thickBot="1" x14ac:dyDescent="0.3">
      <c r="A3" s="724" t="s">
        <v>550</v>
      </c>
      <c r="B3" s="724"/>
      <c r="C3" s="724"/>
      <c r="D3" s="724"/>
      <c r="E3" s="724"/>
      <c r="F3" s="725"/>
      <c r="G3" s="764">
        <v>1</v>
      </c>
      <c r="H3" s="611">
        <v>2</v>
      </c>
      <c r="I3" s="611">
        <v>3</v>
      </c>
      <c r="J3" s="611">
        <v>4</v>
      </c>
      <c r="K3" s="611">
        <v>5</v>
      </c>
      <c r="L3" s="612">
        <v>6</v>
      </c>
    </row>
    <row r="4" spans="1:12" ht="22.5" x14ac:dyDescent="0.25">
      <c r="A4" s="632" t="s">
        <v>571</v>
      </c>
      <c r="B4" s="620" t="s">
        <v>459</v>
      </c>
      <c r="C4" s="620">
        <v>8</v>
      </c>
      <c r="D4" s="621">
        <f>'5.arrchage arbre'!$B$26</f>
        <v>7.2222222222222229E-2</v>
      </c>
      <c r="E4" s="621">
        <f>2/24</f>
        <v>8.3333333333333329E-2</v>
      </c>
      <c r="F4" s="622">
        <f t="shared" ref="F4" si="0">E4*24/8</f>
        <v>0.25</v>
      </c>
      <c r="G4" s="765">
        <f>E4</f>
        <v>8.3333333333333329E-2</v>
      </c>
      <c r="H4" s="613"/>
      <c r="I4" s="613"/>
      <c r="J4" s="613"/>
      <c r="K4" s="613"/>
      <c r="L4" s="614"/>
    </row>
    <row r="5" spans="1:12" ht="33.75" x14ac:dyDescent="0.25">
      <c r="A5" s="633" t="s">
        <v>551</v>
      </c>
      <c r="B5" s="606" t="s">
        <v>552</v>
      </c>
      <c r="C5" s="606">
        <v>223.8</v>
      </c>
      <c r="D5" s="607">
        <f>'6.démo découpe chaussée'!$B$37</f>
        <v>2.578765432098765E-2</v>
      </c>
      <c r="E5" s="607">
        <f>1/24</f>
        <v>4.1666666666666664E-2</v>
      </c>
      <c r="F5" s="610">
        <f t="shared" ref="F5:F13" si="1">E5*24/8</f>
        <v>0.125</v>
      </c>
      <c r="G5" s="766">
        <f>E5/2</f>
        <v>2.0833333333333332E-2</v>
      </c>
      <c r="H5" s="619">
        <f>G5</f>
        <v>2.0833333333333332E-2</v>
      </c>
      <c r="I5" s="616"/>
      <c r="J5" s="616"/>
      <c r="K5" s="616"/>
      <c r="L5" s="219"/>
    </row>
    <row r="6" spans="1:12" ht="22.5" x14ac:dyDescent="0.25">
      <c r="A6" s="633" t="s">
        <v>75</v>
      </c>
      <c r="B6" s="606" t="s">
        <v>553</v>
      </c>
      <c r="C6" s="606">
        <v>223.8</v>
      </c>
      <c r="D6" s="607">
        <f>'7.sciage de chaussé'!$B$19</f>
        <v>0.20833333333333334</v>
      </c>
      <c r="E6" s="607">
        <f>D6</f>
        <v>0.20833333333333334</v>
      </c>
      <c r="F6" s="610">
        <f t="shared" si="1"/>
        <v>0.625</v>
      </c>
      <c r="G6" s="766">
        <f>E6/2</f>
        <v>0.10416666666666667</v>
      </c>
      <c r="H6" s="619">
        <f>E6/2</f>
        <v>0.10416666666666667</v>
      </c>
      <c r="I6" s="616"/>
      <c r="J6" s="616"/>
      <c r="K6" s="616"/>
      <c r="L6" s="219"/>
    </row>
    <row r="7" spans="1:12" x14ac:dyDescent="0.25">
      <c r="A7" s="633" t="s">
        <v>78</v>
      </c>
      <c r="B7" s="606" t="s">
        <v>552</v>
      </c>
      <c r="C7" s="606">
        <v>263.52</v>
      </c>
      <c r="D7" s="607">
        <f>'8.rabottage'!$E$19</f>
        <v>2.1772222222222221E-2</v>
      </c>
      <c r="E7" s="607">
        <f>1/24</f>
        <v>4.1666666666666664E-2</v>
      </c>
      <c r="F7" s="610">
        <f t="shared" si="1"/>
        <v>0.125</v>
      </c>
      <c r="G7" s="767"/>
      <c r="H7" s="616"/>
      <c r="I7" s="616"/>
      <c r="J7" s="619">
        <f>E7</f>
        <v>4.1666666666666664E-2</v>
      </c>
      <c r="K7" s="616"/>
      <c r="L7" s="219"/>
    </row>
    <row r="8" spans="1:12" x14ac:dyDescent="0.25">
      <c r="A8" s="633" t="s">
        <v>554</v>
      </c>
      <c r="B8" s="606" t="s">
        <v>552</v>
      </c>
      <c r="C8" s="606">
        <v>303.91000000000003</v>
      </c>
      <c r="D8" s="607">
        <f>'9.démolition trottoir illot'!$B$37</f>
        <v>4.3773045267489707E-2</v>
      </c>
      <c r="E8" s="607">
        <f>1.5/24</f>
        <v>6.25E-2</v>
      </c>
      <c r="F8" s="610">
        <f t="shared" si="1"/>
        <v>0.1875</v>
      </c>
      <c r="G8" s="766">
        <f>E8/2</f>
        <v>3.125E-2</v>
      </c>
      <c r="H8" s="619">
        <f>G8</f>
        <v>3.125E-2</v>
      </c>
      <c r="I8" s="616"/>
      <c r="J8" s="616"/>
      <c r="K8" s="616"/>
      <c r="L8" s="219"/>
    </row>
    <row r="9" spans="1:12" x14ac:dyDescent="0.25">
      <c r="A9" s="633" t="s">
        <v>81</v>
      </c>
      <c r="B9" s="606" t="s">
        <v>552</v>
      </c>
      <c r="C9" s="606">
        <v>3021.94</v>
      </c>
      <c r="D9" s="607">
        <f>'10.décapage terre végé'!$B$37</f>
        <v>0.53580246913580243</v>
      </c>
      <c r="E9" s="607">
        <f>13/24</f>
        <v>0.54166666666666663</v>
      </c>
      <c r="F9" s="610">
        <f t="shared" si="1"/>
        <v>1.625</v>
      </c>
      <c r="G9" s="766">
        <f>E9/2</f>
        <v>0.27083333333333331</v>
      </c>
      <c r="H9" s="619">
        <f>G9</f>
        <v>0.27083333333333331</v>
      </c>
      <c r="I9" s="616"/>
      <c r="J9" s="616"/>
      <c r="K9" s="616"/>
      <c r="L9" s="219"/>
    </row>
    <row r="10" spans="1:12" x14ac:dyDescent="0.25">
      <c r="A10" s="633" t="s">
        <v>555</v>
      </c>
      <c r="B10" s="606" t="s">
        <v>556</v>
      </c>
      <c r="C10" s="606">
        <v>1500</v>
      </c>
      <c r="D10" s="607">
        <f>'11.remblai d''apport'!$H$42</f>
        <v>3.5808447651463196</v>
      </c>
      <c r="E10" s="607">
        <f>86/24</f>
        <v>3.5833333333333335</v>
      </c>
      <c r="F10" s="610">
        <f t="shared" si="1"/>
        <v>10.75</v>
      </c>
      <c r="G10" s="766">
        <f>E10/4</f>
        <v>0.89583333333333337</v>
      </c>
      <c r="H10" s="619">
        <v>0.89583333333333337</v>
      </c>
      <c r="I10" s="763">
        <f>H10</f>
        <v>0.89583333333333337</v>
      </c>
      <c r="J10" s="619">
        <f>I10</f>
        <v>0.89583333333333337</v>
      </c>
      <c r="K10" s="616"/>
      <c r="L10" s="219"/>
    </row>
    <row r="11" spans="1:12" ht="22.5" x14ac:dyDescent="0.25">
      <c r="A11" s="633" t="s">
        <v>84</v>
      </c>
      <c r="B11" s="606" t="s">
        <v>119</v>
      </c>
      <c r="C11" s="606">
        <v>306.15300000000002</v>
      </c>
      <c r="D11" s="607">
        <f>'12.couche de reprofilage'!$H$36</f>
        <v>0.51825430555555552</v>
      </c>
      <c r="E11" s="607">
        <f>13/24</f>
        <v>0.54166666666666663</v>
      </c>
      <c r="F11" s="610">
        <f t="shared" si="1"/>
        <v>1.625</v>
      </c>
      <c r="G11" s="767"/>
      <c r="H11" s="616"/>
      <c r="I11" s="616"/>
      <c r="J11" s="616"/>
      <c r="K11" s="619">
        <f>E11</f>
        <v>0.54166666666666663</v>
      </c>
      <c r="L11" s="219"/>
    </row>
    <row r="12" spans="1:12" ht="22.5" x14ac:dyDescent="0.25">
      <c r="A12" s="633" t="s">
        <v>86</v>
      </c>
      <c r="B12" s="606" t="s">
        <v>119</v>
      </c>
      <c r="C12" s="606">
        <v>1836.9179999999999</v>
      </c>
      <c r="D12" s="607">
        <f>'13.couche de fondation'!$H$38</f>
        <v>3.1965086111111112</v>
      </c>
      <c r="E12" s="607">
        <f>77/24</f>
        <v>3.2083333333333335</v>
      </c>
      <c r="F12" s="610">
        <f t="shared" si="1"/>
        <v>9.625</v>
      </c>
      <c r="G12" s="767"/>
      <c r="H12" s="616"/>
      <c r="I12" s="616"/>
      <c r="J12" s="616"/>
      <c r="K12" s="619">
        <f>E12</f>
        <v>3.2083333333333335</v>
      </c>
      <c r="L12" s="219"/>
    </row>
    <row r="13" spans="1:12" ht="22.5" x14ac:dyDescent="0.25">
      <c r="A13" s="633" t="s">
        <v>88</v>
      </c>
      <c r="B13" s="606" t="s">
        <v>556</v>
      </c>
      <c r="C13" s="606">
        <v>337.39499999999998</v>
      </c>
      <c r="D13" s="608">
        <f>'14.couche de réglage'!$H$38</f>
        <v>1.2382543055555557</v>
      </c>
      <c r="E13" s="607">
        <f>30/24</f>
        <v>1.25</v>
      </c>
      <c r="F13" s="610">
        <f t="shared" si="1"/>
        <v>3.75</v>
      </c>
      <c r="G13" s="767"/>
      <c r="H13" s="616"/>
      <c r="I13" s="616"/>
      <c r="J13" s="616"/>
      <c r="K13" s="619">
        <f>E13</f>
        <v>1.25</v>
      </c>
      <c r="L13" s="219"/>
    </row>
    <row r="14" spans="1:12" ht="22.5" x14ac:dyDescent="0.25">
      <c r="A14" s="633" t="s">
        <v>557</v>
      </c>
      <c r="B14" s="606" t="s">
        <v>119</v>
      </c>
      <c r="C14" s="606">
        <v>525</v>
      </c>
      <c r="D14" s="607">
        <f>'15.couche de roulement'!$H$59</f>
        <v>1.0846435185185186</v>
      </c>
      <c r="E14" s="607">
        <f>26.5/24</f>
        <v>1.1041666666666667</v>
      </c>
      <c r="F14" s="610">
        <f>E14*24/8</f>
        <v>3.3125</v>
      </c>
      <c r="G14" s="767"/>
      <c r="H14" s="616"/>
      <c r="I14" s="616"/>
      <c r="J14" s="616"/>
      <c r="K14" s="616"/>
      <c r="L14" s="635">
        <f>E14</f>
        <v>1.1041666666666667</v>
      </c>
    </row>
    <row r="15" spans="1:12" x14ac:dyDescent="0.25">
      <c r="A15" s="633" t="s">
        <v>92</v>
      </c>
      <c r="B15" s="606" t="s">
        <v>556</v>
      </c>
      <c r="C15" s="606">
        <v>277.41300000000001</v>
      </c>
      <c r="D15" s="607">
        <f>'16.reprise terre végé'!$E$17</f>
        <v>0.1598264197530864</v>
      </c>
      <c r="E15" s="607">
        <f>4/24</f>
        <v>0.16666666666666666</v>
      </c>
      <c r="F15" s="610">
        <f t="shared" ref="F15:F27" si="2">E15*24/8</f>
        <v>0.5</v>
      </c>
      <c r="G15" s="766">
        <f>E15/3</f>
        <v>5.5555555555555552E-2</v>
      </c>
      <c r="H15" s="619">
        <v>5.5555555555555552E-2</v>
      </c>
      <c r="I15" s="619">
        <v>5.5555555555555552E-2</v>
      </c>
      <c r="J15" s="616"/>
      <c r="K15" s="616"/>
      <c r="L15" s="219"/>
    </row>
    <row r="16" spans="1:12" x14ac:dyDescent="0.25">
      <c r="A16" s="633" t="s">
        <v>558</v>
      </c>
      <c r="B16" s="606" t="s">
        <v>121</v>
      </c>
      <c r="C16" s="606">
        <v>180.7</v>
      </c>
      <c r="D16" s="607">
        <f>'17.bordure d''ilot type 1'!$H$33</f>
        <v>0.50970555555555552</v>
      </c>
      <c r="E16" s="607">
        <f>12.5/24</f>
        <v>0.52083333333333337</v>
      </c>
      <c r="F16" s="610">
        <f t="shared" si="2"/>
        <v>1.5625</v>
      </c>
      <c r="G16" s="766">
        <f>E16/2</f>
        <v>0.26041666666666669</v>
      </c>
      <c r="H16" s="619">
        <f>G16</f>
        <v>0.26041666666666669</v>
      </c>
      <c r="I16" s="616"/>
      <c r="J16" s="616"/>
      <c r="K16" s="616"/>
      <c r="L16" s="219"/>
    </row>
    <row r="17" spans="1:14" x14ac:dyDescent="0.25">
      <c r="A17" s="633" t="s">
        <v>559</v>
      </c>
      <c r="B17" s="606" t="s">
        <v>121</v>
      </c>
      <c r="C17" s="606">
        <v>70</v>
      </c>
      <c r="D17" s="607">
        <f>'18.bordure d''ilot type 2'!$H$33</f>
        <v>0.22111111111111115</v>
      </c>
      <c r="E17" s="607">
        <f>5.5/24</f>
        <v>0.22916666666666666</v>
      </c>
      <c r="F17" s="610">
        <f t="shared" si="2"/>
        <v>0.6875</v>
      </c>
      <c r="G17" s="766">
        <f>E17/2</f>
        <v>0.11458333333333333</v>
      </c>
      <c r="H17" s="619">
        <f>G17</f>
        <v>0.11458333333333333</v>
      </c>
      <c r="I17" s="616"/>
      <c r="J17" s="616"/>
      <c r="K17" s="616"/>
      <c r="L17" s="219"/>
    </row>
    <row r="18" spans="1:14" x14ac:dyDescent="0.25">
      <c r="A18" s="633" t="s">
        <v>98</v>
      </c>
      <c r="B18" s="606" t="s">
        <v>553</v>
      </c>
      <c r="C18" s="606">
        <v>8.36</v>
      </c>
      <c r="D18" s="607">
        <f>'19.CC1'!$H$33</f>
        <v>3.5308888888888883E-2</v>
      </c>
      <c r="E18" s="607">
        <f>1/24</f>
        <v>4.1666666666666664E-2</v>
      </c>
      <c r="F18" s="610">
        <f t="shared" si="2"/>
        <v>0.125</v>
      </c>
      <c r="G18" s="767"/>
      <c r="H18" s="619">
        <f>E18</f>
        <v>4.1666666666666664E-2</v>
      </c>
      <c r="I18" s="616"/>
      <c r="J18" s="616"/>
      <c r="K18" s="616"/>
      <c r="L18" s="219"/>
    </row>
    <row r="19" spans="1:14" ht="22.5" x14ac:dyDescent="0.25">
      <c r="A19" s="633" t="s">
        <v>560</v>
      </c>
      <c r="B19" s="606" t="s">
        <v>552</v>
      </c>
      <c r="C19" s="606">
        <v>90.66</v>
      </c>
      <c r="D19" s="607">
        <f>'20.trottoir'!$H$21</f>
        <v>5.308333333333333E-2</v>
      </c>
      <c r="E19" s="607">
        <f>1.5/24</f>
        <v>6.25E-2</v>
      </c>
      <c r="F19" s="610">
        <f t="shared" si="2"/>
        <v>0.1875</v>
      </c>
      <c r="G19" s="767"/>
      <c r="H19" s="619">
        <f>E19</f>
        <v>6.25E-2</v>
      </c>
      <c r="I19" s="616"/>
      <c r="J19" s="616"/>
      <c r="K19" s="616"/>
      <c r="L19" s="219"/>
    </row>
    <row r="20" spans="1:14" x14ac:dyDescent="0.25">
      <c r="A20" s="633" t="s">
        <v>561</v>
      </c>
      <c r="B20" s="606" t="s">
        <v>552</v>
      </c>
      <c r="C20" s="606">
        <v>145.80000000000001</v>
      </c>
      <c r="D20" s="607">
        <f>'21.remplissage ilot béton'!$H$21</f>
        <v>7.6222222222222233E-2</v>
      </c>
      <c r="E20" s="607">
        <f>2/24</f>
        <v>8.3333333333333329E-2</v>
      </c>
      <c r="F20" s="610">
        <f t="shared" si="2"/>
        <v>0.25</v>
      </c>
      <c r="G20" s="766">
        <f>E20/2</f>
        <v>4.1666666666666664E-2</v>
      </c>
      <c r="H20" s="619">
        <f>G20</f>
        <v>4.1666666666666664E-2</v>
      </c>
      <c r="I20" s="616"/>
      <c r="J20" s="616"/>
      <c r="K20" s="616"/>
      <c r="L20" s="219"/>
    </row>
    <row r="21" spans="1:14" ht="22.5" x14ac:dyDescent="0.25">
      <c r="A21" s="633" t="s">
        <v>562</v>
      </c>
      <c r="B21" s="606" t="s">
        <v>552</v>
      </c>
      <c r="C21" s="606">
        <v>90.8</v>
      </c>
      <c r="D21" s="607">
        <f>'22.confection galet giratoire'!$H$19</f>
        <v>0.86401234567901231</v>
      </c>
      <c r="E21" s="607">
        <f>21/24</f>
        <v>0.875</v>
      </c>
      <c r="F21" s="610">
        <f t="shared" si="2"/>
        <v>2.625</v>
      </c>
      <c r="G21" s="767"/>
      <c r="H21" s="616"/>
      <c r="I21" s="619">
        <f>E21</f>
        <v>0.875</v>
      </c>
      <c r="J21" s="616"/>
      <c r="K21" s="616"/>
      <c r="L21" s="219"/>
    </row>
    <row r="22" spans="1:14" x14ac:dyDescent="0.25">
      <c r="A22" s="633" t="s">
        <v>106</v>
      </c>
      <c r="B22" s="606" t="s">
        <v>552</v>
      </c>
      <c r="C22" s="606">
        <v>236.6</v>
      </c>
      <c r="D22" s="609">
        <f>'23.ilot béton et galet garonne'!$H$19</f>
        <v>2.2504012345679012</v>
      </c>
      <c r="E22" s="607">
        <f>54.5/24</f>
        <v>2.2708333333333335</v>
      </c>
      <c r="F22" s="610">
        <f t="shared" si="2"/>
        <v>6.8125</v>
      </c>
      <c r="G22" s="766">
        <f>E22/3</f>
        <v>0.75694444444444453</v>
      </c>
      <c r="H22" s="619">
        <f>G22</f>
        <v>0.75694444444444453</v>
      </c>
      <c r="I22" s="619">
        <f>H22</f>
        <v>0.75694444444444453</v>
      </c>
      <c r="J22" s="616"/>
      <c r="K22" s="616"/>
      <c r="L22" s="219"/>
    </row>
    <row r="23" spans="1:14" x14ac:dyDescent="0.25">
      <c r="A23" s="633" t="s">
        <v>108</v>
      </c>
      <c r="B23" s="606" t="s">
        <v>553</v>
      </c>
      <c r="C23" s="606">
        <v>10.06</v>
      </c>
      <c r="D23" s="609">
        <f>'24.cunette'!$H$24</f>
        <v>5.092592592592593E-2</v>
      </c>
      <c r="E23" s="607">
        <f>1.5/24</f>
        <v>6.25E-2</v>
      </c>
      <c r="F23" s="610">
        <f t="shared" si="2"/>
        <v>0.1875</v>
      </c>
      <c r="G23" s="615"/>
      <c r="H23" s="616"/>
      <c r="I23" s="616"/>
      <c r="J23" s="619">
        <f>E23</f>
        <v>6.25E-2</v>
      </c>
      <c r="K23" s="616"/>
      <c r="L23" s="219"/>
    </row>
    <row r="24" spans="1:14" x14ac:dyDescent="0.25">
      <c r="A24" s="633" t="s">
        <v>563</v>
      </c>
      <c r="B24" s="606" t="s">
        <v>459</v>
      </c>
      <c r="C24" s="606">
        <v>1</v>
      </c>
      <c r="D24" s="609">
        <f>'25. regard 40x40'!$E$22</f>
        <v>2.2499999999999996E-2</v>
      </c>
      <c r="E24" s="607">
        <f>1/24</f>
        <v>4.1666666666666664E-2</v>
      </c>
      <c r="F24" s="610">
        <f t="shared" si="2"/>
        <v>0.125</v>
      </c>
      <c r="G24" s="615"/>
      <c r="H24" s="619">
        <f>E24</f>
        <v>4.1666666666666664E-2</v>
      </c>
      <c r="I24" s="616"/>
      <c r="J24" s="616"/>
      <c r="K24" s="616"/>
      <c r="L24" s="219"/>
    </row>
    <row r="25" spans="1:14" ht="22.5" x14ac:dyDescent="0.25">
      <c r="A25" s="633" t="s">
        <v>112</v>
      </c>
      <c r="B25" s="606" t="s">
        <v>121</v>
      </c>
      <c r="C25" s="606">
        <v>50</v>
      </c>
      <c r="D25" s="609">
        <f>'26. gaine Ø110'!$B$22</f>
        <v>0.1388888888888889</v>
      </c>
      <c r="E25" s="607">
        <f>3.5/24</f>
        <v>0.14583333333333334</v>
      </c>
      <c r="F25" s="610">
        <f t="shared" si="2"/>
        <v>0.4375</v>
      </c>
      <c r="G25" s="615"/>
      <c r="H25" s="616"/>
      <c r="I25" s="619">
        <f>E25</f>
        <v>0.14583333333333334</v>
      </c>
      <c r="J25" s="616"/>
      <c r="K25" s="616"/>
      <c r="L25" s="219"/>
    </row>
    <row r="26" spans="1:14" x14ac:dyDescent="0.25">
      <c r="A26" s="633" t="s">
        <v>114</v>
      </c>
      <c r="B26" s="606" t="s">
        <v>553</v>
      </c>
      <c r="C26" s="606">
        <v>3.81</v>
      </c>
      <c r="D26" s="609">
        <f>'27. pvc Ø300'!$H$26</f>
        <v>1.074074074074074E-2</v>
      </c>
      <c r="E26" s="607">
        <f>0.5/24</f>
        <v>2.0833333333333332E-2</v>
      </c>
      <c r="F26" s="610">
        <f t="shared" si="2"/>
        <v>6.25E-2</v>
      </c>
      <c r="G26" s="615"/>
      <c r="H26" s="619">
        <f>E26</f>
        <v>2.0833333333333332E-2</v>
      </c>
      <c r="I26" s="616"/>
      <c r="J26" s="616"/>
      <c r="K26" s="616"/>
      <c r="L26" s="219"/>
    </row>
    <row r="27" spans="1:14" ht="15.75" thickBot="1" x14ac:dyDescent="0.3">
      <c r="A27" s="634" t="s">
        <v>564</v>
      </c>
      <c r="B27" s="623" t="s">
        <v>121</v>
      </c>
      <c r="C27" s="623">
        <v>54.54</v>
      </c>
      <c r="D27" s="624">
        <f>'28.glissire GS2'!$B$27</f>
        <v>7.6388888888888881E-2</v>
      </c>
      <c r="E27" s="624">
        <f>2/24</f>
        <v>8.3333333333333329E-2</v>
      </c>
      <c r="F27" s="625">
        <f t="shared" si="2"/>
        <v>0.25</v>
      </c>
      <c r="G27" s="617"/>
      <c r="H27" s="618"/>
      <c r="I27" s="618"/>
      <c r="J27" s="618"/>
      <c r="K27" s="618"/>
      <c r="L27" s="626">
        <f>E27</f>
        <v>8.3333333333333329E-2</v>
      </c>
    </row>
    <row r="28" spans="1:14" ht="15.75" thickBot="1" x14ac:dyDescent="0.3">
      <c r="F28" s="637" t="s">
        <v>484</v>
      </c>
      <c r="G28" s="645">
        <f>SUM(G4:G27)</f>
        <v>2.635416666666667</v>
      </c>
      <c r="H28" s="639">
        <f>SUM(H5:H27)</f>
        <v>2.7187500000000004</v>
      </c>
      <c r="I28" s="639">
        <f t="shared" ref="I28:L28" si="3">SUM(I5:I27)</f>
        <v>2.729166666666667</v>
      </c>
      <c r="J28" s="639">
        <f t="shared" si="3"/>
        <v>1</v>
      </c>
      <c r="K28" s="639">
        <f t="shared" si="3"/>
        <v>5</v>
      </c>
      <c r="L28" s="640">
        <f t="shared" si="3"/>
        <v>1.1875</v>
      </c>
      <c r="M28" s="644" t="s">
        <v>573</v>
      </c>
      <c r="N28" s="636">
        <f>SUM(G28:L28)</f>
        <v>15.270833333333336</v>
      </c>
    </row>
    <row r="29" spans="1:14" ht="15.75" thickBot="1" x14ac:dyDescent="0.3">
      <c r="F29" s="638" t="s">
        <v>572</v>
      </c>
      <c r="G29" s="641">
        <f>G28*24/8</f>
        <v>7.9062500000000009</v>
      </c>
      <c r="H29" s="642">
        <f t="shared" ref="H29:L29" si="4">H28*24/8</f>
        <v>8.1562500000000018</v>
      </c>
      <c r="I29" s="642">
        <f t="shared" si="4"/>
        <v>8.1875</v>
      </c>
      <c r="J29" s="642">
        <f t="shared" si="4"/>
        <v>3</v>
      </c>
      <c r="K29" s="642">
        <f t="shared" si="4"/>
        <v>15</v>
      </c>
      <c r="L29" s="643">
        <f t="shared" si="4"/>
        <v>3.5625</v>
      </c>
      <c r="M29" s="643">
        <f>SUM(G29:L29)</f>
        <v>45.8125</v>
      </c>
    </row>
    <row r="32" spans="1:14" x14ac:dyDescent="0.25">
      <c r="C32" s="224"/>
    </row>
    <row r="33" spans="5:5" x14ac:dyDescent="0.25">
      <c r="E33" s="631"/>
    </row>
  </sheetData>
  <mergeCells count="1">
    <mergeCell ref="A3:F3"/>
  </mergeCells>
  <pageMargins left="0.7" right="0.7" top="0.75" bottom="0.75" header="0.3" footer="0.3"/>
  <pageSetup paperSize="9" scale="4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25</vt:i4>
      </vt:variant>
    </vt:vector>
  </HeadingPairs>
  <TitlesOfParts>
    <vt:vector size="25" baseType="lpstr">
      <vt:lpstr>5.arrchage arbre</vt:lpstr>
      <vt:lpstr>6.démo découpe chaussée</vt:lpstr>
      <vt:lpstr>7.sciage de chaussé</vt:lpstr>
      <vt:lpstr>8.rabottage</vt:lpstr>
      <vt:lpstr>9.démolition trottoir illot</vt:lpstr>
      <vt:lpstr>10.décapage terre végé</vt:lpstr>
      <vt:lpstr>11.remblai d'apport</vt:lpstr>
      <vt:lpstr>12.couche de reprofilage</vt:lpstr>
      <vt:lpstr>13.couche de fondation</vt:lpstr>
      <vt:lpstr>14.couche de réglage</vt:lpstr>
      <vt:lpstr>15.couche de roulement</vt:lpstr>
      <vt:lpstr>16.reprise terre végé</vt:lpstr>
      <vt:lpstr>17.bordure d'ilot type 1</vt:lpstr>
      <vt:lpstr>18.bordure d'ilot type 2</vt:lpstr>
      <vt:lpstr>20.trottoir</vt:lpstr>
      <vt:lpstr>19.CC1</vt:lpstr>
      <vt:lpstr>21.remplissage ilot béton</vt:lpstr>
      <vt:lpstr>22.confection galet giratoire</vt:lpstr>
      <vt:lpstr>23.ilot béton et galet garonne</vt:lpstr>
      <vt:lpstr>24.cunette</vt:lpstr>
      <vt:lpstr>25. regard 40x40</vt:lpstr>
      <vt:lpstr>26. gaine Ø110</vt:lpstr>
      <vt:lpstr>27. pvc Ø300</vt:lpstr>
      <vt:lpstr>28.glissire GS2</vt:lpstr>
      <vt:lpstr>Feuil1</vt:lpstr>
    </vt:vector>
  </TitlesOfParts>
  <Company>AFPA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31019-73-01</dc:creator>
  <cp:lastModifiedBy>31019-73-01</cp:lastModifiedBy>
  <cp:lastPrinted>2022-12-21T08:59:31Z</cp:lastPrinted>
  <dcterms:created xsi:type="dcterms:W3CDTF">2022-10-26T07:19:39Z</dcterms:created>
  <dcterms:modified xsi:type="dcterms:W3CDTF">2022-12-21T09:17:39Z</dcterms:modified>
</cp:coreProperties>
</file>