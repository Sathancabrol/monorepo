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360" yWindow="120" windowWidth="16395" windowHeight="9720" activeTab="1"/>
  </bookViews>
  <sheets>
    <sheet name="Fiche de tache Décapage" sheetId="2" r:id="rId1"/>
    <sheet name="Fiche de tache Déblais restant" sheetId="5" r:id="rId2"/>
    <sheet name="Feuil1" sheetId="3" r:id="rId3"/>
    <sheet name="Feuil2" sheetId="4" r:id="rId4"/>
    <sheet name="fiche de tache vierge 2" sheetId="1" r:id="rId5"/>
  </sheets>
  <definedNames>
    <definedName name="_xlnm.Print_Area" localSheetId="4">'fiche de tache vierge 2'!$A$1:$L$35</definedName>
  </definedNames>
  <calcPr calcId="162913"/>
</workbook>
</file>

<file path=xl/calcChain.xml><?xml version="1.0" encoding="utf-8"?>
<calcChain xmlns="http://schemas.openxmlformats.org/spreadsheetml/2006/main">
  <c r="E53" i="5" l="1"/>
  <c r="E52" i="2"/>
  <c r="E52" i="5"/>
  <c r="B31" i="5"/>
  <c r="B32" i="5"/>
  <c r="E50" i="5" s="1"/>
  <c r="E34" i="5"/>
  <c r="E35" i="5"/>
  <c r="B41" i="5"/>
  <c r="E41" i="5"/>
  <c r="E45" i="5" s="1"/>
  <c r="B43" i="5"/>
  <c r="E37" i="5" s="1"/>
  <c r="E38" i="5" s="1"/>
  <c r="E42" i="5" s="1"/>
  <c r="B44" i="5"/>
  <c r="B45" i="5" s="1"/>
  <c r="B46" i="5" s="1"/>
  <c r="B47" i="5" s="1"/>
  <c r="E49" i="5"/>
  <c r="E50" i="2"/>
  <c r="E45" i="2"/>
  <c r="E43" i="2"/>
  <c r="E41" i="2"/>
  <c r="F18" i="4"/>
  <c r="E34" i="2"/>
  <c r="E49" i="2" s="1"/>
  <c r="E61" i="5"/>
  <c r="D61" i="5"/>
  <c r="E60" i="5"/>
  <c r="D60" i="5"/>
  <c r="E59" i="5"/>
  <c r="D59" i="5"/>
  <c r="E58" i="5"/>
  <c r="D58" i="5"/>
  <c r="E57" i="5"/>
  <c r="D57" i="5"/>
  <c r="C57" i="5"/>
  <c r="B31" i="2"/>
  <c r="B32" i="2" s="1"/>
  <c r="B41" i="2"/>
  <c r="B43" i="2"/>
  <c r="B44" i="2" s="1"/>
  <c r="B45" i="2" s="1"/>
  <c r="B46" i="2" s="1"/>
  <c r="B47" i="2" s="1"/>
  <c r="R8" i="4"/>
  <c r="S8" i="4" s="1"/>
  <c r="P8" i="4"/>
  <c r="O8" i="4"/>
  <c r="J8" i="4"/>
  <c r="G8" i="4"/>
  <c r="D8" i="4"/>
  <c r="H8" i="4" s="1"/>
  <c r="K4" i="4"/>
  <c r="I4" i="4"/>
  <c r="B48" i="5" l="1"/>
  <c r="E43" i="5"/>
  <c r="E46" i="5" s="1"/>
  <c r="E37" i="2"/>
  <c r="E38" i="2" s="1"/>
  <c r="E42" i="2" s="1"/>
  <c r="E46" i="2" s="1"/>
  <c r="E47" i="2" s="1"/>
  <c r="E35" i="2"/>
  <c r="B48" i="2"/>
  <c r="E9" i="3"/>
  <c r="K15" i="3" s="1"/>
  <c r="E47" i="5" l="1"/>
  <c r="D23" i="3"/>
  <c r="D22" i="3"/>
  <c r="D19" i="3"/>
  <c r="M9" i="3"/>
  <c r="M8" i="3"/>
  <c r="L8" i="3"/>
  <c r="L7" i="3"/>
  <c r="L5" i="3"/>
  <c r="E17" i="3"/>
  <c r="E16" i="3"/>
  <c r="E15" i="3"/>
  <c r="D15" i="3"/>
  <c r="D14" i="3"/>
  <c r="D12" i="3"/>
  <c r="D9" i="3"/>
  <c r="E60" i="2" l="1"/>
  <c r="D60" i="2"/>
  <c r="E59" i="2"/>
  <c r="D59" i="2"/>
  <c r="E58" i="2"/>
  <c r="D58" i="2"/>
  <c r="E57" i="2"/>
  <c r="D57" i="2"/>
  <c r="E56" i="2"/>
  <c r="D56" i="2"/>
  <c r="C56" i="2"/>
  <c r="C18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</calcChain>
</file>

<file path=xl/sharedStrings.xml><?xml version="1.0" encoding="utf-8"?>
<sst xmlns="http://schemas.openxmlformats.org/spreadsheetml/2006/main" count="262" uniqueCount="135">
  <si>
    <t>MATERIEL</t>
  </si>
  <si>
    <t>N° prix</t>
  </si>
  <si>
    <t>Quantité</t>
  </si>
  <si>
    <t>Unité</t>
  </si>
  <si>
    <t>Rendement</t>
  </si>
  <si>
    <t>durée</t>
  </si>
  <si>
    <t>désignation</t>
  </si>
  <si>
    <t>Qté</t>
  </si>
  <si>
    <t>P.U.</t>
  </si>
  <si>
    <t>Total</t>
  </si>
  <si>
    <t>Matériel</t>
  </si>
  <si>
    <t>MAIN D'ŒUVRE</t>
  </si>
  <si>
    <t>FOURNITURE &amp; SOUS-TRAITANCE</t>
  </si>
  <si>
    <t>Main d'œuvre</t>
  </si>
  <si>
    <t>Tache antécédante</t>
  </si>
  <si>
    <t>Description du mode opératoire</t>
  </si>
  <si>
    <t>Rôle</t>
  </si>
  <si>
    <t>TRANSPORT et FOURNITURE              HYPOTHESES ET ELEMENTS DE CALCUL ( cycle, métré, temps de transport)</t>
  </si>
  <si>
    <t>Chantier</t>
  </si>
  <si>
    <t>Tâche</t>
  </si>
  <si>
    <t>Descriptif (source CCTP bordereau …)</t>
  </si>
  <si>
    <t>affectation tâche</t>
  </si>
  <si>
    <t>Fournisseur</t>
  </si>
  <si>
    <t>Qui?</t>
  </si>
  <si>
    <t>Distance chantier</t>
  </si>
  <si>
    <t>Nbre de tours/jour</t>
  </si>
  <si>
    <t>Calcul de rendement, métré de fourniture, calcul de temps de transport, nombre de tours</t>
  </si>
  <si>
    <t>Tache immédiatement antécédante</t>
  </si>
  <si>
    <t>terassement</t>
  </si>
  <si>
    <t>m3</t>
  </si>
  <si>
    <t>18Km</t>
  </si>
  <si>
    <t>Cycle\engin</t>
  </si>
  <si>
    <t>t1</t>
  </si>
  <si>
    <t>t2</t>
  </si>
  <si>
    <t>t3</t>
  </si>
  <si>
    <t>t4</t>
  </si>
  <si>
    <t>Temps total par cycle</t>
  </si>
  <si>
    <t>Foisonnage</t>
  </si>
  <si>
    <t>camion min</t>
  </si>
  <si>
    <t>Pelle second</t>
  </si>
  <si>
    <t>cycle/min</t>
  </si>
  <si>
    <t>cycle/heure</t>
  </si>
  <si>
    <t>capacité godet m3</t>
  </si>
  <si>
    <t>rendement (m3/h)</t>
  </si>
  <si>
    <t>avec efficience</t>
  </si>
  <si>
    <t>terrassement m3</t>
  </si>
  <si>
    <t xml:space="preserve">Densité </t>
  </si>
  <si>
    <t>camion en T</t>
  </si>
  <si>
    <t>camion en m3</t>
  </si>
  <si>
    <t xml:space="preserve">cycle </t>
  </si>
  <si>
    <t>temps cycle total</t>
  </si>
  <si>
    <t>total camion</t>
  </si>
  <si>
    <t>total capacité camion en m3</t>
  </si>
  <si>
    <t>Temps de travail</t>
  </si>
  <si>
    <t>nombre de camion</t>
  </si>
  <si>
    <t>calcul</t>
  </si>
  <si>
    <t>arrondi</t>
  </si>
  <si>
    <t>Pelle</t>
  </si>
  <si>
    <t>Camion</t>
  </si>
  <si>
    <t>Engin</t>
  </si>
  <si>
    <t>conversion en m3</t>
  </si>
  <si>
    <t>Terrassement en m3</t>
  </si>
  <si>
    <t>efficience coef</t>
  </si>
  <si>
    <t>total avec coef</t>
  </si>
  <si>
    <t>Cycle 1 (seconde)</t>
  </si>
  <si>
    <t>Cycle 2 (seconde)</t>
  </si>
  <si>
    <t>Cycle 3  (seconde)</t>
  </si>
  <si>
    <t>Cycle 4 (seconde)</t>
  </si>
  <si>
    <t>total cycle (seconde)</t>
  </si>
  <si>
    <t>60/80</t>
  </si>
  <si>
    <t>Densité</t>
  </si>
  <si>
    <t xml:space="preserve">Contenance benne en Tonne </t>
  </si>
  <si>
    <t>Contenance de godet en Litre</t>
  </si>
  <si>
    <t>Distance en Km</t>
  </si>
  <si>
    <t>vitesse en Km/h</t>
  </si>
  <si>
    <t>Temps de voyage en min</t>
  </si>
  <si>
    <t>Cycle 1 (minutes)</t>
  </si>
  <si>
    <t>Cycle 2 (minutes)</t>
  </si>
  <si>
    <t>Cycle 3 (minutes)</t>
  </si>
  <si>
    <t>Cycle 4 (minutes)</t>
  </si>
  <si>
    <t>Nombre cycle pelle pour remplir camion</t>
  </si>
  <si>
    <t>Temps des cycles pour remplir le camion (minutes)</t>
  </si>
  <si>
    <t>Nombres de camions nécessaire</t>
  </si>
  <si>
    <t>Nombre cycle pelle pour remplir camion Réel</t>
  </si>
  <si>
    <t>Capacité de tout les camions en m3</t>
  </si>
  <si>
    <t>Nombres de camions nécessaire Arrondi</t>
  </si>
  <si>
    <t>Bassin</t>
  </si>
  <si>
    <t>Transport vers décheterie des déblais</t>
  </si>
  <si>
    <t>Pelle décape terre végétale</t>
  </si>
  <si>
    <t>transport de la terre végétale par camion 25T</t>
  </si>
  <si>
    <t>Pelle déblais la terre</t>
  </si>
  <si>
    <t>transport des déblais en déchetterie</t>
  </si>
  <si>
    <t>Donnée</t>
  </si>
  <si>
    <t>Terre végétale (m3)</t>
  </si>
  <si>
    <t>Godet (L)</t>
  </si>
  <si>
    <t>Godet (m3)</t>
  </si>
  <si>
    <t>Déblais Terre végétale</t>
  </si>
  <si>
    <t>T1 (s)</t>
  </si>
  <si>
    <t>T2 (s)</t>
  </si>
  <si>
    <t>T3 (s)</t>
  </si>
  <si>
    <t>T4 (s)</t>
  </si>
  <si>
    <t>Efficience</t>
  </si>
  <si>
    <t>cycle / min</t>
  </si>
  <si>
    <t>1cycle efficient (s)</t>
  </si>
  <si>
    <t>Total 1 cycle (s)</t>
  </si>
  <si>
    <t>cycle / heure</t>
  </si>
  <si>
    <t>nombre de tour de camion</t>
  </si>
  <si>
    <t>Arrondi</t>
  </si>
  <si>
    <t>Temps de décapage num</t>
  </si>
  <si>
    <t>Temps de décapage H-min</t>
  </si>
  <si>
    <t>Surface (m²)</t>
  </si>
  <si>
    <t>Décapage de la terre végétale sur 0,20m</t>
  </si>
  <si>
    <t>Terrassement de 187,2m3</t>
  </si>
  <si>
    <t>Transport de 187,2m3</t>
  </si>
  <si>
    <t>Volume / heure effecient (m3)</t>
  </si>
  <si>
    <t>Volume / heure (m3)</t>
  </si>
  <si>
    <t>Transport</t>
  </si>
  <si>
    <t>Capacité (T)</t>
  </si>
  <si>
    <t>Capacité (m3)</t>
  </si>
  <si>
    <t>nb cycle remplissage</t>
  </si>
  <si>
    <t>Temps remplissage (s)</t>
  </si>
  <si>
    <t>temps en minutes</t>
  </si>
  <si>
    <t>Distance (Km)</t>
  </si>
  <si>
    <t>vitesse en (Km/h)</t>
  </si>
  <si>
    <t>Temps de voyage (min)</t>
  </si>
  <si>
    <t>T1 (min)</t>
  </si>
  <si>
    <t>T2 (min)</t>
  </si>
  <si>
    <t>T3 (min)</t>
  </si>
  <si>
    <t>T4 (min)</t>
  </si>
  <si>
    <t>Total 1 cycle (min)</t>
  </si>
  <si>
    <t>Nombre de camions</t>
  </si>
  <si>
    <t>nombre de tour/camion</t>
  </si>
  <si>
    <t>volume total des camions (m3)</t>
  </si>
  <si>
    <t>Temps des camions (min)</t>
  </si>
  <si>
    <t>Temps des camions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</si>
</sst>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"/>
    <numFmt numFmtId="166" formatCode="0.0000"/>
    <numFmt numFmtId="167" formatCode="0.000"/>
    <numFmt numFmtId="168" formatCode="0.0"/>
  </numFmts>
  <fonts count="12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Arial"/>
    </font>
    <font>
      <b/>
      <sz val="11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</font>
    <font>
      <b/>
      <sz val="8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0" fillId="0" borderId="5" xfId="0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3" xfId="0" applyFont="1" applyBorder="1"/>
    <xf numFmtId="0" fontId="2" fillId="0" borderId="0" xfId="0" applyFont="1"/>
    <xf numFmtId="0" fontId="0" fillId="0" borderId="0" xfId="0" applyBorder="1"/>
    <xf numFmtId="0" fontId="1" fillId="2" borderId="2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3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2" fillId="2" borderId="0" xfId="0" applyFont="1" applyFill="1" applyBorder="1"/>
    <xf numFmtId="0" fontId="2" fillId="2" borderId="24" xfId="0" applyFont="1" applyFill="1" applyBorder="1"/>
    <xf numFmtId="0" fontId="6" fillId="2" borderId="25" xfId="0" applyFont="1" applyFill="1" applyBorder="1"/>
    <xf numFmtId="0" fontId="4" fillId="2" borderId="1" xfId="0" applyFont="1" applyFill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2" fillId="0" borderId="15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0" fillId="0" borderId="6" xfId="0" applyBorder="1"/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2" fontId="3" fillId="0" borderId="27" xfId="0" applyNumberFormat="1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1" fillId="2" borderId="17" xfId="0" applyFont="1" applyFill="1" applyBorder="1" applyAlignment="1"/>
    <xf numFmtId="0" fontId="1" fillId="2" borderId="16" xfId="0" applyFont="1" applyFill="1" applyBorder="1" applyAlignment="1"/>
    <xf numFmtId="0" fontId="2" fillId="0" borderId="4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0" fontId="2" fillId="0" borderId="26" xfId="0" applyFont="1" applyFill="1" applyBorder="1" applyAlignment="1">
      <alignment horizontal="center" vertical="center" wrapText="1"/>
    </xf>
    <xf numFmtId="0" fontId="0" fillId="0" borderId="26" xfId="0" applyBorder="1"/>
    <xf numFmtId="0" fontId="2" fillId="0" borderId="37" xfId="0" applyFont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2" fontId="2" fillId="0" borderId="46" xfId="0" applyNumberFormat="1" applyFont="1" applyBorder="1" applyAlignment="1">
      <alignment horizontal="center"/>
    </xf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2" borderId="16" xfId="0" applyFill="1" applyBorder="1"/>
    <xf numFmtId="0" fontId="2" fillId="2" borderId="16" xfId="0" applyFont="1" applyFill="1" applyBorder="1"/>
    <xf numFmtId="0" fontId="6" fillId="2" borderId="17" xfId="0" applyFont="1" applyFill="1" applyBorder="1"/>
    <xf numFmtId="0" fontId="2" fillId="2" borderId="45" xfId="0" applyFont="1" applyFill="1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2" borderId="45" xfId="0" applyFill="1" applyBorder="1"/>
    <xf numFmtId="0" fontId="3" fillId="0" borderId="14" xfId="0" applyFont="1" applyBorder="1" applyAlignment="1">
      <alignment horizontal="center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25" xfId="0" applyBorder="1"/>
    <xf numFmtId="0" fontId="0" fillId="0" borderId="0" xfId="0" applyFill="1" applyBorder="1"/>
    <xf numFmtId="2" fontId="0" fillId="0" borderId="0" xfId="0" applyNumberFormat="1" applyFill="1" applyBorder="1"/>
    <xf numFmtId="10" fontId="0" fillId="0" borderId="0" xfId="0" applyNumberFormat="1" applyFill="1" applyBorder="1"/>
    <xf numFmtId="0" fontId="11" fillId="0" borderId="0" xfId="0" applyFont="1"/>
    <xf numFmtId="2" fontId="11" fillId="0" borderId="0" xfId="0" applyNumberFormat="1" applyFont="1"/>
    <xf numFmtId="164" fontId="0" fillId="0" borderId="0" xfId="0" applyNumberFormat="1"/>
    <xf numFmtId="2" fontId="0" fillId="0" borderId="0" xfId="0" applyNumberFormat="1"/>
    <xf numFmtId="0" fontId="11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42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2" xfId="0" applyBorder="1" applyAlignment="1">
      <alignment horizontal="center"/>
    </xf>
    <xf numFmtId="0" fontId="10" fillId="2" borderId="36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8" fillId="2" borderId="56" xfId="0" applyFont="1" applyFill="1" applyBorder="1" applyAlignment="1">
      <alignment horizontal="left"/>
    </xf>
    <xf numFmtId="0" fontId="8" fillId="2" borderId="33" xfId="0" applyFont="1" applyFill="1" applyBorder="1" applyAlignment="1">
      <alignment horizontal="left"/>
    </xf>
    <xf numFmtId="0" fontId="8" fillId="2" borderId="57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0" fillId="0" borderId="2" xfId="0" applyNumberForma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8" fillId="0" borderId="2" xfId="0" applyFont="1" applyBorder="1"/>
    <xf numFmtId="0" fontId="11" fillId="0" borderId="2" xfId="0" applyFont="1" applyBorder="1"/>
    <xf numFmtId="0" fontId="11" fillId="0" borderId="2" xfId="0" applyFont="1" applyBorder="1" applyAlignment="1"/>
    <xf numFmtId="166" fontId="0" fillId="0" borderId="2" xfId="0" applyNumberFormat="1" applyBorder="1"/>
    <xf numFmtId="168" fontId="0" fillId="0" borderId="2" xfId="0" applyNumberFormat="1" applyBorder="1"/>
    <xf numFmtId="0" fontId="11" fillId="0" borderId="2" xfId="0" applyFont="1" applyBorder="1" applyAlignment="1">
      <alignment wrapText="1"/>
    </xf>
    <xf numFmtId="0" fontId="11" fillId="0" borderId="2" xfId="0" applyFont="1" applyBorder="1" applyAlignment="1">
      <alignment horizontal="right"/>
    </xf>
    <xf numFmtId="0" fontId="1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5"/>
  <sheetViews>
    <sheetView showGridLines="0" topLeftCell="A33" zoomScale="160" zoomScaleNormal="160" workbookViewId="0">
      <selection activeCell="D53" sqref="D53:E53"/>
    </sheetView>
  </sheetViews>
  <sheetFormatPr baseColWidth="10" defaultRowHeight="12.75" x14ac:dyDescent="0.2"/>
  <cols>
    <col min="1" max="1" width="25.5703125" customWidth="1"/>
    <col min="2" max="2" width="8" customWidth="1"/>
    <col min="3" max="3" width="13.140625" customWidth="1"/>
    <col min="4" max="4" width="29.85546875" customWidth="1"/>
    <col min="5" max="8" width="12.42578125" customWidth="1"/>
  </cols>
  <sheetData>
    <row r="1" spans="1:8" ht="15.75" x14ac:dyDescent="0.25">
      <c r="A1" s="80" t="s">
        <v>18</v>
      </c>
      <c r="B1" s="81"/>
      <c r="C1" s="82"/>
      <c r="D1" s="80" t="s">
        <v>19</v>
      </c>
      <c r="E1" s="81"/>
      <c r="F1" s="81"/>
      <c r="G1" s="81"/>
      <c r="H1" s="83"/>
    </row>
    <row r="2" spans="1:8" ht="18.75" customHeight="1" thickBot="1" x14ac:dyDescent="0.25">
      <c r="A2" s="84" t="s">
        <v>86</v>
      </c>
      <c r="B2" s="85"/>
      <c r="C2" s="86"/>
      <c r="D2" s="87" t="s">
        <v>28</v>
      </c>
      <c r="E2" s="88"/>
      <c r="F2" s="88"/>
      <c r="G2" s="88"/>
      <c r="H2" s="89"/>
    </row>
    <row r="3" spans="1:8" x14ac:dyDescent="0.2">
      <c r="A3" s="90" t="s">
        <v>27</v>
      </c>
      <c r="B3" s="92"/>
      <c r="C3" s="93"/>
      <c r="D3" s="94"/>
      <c r="E3" s="31" t="s">
        <v>2</v>
      </c>
      <c r="F3" s="31" t="s">
        <v>3</v>
      </c>
      <c r="G3" s="31" t="s">
        <v>4</v>
      </c>
      <c r="H3" s="32" t="s">
        <v>5</v>
      </c>
    </row>
    <row r="4" spans="1:8" ht="16.5" thickBot="1" x14ac:dyDescent="0.25">
      <c r="A4" s="91"/>
      <c r="B4" s="95"/>
      <c r="C4" s="96"/>
      <c r="D4" s="97"/>
      <c r="E4" s="33">
        <v>2304</v>
      </c>
      <c r="F4" s="34" t="s">
        <v>29</v>
      </c>
      <c r="G4" s="33"/>
      <c r="H4" s="35"/>
    </row>
    <row r="5" spans="1:8" x14ac:dyDescent="0.2">
      <c r="A5" s="100" t="s">
        <v>20</v>
      </c>
      <c r="B5" s="101"/>
      <c r="C5" s="101"/>
      <c r="D5" s="101"/>
      <c r="E5" s="101"/>
      <c r="F5" s="101"/>
      <c r="G5" s="101"/>
      <c r="H5" s="102"/>
    </row>
    <row r="6" spans="1:8" ht="14.25" customHeight="1" x14ac:dyDescent="0.2">
      <c r="A6" s="67" t="s">
        <v>111</v>
      </c>
      <c r="B6" s="68"/>
      <c r="C6" s="68"/>
      <c r="D6" s="68"/>
      <c r="E6" s="68"/>
      <c r="F6" s="68"/>
      <c r="G6" s="68"/>
      <c r="H6" s="69"/>
    </row>
    <row r="7" spans="1:8" ht="14.25" customHeight="1" x14ac:dyDescent="0.2">
      <c r="A7" s="61" t="s">
        <v>87</v>
      </c>
      <c r="B7" s="52"/>
      <c r="C7" s="52"/>
      <c r="D7" s="52"/>
      <c r="E7" s="52"/>
      <c r="F7" s="52"/>
      <c r="G7" s="52"/>
      <c r="H7" s="62"/>
    </row>
    <row r="8" spans="1:8" ht="14.25" customHeight="1" x14ac:dyDescent="0.2">
      <c r="A8" s="61"/>
      <c r="B8" s="52"/>
      <c r="C8" s="52"/>
      <c r="D8" s="52"/>
      <c r="E8" s="52"/>
      <c r="F8" s="52"/>
      <c r="G8" s="52"/>
      <c r="H8" s="62"/>
    </row>
    <row r="9" spans="1:8" ht="14.25" customHeight="1" x14ac:dyDescent="0.2">
      <c r="A9" s="61"/>
      <c r="B9" s="52"/>
      <c r="C9" s="52"/>
      <c r="D9" s="52"/>
      <c r="E9" s="52"/>
      <c r="F9" s="52"/>
      <c r="G9" s="52"/>
      <c r="H9" s="62"/>
    </row>
    <row r="10" spans="1:8" ht="14.25" x14ac:dyDescent="0.2">
      <c r="A10" s="103" t="s">
        <v>10</v>
      </c>
      <c r="B10" s="104"/>
      <c r="C10" s="104"/>
      <c r="D10" s="104"/>
      <c r="E10" s="104" t="s">
        <v>13</v>
      </c>
      <c r="F10" s="104"/>
      <c r="G10" s="104"/>
      <c r="H10" s="105"/>
    </row>
    <row r="11" spans="1:8" ht="15.75" x14ac:dyDescent="0.25">
      <c r="A11" s="19" t="s">
        <v>6</v>
      </c>
      <c r="B11" s="20" t="s">
        <v>7</v>
      </c>
      <c r="C11" s="106" t="s">
        <v>21</v>
      </c>
      <c r="D11" s="106"/>
      <c r="E11" s="66" t="s">
        <v>6</v>
      </c>
      <c r="F11" s="20" t="s">
        <v>2</v>
      </c>
      <c r="G11" s="106" t="s">
        <v>21</v>
      </c>
      <c r="H11" s="107"/>
    </row>
    <row r="12" spans="1:8" ht="18.75" customHeight="1" x14ac:dyDescent="0.2">
      <c r="A12" s="45" t="s">
        <v>57</v>
      </c>
      <c r="B12" s="4">
        <v>1</v>
      </c>
      <c r="C12" s="52" t="s">
        <v>112</v>
      </c>
      <c r="D12" s="52"/>
      <c r="E12" s="4"/>
      <c r="F12" s="4"/>
      <c r="G12" s="52"/>
      <c r="H12" s="62"/>
    </row>
    <row r="13" spans="1:8" ht="18.75" customHeight="1" x14ac:dyDescent="0.2">
      <c r="A13" s="45" t="s">
        <v>58</v>
      </c>
      <c r="B13" s="4">
        <v>7</v>
      </c>
      <c r="C13" s="52" t="s">
        <v>113</v>
      </c>
      <c r="D13" s="52"/>
      <c r="E13" s="4"/>
      <c r="F13" s="4"/>
      <c r="G13" s="52"/>
      <c r="H13" s="62"/>
    </row>
    <row r="14" spans="1:8" ht="18.75" customHeight="1" x14ac:dyDescent="0.2">
      <c r="A14" s="45"/>
      <c r="B14" s="4"/>
      <c r="C14" s="52"/>
      <c r="D14" s="52"/>
      <c r="E14" s="4"/>
      <c r="F14" s="4"/>
      <c r="G14" s="52"/>
      <c r="H14" s="62"/>
    </row>
    <row r="15" spans="1:8" ht="18.75" customHeight="1" x14ac:dyDescent="0.2">
      <c r="A15" s="45"/>
      <c r="B15" s="4"/>
      <c r="C15" s="52"/>
      <c r="D15" s="52"/>
      <c r="E15" s="4"/>
      <c r="F15" s="4"/>
      <c r="G15" s="52"/>
      <c r="H15" s="62"/>
    </row>
    <row r="16" spans="1:8" ht="18.75" customHeight="1" x14ac:dyDescent="0.2">
      <c r="A16" s="45"/>
      <c r="B16" s="4"/>
      <c r="C16" s="52"/>
      <c r="D16" s="52"/>
      <c r="E16" s="4"/>
      <c r="F16" s="4"/>
      <c r="G16" s="52"/>
      <c r="H16" s="62"/>
    </row>
    <row r="17" spans="1:8" ht="18.75" customHeight="1" x14ac:dyDescent="0.2">
      <c r="A17" s="45"/>
      <c r="B17" s="4"/>
      <c r="C17" s="52"/>
      <c r="D17" s="52"/>
      <c r="E17" s="4"/>
      <c r="F17" s="4"/>
      <c r="G17" s="52"/>
      <c r="H17" s="62"/>
    </row>
    <row r="18" spans="1:8" ht="18.75" customHeight="1" x14ac:dyDescent="0.2">
      <c r="A18" s="45"/>
      <c r="B18" s="4"/>
      <c r="C18" s="52"/>
      <c r="D18" s="52"/>
      <c r="E18" s="4"/>
      <c r="F18" s="4"/>
      <c r="G18" s="52"/>
      <c r="H18" s="62"/>
    </row>
    <row r="19" spans="1:8" ht="18.75" customHeight="1" x14ac:dyDescent="0.2">
      <c r="A19" s="45"/>
      <c r="B19" s="4"/>
      <c r="C19" s="52"/>
      <c r="D19" s="52"/>
      <c r="E19" s="4"/>
      <c r="F19" s="4"/>
      <c r="G19" s="52"/>
      <c r="H19" s="62"/>
    </row>
    <row r="20" spans="1:8" ht="14.25" x14ac:dyDescent="0.2">
      <c r="A20" s="57" t="s">
        <v>15</v>
      </c>
      <c r="B20" s="56"/>
      <c r="C20" s="56"/>
      <c r="D20" s="56"/>
      <c r="E20" s="56"/>
      <c r="F20" s="56"/>
      <c r="G20" s="56"/>
      <c r="H20" s="58"/>
    </row>
    <row r="21" spans="1:8" ht="13.5" customHeight="1" x14ac:dyDescent="0.2">
      <c r="A21" s="59" t="s">
        <v>88</v>
      </c>
      <c r="B21" s="54"/>
      <c r="C21" s="54"/>
      <c r="D21" s="54"/>
      <c r="E21" s="54"/>
      <c r="F21" s="54"/>
      <c r="G21" s="54"/>
      <c r="H21" s="60"/>
    </row>
    <row r="22" spans="1:8" ht="13.5" customHeight="1" x14ac:dyDescent="0.2">
      <c r="A22" s="61" t="s">
        <v>89</v>
      </c>
      <c r="B22" s="52"/>
      <c r="C22" s="52"/>
      <c r="D22" s="52"/>
      <c r="E22" s="52"/>
      <c r="F22" s="52"/>
      <c r="G22" s="52"/>
      <c r="H22" s="62"/>
    </row>
    <row r="23" spans="1:8" ht="13.5" customHeight="1" x14ac:dyDescent="0.2">
      <c r="A23" s="61" t="s">
        <v>90</v>
      </c>
      <c r="B23" s="52"/>
      <c r="C23" s="52"/>
      <c r="D23" s="52"/>
      <c r="E23" s="52"/>
      <c r="F23" s="52"/>
      <c r="G23" s="52"/>
      <c r="H23" s="62"/>
    </row>
    <row r="24" spans="1:8" ht="13.5" customHeight="1" x14ac:dyDescent="0.2">
      <c r="A24" s="61" t="s">
        <v>91</v>
      </c>
      <c r="B24" s="52"/>
      <c r="C24" s="52"/>
      <c r="D24" s="52"/>
      <c r="E24" s="52"/>
      <c r="F24" s="52"/>
      <c r="G24" s="52"/>
      <c r="H24" s="62"/>
    </row>
    <row r="25" spans="1:8" ht="13.5" customHeight="1" x14ac:dyDescent="0.2">
      <c r="A25" s="61"/>
      <c r="B25" s="52"/>
      <c r="C25" s="52"/>
      <c r="D25" s="52"/>
      <c r="E25" s="52"/>
      <c r="F25" s="52"/>
      <c r="G25" s="52"/>
      <c r="H25" s="62"/>
    </row>
    <row r="26" spans="1:8" ht="13.5" customHeight="1" x14ac:dyDescent="0.2">
      <c r="A26" s="61"/>
      <c r="B26" s="52"/>
      <c r="C26" s="52"/>
      <c r="D26" s="52"/>
      <c r="E26" s="52"/>
      <c r="F26" s="52"/>
      <c r="G26" s="52"/>
      <c r="H26" s="62"/>
    </row>
    <row r="27" spans="1:8" ht="13.5" customHeight="1" x14ac:dyDescent="0.2">
      <c r="A27" s="61"/>
      <c r="B27" s="52"/>
      <c r="C27" s="52"/>
      <c r="D27" s="52"/>
      <c r="E27" s="52"/>
      <c r="F27" s="52"/>
      <c r="G27" s="52"/>
      <c r="H27" s="62"/>
    </row>
    <row r="28" spans="1:8" ht="13.5" customHeight="1" x14ac:dyDescent="0.2">
      <c r="A28" s="63"/>
      <c r="B28" s="53"/>
      <c r="C28" s="53"/>
      <c r="D28" s="53"/>
      <c r="E28" s="53"/>
      <c r="F28" s="53"/>
      <c r="G28" s="53"/>
      <c r="H28" s="64"/>
    </row>
    <row r="29" spans="1:8" ht="14.25" x14ac:dyDescent="0.2">
      <c r="A29" s="57" t="s">
        <v>26</v>
      </c>
      <c r="B29" s="55"/>
      <c r="C29" s="55"/>
      <c r="D29" s="55"/>
      <c r="E29" s="55"/>
      <c r="F29" s="55"/>
      <c r="G29" s="55"/>
      <c r="H29" s="65"/>
    </row>
    <row r="30" spans="1:8" ht="13.5" customHeight="1" x14ac:dyDescent="0.2">
      <c r="A30" s="132" t="s">
        <v>92</v>
      </c>
      <c r="B30" s="132" t="s">
        <v>2</v>
      </c>
      <c r="C30" s="54"/>
      <c r="D30" s="132" t="s">
        <v>92</v>
      </c>
      <c r="E30" s="132" t="s">
        <v>2</v>
      </c>
      <c r="F30" s="54"/>
      <c r="G30" s="54"/>
      <c r="H30" s="60"/>
    </row>
    <row r="31" spans="1:8" ht="13.5" customHeight="1" x14ac:dyDescent="0.2">
      <c r="A31" s="36" t="s">
        <v>110</v>
      </c>
      <c r="B31" s="36">
        <f>26*36</f>
        <v>936</v>
      </c>
      <c r="C31" s="54"/>
      <c r="D31" s="132" t="s">
        <v>116</v>
      </c>
      <c r="E31" s="36"/>
      <c r="F31" s="54"/>
      <c r="G31" s="54"/>
      <c r="H31" s="60"/>
    </row>
    <row r="32" spans="1:8" ht="13.5" customHeight="1" x14ac:dyDescent="0.2">
      <c r="A32" s="36" t="s">
        <v>93</v>
      </c>
      <c r="B32" s="36">
        <f>B31*0.2</f>
        <v>187.20000000000002</v>
      </c>
      <c r="C32" s="52"/>
      <c r="D32" s="133" t="s">
        <v>117</v>
      </c>
      <c r="E32" s="36">
        <v>25</v>
      </c>
      <c r="F32" s="52"/>
      <c r="G32" s="52"/>
      <c r="H32" s="62"/>
    </row>
    <row r="33" spans="1:10" ht="13.5" customHeight="1" x14ac:dyDescent="0.2">
      <c r="A33" s="36"/>
      <c r="B33" s="36"/>
      <c r="C33" s="52"/>
      <c r="D33" s="133" t="s">
        <v>70</v>
      </c>
      <c r="E33" s="36">
        <v>1.8</v>
      </c>
      <c r="F33" s="52"/>
      <c r="G33" s="52"/>
      <c r="H33" s="62"/>
    </row>
    <row r="34" spans="1:10" ht="13.5" customHeight="1" x14ac:dyDescent="0.2">
      <c r="A34" s="132" t="s">
        <v>96</v>
      </c>
      <c r="B34" s="36"/>
      <c r="C34" s="52"/>
      <c r="D34" s="133" t="s">
        <v>118</v>
      </c>
      <c r="E34" s="36">
        <f>E32/E33</f>
        <v>13.888888888888889</v>
      </c>
      <c r="F34" s="52"/>
      <c r="G34" s="52"/>
      <c r="H34" s="62"/>
    </row>
    <row r="35" spans="1:10" ht="13.5" customHeight="1" x14ac:dyDescent="0.2">
      <c r="A35" s="133" t="s">
        <v>94</v>
      </c>
      <c r="B35" s="36">
        <v>700</v>
      </c>
      <c r="C35" s="52"/>
      <c r="D35" s="137" t="s">
        <v>119</v>
      </c>
      <c r="E35" s="36">
        <f>E34/B36</f>
        <v>19.841269841269842</v>
      </c>
      <c r="F35" s="52"/>
      <c r="G35" s="52"/>
      <c r="H35" s="62"/>
    </row>
    <row r="36" spans="1:10" ht="13.5" customHeight="1" x14ac:dyDescent="0.2">
      <c r="A36" s="133" t="s">
        <v>95</v>
      </c>
      <c r="B36" s="36">
        <v>0.7</v>
      </c>
      <c r="C36" s="52"/>
      <c r="D36" s="138" t="s">
        <v>107</v>
      </c>
      <c r="E36" s="36">
        <v>20</v>
      </c>
      <c r="F36" s="52"/>
      <c r="G36" s="52"/>
      <c r="H36" s="62"/>
    </row>
    <row r="37" spans="1:10" ht="13.5" customHeight="1" x14ac:dyDescent="0.2">
      <c r="A37" s="133" t="s">
        <v>97</v>
      </c>
      <c r="B37" s="36">
        <v>15</v>
      </c>
      <c r="C37" s="52"/>
      <c r="D37" s="133" t="s">
        <v>120</v>
      </c>
      <c r="E37" s="36">
        <f>E36*B43</f>
        <v>720</v>
      </c>
      <c r="F37" s="52"/>
      <c r="G37" s="52"/>
      <c r="H37" s="62"/>
    </row>
    <row r="38" spans="1:10" ht="13.5" customHeight="1" x14ac:dyDescent="0.2">
      <c r="A38" s="133" t="s">
        <v>98</v>
      </c>
      <c r="B38" s="36">
        <v>4</v>
      </c>
      <c r="C38" s="52"/>
      <c r="D38" s="138" t="s">
        <v>121</v>
      </c>
      <c r="E38" s="36">
        <f>E37/60</f>
        <v>12</v>
      </c>
      <c r="F38" s="52"/>
      <c r="G38" s="52"/>
      <c r="H38" s="62"/>
    </row>
    <row r="39" spans="1:10" ht="13.5" customHeight="1" x14ac:dyDescent="0.2">
      <c r="A39" s="133" t="s">
        <v>99</v>
      </c>
      <c r="B39" s="36">
        <v>4</v>
      </c>
      <c r="C39" s="52"/>
      <c r="D39" s="137" t="s">
        <v>122</v>
      </c>
      <c r="E39" s="125">
        <v>18</v>
      </c>
      <c r="F39" s="52"/>
      <c r="G39" s="52"/>
      <c r="H39" s="62"/>
    </row>
    <row r="40" spans="1:10" ht="13.5" customHeight="1" x14ac:dyDescent="0.2">
      <c r="A40" s="133" t="s">
        <v>100</v>
      </c>
      <c r="B40" s="36">
        <v>4</v>
      </c>
      <c r="C40" s="52"/>
      <c r="D40" s="137" t="s">
        <v>123</v>
      </c>
      <c r="E40" s="125">
        <v>45</v>
      </c>
      <c r="F40" s="52"/>
      <c r="G40" s="52"/>
      <c r="H40" s="62"/>
    </row>
    <row r="41" spans="1:10" ht="13.5" customHeight="1" x14ac:dyDescent="0.2">
      <c r="A41" s="133" t="s">
        <v>104</v>
      </c>
      <c r="B41" s="36">
        <f>SUM(B37:B40)</f>
        <v>27</v>
      </c>
      <c r="C41" s="52"/>
      <c r="D41" s="137" t="s">
        <v>124</v>
      </c>
      <c r="E41" s="125">
        <f>E39/E40*60</f>
        <v>24</v>
      </c>
      <c r="F41" s="52"/>
      <c r="G41" s="52"/>
      <c r="H41" s="62"/>
    </row>
    <row r="42" spans="1:10" ht="13.5" customHeight="1" x14ac:dyDescent="0.2">
      <c r="A42" s="133" t="s">
        <v>101</v>
      </c>
      <c r="B42" s="134" t="s">
        <v>69</v>
      </c>
      <c r="C42" s="52"/>
      <c r="D42" s="133" t="s">
        <v>125</v>
      </c>
      <c r="E42" s="36">
        <f>E38</f>
        <v>12</v>
      </c>
      <c r="F42" s="52"/>
      <c r="G42" s="52"/>
      <c r="H42" s="62"/>
      <c r="J42" s="17"/>
    </row>
    <row r="43" spans="1:10" ht="13.5" customHeight="1" x14ac:dyDescent="0.2">
      <c r="A43" s="133" t="s">
        <v>103</v>
      </c>
      <c r="B43" s="36">
        <f>27*80/60</f>
        <v>36</v>
      </c>
      <c r="C43" s="52"/>
      <c r="D43" s="133" t="s">
        <v>126</v>
      </c>
      <c r="E43" s="36">
        <f>E41</f>
        <v>24</v>
      </c>
      <c r="F43" s="52"/>
      <c r="G43" s="52"/>
      <c r="H43" s="62"/>
      <c r="J43" s="17"/>
    </row>
    <row r="44" spans="1:10" ht="13.5" customHeight="1" x14ac:dyDescent="0.2">
      <c r="A44" s="133" t="s">
        <v>102</v>
      </c>
      <c r="B44" s="135">
        <f>60/B43</f>
        <v>1.6666666666666667</v>
      </c>
      <c r="C44" s="52"/>
      <c r="D44" s="133" t="s">
        <v>127</v>
      </c>
      <c r="E44" s="36">
        <v>15</v>
      </c>
      <c r="F44" s="52"/>
      <c r="G44" s="52"/>
      <c r="H44" s="62"/>
      <c r="J44" s="17"/>
    </row>
    <row r="45" spans="1:10" ht="13.5" customHeight="1" x14ac:dyDescent="0.2">
      <c r="A45" s="133" t="s">
        <v>105</v>
      </c>
      <c r="B45" s="136">
        <f>B44*60</f>
        <v>100</v>
      </c>
      <c r="C45" s="52"/>
      <c r="D45" s="133" t="s">
        <v>128</v>
      </c>
      <c r="E45" s="36">
        <f>E41</f>
        <v>24</v>
      </c>
      <c r="F45" s="52"/>
      <c r="G45" s="52"/>
      <c r="H45" s="62"/>
    </row>
    <row r="46" spans="1:10" ht="13.5" customHeight="1" x14ac:dyDescent="0.2">
      <c r="A46" s="133" t="s">
        <v>115</v>
      </c>
      <c r="B46" s="36">
        <f>B45*B36</f>
        <v>70</v>
      </c>
      <c r="C46" s="52"/>
      <c r="D46" s="133" t="s">
        <v>129</v>
      </c>
      <c r="E46" s="36">
        <f>SUM(E42:E45)</f>
        <v>75</v>
      </c>
      <c r="F46" s="52"/>
      <c r="G46" s="52"/>
      <c r="H46" s="62"/>
    </row>
    <row r="47" spans="1:10" ht="13.5" customHeight="1" x14ac:dyDescent="0.2">
      <c r="A47" s="133" t="s">
        <v>114</v>
      </c>
      <c r="B47" s="36">
        <f>B46*60/80</f>
        <v>52.5</v>
      </c>
      <c r="C47" s="52"/>
      <c r="D47" s="133" t="s">
        <v>130</v>
      </c>
      <c r="E47" s="36">
        <f>E46/E42</f>
        <v>6.25</v>
      </c>
      <c r="F47" s="52"/>
      <c r="G47" s="52"/>
      <c r="H47" s="62"/>
    </row>
    <row r="48" spans="1:10" ht="13.5" customHeight="1" x14ac:dyDescent="0.2">
      <c r="A48" s="133" t="s">
        <v>108</v>
      </c>
      <c r="B48" s="36">
        <f>B32/B47</f>
        <v>3.5657142857142858</v>
      </c>
      <c r="C48" s="52"/>
      <c r="D48" s="138" t="s">
        <v>56</v>
      </c>
      <c r="E48" s="36">
        <v>7</v>
      </c>
      <c r="F48" s="52"/>
      <c r="G48" s="52"/>
      <c r="H48" s="62"/>
    </row>
    <row r="49" spans="1:16" ht="13.5" customHeight="1" x14ac:dyDescent="0.2">
      <c r="A49" s="133" t="s">
        <v>109</v>
      </c>
      <c r="B49" s="133">
        <v>3.33</v>
      </c>
      <c r="C49" s="52"/>
      <c r="D49" s="133" t="s">
        <v>132</v>
      </c>
      <c r="E49" s="133">
        <f>E48*E34</f>
        <v>97.222222222222229</v>
      </c>
      <c r="F49" s="52"/>
      <c r="G49" s="52"/>
      <c r="H49" s="62"/>
    </row>
    <row r="50" spans="1:16" ht="13.5" customHeight="1" x14ac:dyDescent="0.2">
      <c r="A50" s="61"/>
      <c r="B50" s="52"/>
      <c r="C50" s="52"/>
      <c r="D50" s="133" t="s">
        <v>131</v>
      </c>
      <c r="E50" s="133">
        <f>B32/E49</f>
        <v>1.9254857142857142</v>
      </c>
      <c r="F50" s="52"/>
      <c r="G50" s="52"/>
      <c r="H50" s="62"/>
      <c r="I50" s="70"/>
    </row>
    <row r="51" spans="1:16" ht="13.5" customHeight="1" x14ac:dyDescent="0.2">
      <c r="A51" s="61"/>
      <c r="B51" s="52"/>
      <c r="C51" s="52"/>
      <c r="D51" s="138" t="s">
        <v>56</v>
      </c>
      <c r="E51" s="36">
        <v>2</v>
      </c>
      <c r="F51" s="52"/>
      <c r="G51" s="52"/>
      <c r="H51" s="62"/>
      <c r="I51" s="17"/>
    </row>
    <row r="52" spans="1:16" ht="13.5" customHeight="1" x14ac:dyDescent="0.2">
      <c r="A52" s="61"/>
      <c r="B52" s="52"/>
      <c r="C52" s="52"/>
      <c r="D52" s="139" t="s">
        <v>133</v>
      </c>
      <c r="E52" s="36">
        <f>E51*E46</f>
        <v>150</v>
      </c>
      <c r="F52" s="52"/>
      <c r="G52" s="52"/>
      <c r="H52" s="62"/>
      <c r="I52" s="17"/>
      <c r="J52" s="74"/>
    </row>
    <row r="53" spans="1:16" ht="13.5" customHeight="1" x14ac:dyDescent="0.2">
      <c r="A53" s="61"/>
      <c r="B53" s="52"/>
      <c r="C53" s="52"/>
      <c r="D53" s="139" t="s">
        <v>134</v>
      </c>
      <c r="E53" s="36">
        <v>2.2999999999999998</v>
      </c>
      <c r="F53" s="52"/>
      <c r="G53" s="52"/>
      <c r="H53" s="62"/>
    </row>
    <row r="54" spans="1:16" x14ac:dyDescent="0.2">
      <c r="A54" s="39" t="s">
        <v>12</v>
      </c>
      <c r="B54" s="40"/>
      <c r="C54" s="40"/>
      <c r="D54" s="40"/>
      <c r="E54" s="40"/>
      <c r="F54" s="98" t="s">
        <v>22</v>
      </c>
      <c r="G54" s="98"/>
      <c r="H54" s="99"/>
    </row>
    <row r="55" spans="1:16" ht="26.25" customHeight="1" x14ac:dyDescent="0.2">
      <c r="A55" s="41" t="s">
        <v>6</v>
      </c>
      <c r="B55" s="42" t="s">
        <v>7</v>
      </c>
      <c r="C55" s="42" t="s">
        <v>3</v>
      </c>
      <c r="D55" s="42" t="s">
        <v>8</v>
      </c>
      <c r="E55" s="43" t="s">
        <v>9</v>
      </c>
      <c r="F55" s="44" t="s">
        <v>23</v>
      </c>
      <c r="G55" s="44" t="s">
        <v>24</v>
      </c>
      <c r="H55" s="46" t="s">
        <v>25</v>
      </c>
    </row>
    <row r="56" spans="1:16" ht="18" customHeight="1" x14ac:dyDescent="0.2">
      <c r="A56" s="1"/>
      <c r="B56" s="4"/>
      <c r="C56" s="2" t="str">
        <f>IF(A56="","",VLOOKUP(A56,$O$3:$Q$23,3,FALSE))</f>
        <v/>
      </c>
      <c r="D56" s="4" t="str">
        <f>IF(A56="","",VLOOKUP(A56,$O$3:$P$23,2,FALSE))</f>
        <v/>
      </c>
      <c r="E56" s="5" t="str">
        <f>IF(A56="","",B56*D56)</f>
        <v/>
      </c>
      <c r="F56" s="36"/>
      <c r="G56" s="36" t="s">
        <v>30</v>
      </c>
      <c r="H56" s="47"/>
    </row>
    <row r="57" spans="1:16" ht="18" customHeight="1" x14ac:dyDescent="0.2">
      <c r="A57" s="1"/>
      <c r="B57" s="4"/>
      <c r="C57" s="2"/>
      <c r="D57" s="4" t="str">
        <f>IF(A57="","",VLOOKUP(A57,$O$3:$P$23,2,FALSE))</f>
        <v/>
      </c>
      <c r="E57" s="5" t="str">
        <f>IF(A57="","",B57*D57)</f>
        <v/>
      </c>
      <c r="F57" s="36"/>
      <c r="G57" s="36"/>
      <c r="H57" s="47"/>
    </row>
    <row r="58" spans="1:16" ht="18" customHeight="1" x14ac:dyDescent="0.2">
      <c r="A58" s="1"/>
      <c r="B58" s="4"/>
      <c r="C58" s="2"/>
      <c r="D58" s="4" t="str">
        <f>IF(A58="","",VLOOKUP(A58,$O$3:$P$23,2,FALSE))</f>
        <v/>
      </c>
      <c r="E58" s="5" t="str">
        <f>IF(A58="","",B58*D58)</f>
        <v/>
      </c>
      <c r="F58" s="36"/>
      <c r="G58" s="36"/>
      <c r="H58" s="47"/>
    </row>
    <row r="59" spans="1:16" ht="18" customHeight="1" x14ac:dyDescent="0.2">
      <c r="A59" s="1"/>
      <c r="B59" s="4"/>
      <c r="C59" s="2"/>
      <c r="D59" s="4" t="str">
        <f>IF(A59="","",VLOOKUP(A59,$O$3:$P$23,2,FALSE))</f>
        <v/>
      </c>
      <c r="E59" s="5" t="str">
        <f>IF(A59="","",B59*D59)</f>
        <v/>
      </c>
      <c r="F59" s="36"/>
      <c r="G59" s="36"/>
      <c r="H59" s="47"/>
    </row>
    <row r="60" spans="1:16" ht="18" customHeight="1" thickBot="1" x14ac:dyDescent="0.25">
      <c r="A60" s="48"/>
      <c r="B60" s="49"/>
      <c r="C60" s="50"/>
      <c r="D60" s="49" t="str">
        <f>IF(A60="","",VLOOKUP(A60,$O$3:$P$23,2,FALSE))</f>
        <v/>
      </c>
      <c r="E60" s="51" t="str">
        <f>IF(A60="","",B60*D60)</f>
        <v/>
      </c>
      <c r="F60" s="37"/>
      <c r="G60" s="37"/>
      <c r="H60" s="38"/>
    </row>
    <row r="61" spans="1:16" ht="19.5" customHeight="1" x14ac:dyDescent="0.2">
      <c r="I61" s="52"/>
      <c r="J61" s="52"/>
      <c r="K61" s="52"/>
      <c r="L61" s="52"/>
      <c r="M61" s="52"/>
      <c r="N61" s="52"/>
      <c r="O61" s="52"/>
      <c r="P61" s="52"/>
    </row>
    <row r="62" spans="1:16" ht="19.5" customHeight="1" x14ac:dyDescent="0.2">
      <c r="I62" s="52"/>
      <c r="J62" s="52"/>
      <c r="K62" s="52"/>
      <c r="L62" s="52"/>
      <c r="M62" s="52"/>
      <c r="N62" s="52"/>
      <c r="O62" s="52"/>
      <c r="P62" s="52"/>
    </row>
    <row r="63" spans="1:16" ht="19.5" customHeight="1" x14ac:dyDescent="0.2">
      <c r="I63" s="52"/>
      <c r="J63" s="52"/>
      <c r="K63" s="52"/>
      <c r="L63" s="52"/>
      <c r="M63" s="52"/>
      <c r="N63" s="52"/>
      <c r="O63" s="52"/>
      <c r="P63" s="52"/>
    </row>
    <row r="64" spans="1:16" ht="19.5" customHeight="1" x14ac:dyDescent="0.2">
      <c r="I64" s="52"/>
      <c r="J64" s="52"/>
      <c r="K64" s="52"/>
      <c r="L64" s="52"/>
      <c r="M64" s="52"/>
      <c r="N64" s="52"/>
      <c r="O64" s="52"/>
      <c r="P64" s="52"/>
    </row>
    <row r="65" spans="9:16" ht="19.5" customHeight="1" x14ac:dyDescent="0.2">
      <c r="I65" s="52"/>
      <c r="J65" s="52"/>
      <c r="K65" s="52"/>
      <c r="L65" s="52"/>
      <c r="M65" s="52"/>
      <c r="N65" s="52"/>
      <c r="O65" s="52"/>
      <c r="P65" s="52"/>
    </row>
    <row r="66" spans="9:16" ht="19.5" customHeight="1" x14ac:dyDescent="0.2">
      <c r="I66" s="52"/>
      <c r="J66" s="52"/>
      <c r="K66" s="52"/>
      <c r="L66" s="52"/>
      <c r="M66" s="52"/>
      <c r="N66" s="52"/>
      <c r="O66" s="52"/>
      <c r="P66" s="52"/>
    </row>
    <row r="67" spans="9:16" ht="19.5" customHeight="1" x14ac:dyDescent="0.2">
      <c r="I67" s="52"/>
      <c r="J67" s="52"/>
      <c r="K67" s="52"/>
      <c r="L67" s="52"/>
      <c r="M67" s="52"/>
      <c r="N67" s="52"/>
      <c r="O67" s="52"/>
      <c r="P67" s="52"/>
    </row>
    <row r="68" spans="9:16" ht="19.5" customHeight="1" x14ac:dyDescent="0.2">
      <c r="I68" s="52"/>
      <c r="J68" s="52"/>
      <c r="K68" s="52"/>
      <c r="L68" s="52"/>
      <c r="M68" s="52"/>
      <c r="N68" s="52"/>
      <c r="O68" s="52"/>
      <c r="P68" s="52"/>
    </row>
    <row r="69" spans="9:16" ht="19.5" customHeight="1" x14ac:dyDescent="0.2">
      <c r="I69" s="52"/>
      <c r="J69" s="52"/>
      <c r="K69" s="52"/>
      <c r="L69" s="52"/>
      <c r="M69" s="52"/>
      <c r="N69" s="52"/>
      <c r="O69" s="52"/>
      <c r="P69" s="52"/>
    </row>
    <row r="70" spans="9:16" ht="19.5" customHeight="1" x14ac:dyDescent="0.2">
      <c r="I70" s="52"/>
      <c r="J70" s="52"/>
      <c r="K70" s="52"/>
      <c r="L70" s="52"/>
      <c r="M70" s="52"/>
      <c r="N70" s="52"/>
      <c r="O70" s="52"/>
      <c r="P70" s="52"/>
    </row>
    <row r="71" spans="9:16" ht="19.5" customHeight="1" x14ac:dyDescent="0.2">
      <c r="I71" s="52"/>
      <c r="J71" s="52"/>
      <c r="K71" s="52"/>
      <c r="L71" s="52"/>
      <c r="M71" s="52"/>
      <c r="N71" s="52"/>
      <c r="O71" s="52"/>
      <c r="P71" s="52"/>
    </row>
    <row r="72" spans="9:16" ht="19.5" customHeight="1" x14ac:dyDescent="0.2">
      <c r="I72" s="52"/>
      <c r="J72" s="52"/>
      <c r="K72" s="52"/>
      <c r="L72" s="52"/>
      <c r="M72" s="52"/>
      <c r="N72" s="52"/>
      <c r="O72" s="52"/>
      <c r="P72" s="52"/>
    </row>
    <row r="73" spans="9:16" ht="19.5" customHeight="1" x14ac:dyDescent="0.2">
      <c r="I73" s="52"/>
      <c r="J73" s="52"/>
      <c r="K73" s="52"/>
      <c r="L73" s="52"/>
      <c r="M73" s="52"/>
      <c r="N73" s="52"/>
      <c r="O73" s="52"/>
      <c r="P73" s="52"/>
    </row>
    <row r="74" spans="9:16" ht="19.5" customHeight="1" x14ac:dyDescent="0.2">
      <c r="I74" s="52"/>
      <c r="J74" s="52"/>
      <c r="K74" s="52"/>
      <c r="L74" s="52"/>
      <c r="M74" s="52"/>
      <c r="N74" s="52"/>
      <c r="O74" s="52"/>
      <c r="P74" s="52"/>
    </row>
    <row r="75" spans="9:16" ht="19.5" customHeight="1" x14ac:dyDescent="0.2">
      <c r="I75" s="52"/>
      <c r="J75" s="52"/>
      <c r="K75" s="52"/>
      <c r="L75" s="52"/>
      <c r="M75" s="52"/>
      <c r="N75" s="52"/>
      <c r="O75" s="52"/>
      <c r="P75" s="52"/>
    </row>
    <row r="76" spans="9:16" ht="19.5" customHeight="1" x14ac:dyDescent="0.2">
      <c r="I76" s="52"/>
      <c r="J76" s="52"/>
      <c r="K76" s="52"/>
      <c r="L76" s="52"/>
      <c r="M76" s="52"/>
      <c r="N76" s="52"/>
      <c r="O76" s="52"/>
      <c r="P76" s="52"/>
    </row>
    <row r="77" spans="9:16" ht="19.5" customHeight="1" x14ac:dyDescent="0.2">
      <c r="I77" s="52"/>
      <c r="J77" s="52"/>
      <c r="K77" s="52"/>
      <c r="L77" s="52"/>
      <c r="M77" s="52"/>
      <c r="N77" s="52"/>
      <c r="O77" s="52"/>
      <c r="P77" s="52"/>
    </row>
    <row r="78" spans="9:16" ht="19.5" customHeight="1" x14ac:dyDescent="0.2">
      <c r="I78" s="52"/>
      <c r="J78" s="52"/>
      <c r="K78" s="52"/>
      <c r="L78" s="52"/>
      <c r="M78" s="52"/>
      <c r="N78" s="52"/>
      <c r="O78" s="52"/>
      <c r="P78" s="52"/>
    </row>
    <row r="79" spans="9:16" ht="19.5" customHeight="1" x14ac:dyDescent="0.2">
      <c r="I79" s="52"/>
      <c r="J79" s="52"/>
      <c r="K79" s="52"/>
      <c r="L79" s="52"/>
      <c r="M79" s="52"/>
      <c r="N79" s="52"/>
      <c r="O79" s="52"/>
      <c r="P79" s="52"/>
    </row>
    <row r="80" spans="9:16" ht="19.5" customHeight="1" x14ac:dyDescent="0.2">
      <c r="I80" s="52"/>
      <c r="J80" s="52"/>
      <c r="K80" s="52"/>
      <c r="L80" s="52"/>
      <c r="M80" s="52"/>
      <c r="N80" s="52"/>
      <c r="O80" s="52"/>
      <c r="P80" s="52"/>
    </row>
    <row r="81" spans="9:16" ht="19.5" customHeight="1" x14ac:dyDescent="0.2">
      <c r="I81" s="52"/>
      <c r="J81" s="52"/>
      <c r="K81" s="52"/>
      <c r="L81" s="52"/>
      <c r="M81" s="52"/>
      <c r="N81" s="52"/>
      <c r="O81" s="52"/>
      <c r="P81" s="52"/>
    </row>
    <row r="82" spans="9:16" ht="19.5" customHeight="1" x14ac:dyDescent="0.2">
      <c r="I82" s="52"/>
      <c r="J82" s="52"/>
      <c r="K82" s="52"/>
      <c r="L82" s="52"/>
      <c r="M82" s="52"/>
      <c r="N82" s="52"/>
      <c r="O82" s="52"/>
      <c r="P82" s="52"/>
    </row>
    <row r="83" spans="9:16" ht="19.5" customHeight="1" x14ac:dyDescent="0.2">
      <c r="I83" s="52"/>
      <c r="J83" s="52"/>
      <c r="K83" s="52"/>
      <c r="L83" s="52"/>
      <c r="M83" s="52"/>
      <c r="N83" s="52"/>
      <c r="O83" s="52"/>
      <c r="P83" s="52"/>
    </row>
    <row r="84" spans="9:16" ht="19.5" customHeight="1" x14ac:dyDescent="0.2">
      <c r="I84" s="52"/>
      <c r="J84" s="52"/>
      <c r="K84" s="52"/>
      <c r="L84" s="52"/>
      <c r="M84" s="52"/>
      <c r="N84" s="52"/>
      <c r="O84" s="52"/>
      <c r="P84" s="52"/>
    </row>
    <row r="85" spans="9:16" ht="19.5" customHeight="1" x14ac:dyDescent="0.2">
      <c r="I85" s="52"/>
      <c r="J85" s="52"/>
      <c r="K85" s="52"/>
      <c r="L85" s="52"/>
      <c r="M85" s="52"/>
      <c r="N85" s="52"/>
      <c r="O85" s="52"/>
      <c r="P85" s="52"/>
    </row>
    <row r="86" spans="9:16" ht="19.5" customHeight="1" x14ac:dyDescent="0.2">
      <c r="I86" s="52"/>
      <c r="J86" s="52"/>
      <c r="K86" s="52"/>
      <c r="L86" s="52"/>
      <c r="M86" s="52"/>
      <c r="N86" s="52"/>
      <c r="O86" s="52"/>
      <c r="P86" s="52"/>
    </row>
    <row r="87" spans="9:16" ht="19.5" customHeight="1" x14ac:dyDescent="0.2">
      <c r="I87" s="52"/>
      <c r="J87" s="52"/>
      <c r="K87" s="52"/>
      <c r="L87" s="52"/>
      <c r="M87" s="52"/>
      <c r="N87" s="52"/>
      <c r="O87" s="52"/>
      <c r="P87" s="52"/>
    </row>
    <row r="88" spans="9:16" ht="19.5" customHeight="1" x14ac:dyDescent="0.2">
      <c r="I88" s="52"/>
      <c r="J88" s="52"/>
      <c r="K88" s="52"/>
      <c r="L88" s="52"/>
      <c r="M88" s="52"/>
      <c r="N88" s="52"/>
      <c r="O88" s="52"/>
      <c r="P88" s="52"/>
    </row>
    <row r="89" spans="9:16" ht="19.5" customHeight="1" x14ac:dyDescent="0.2">
      <c r="I89" s="52"/>
      <c r="J89" s="52"/>
      <c r="K89" s="52"/>
      <c r="L89" s="52"/>
      <c r="M89" s="52"/>
      <c r="N89" s="52"/>
      <c r="O89" s="52"/>
      <c r="P89" s="52"/>
    </row>
    <row r="90" spans="9:16" ht="19.5" customHeight="1" x14ac:dyDescent="0.2">
      <c r="I90" s="52"/>
      <c r="J90" s="52"/>
      <c r="K90" s="52"/>
      <c r="L90" s="52"/>
      <c r="M90" s="52"/>
      <c r="N90" s="52"/>
      <c r="O90" s="52"/>
      <c r="P90" s="52"/>
    </row>
    <row r="91" spans="9:16" ht="19.5" customHeight="1" x14ac:dyDescent="0.2">
      <c r="I91" s="52"/>
      <c r="J91" s="52"/>
      <c r="K91" s="52"/>
      <c r="L91" s="52"/>
      <c r="M91" s="52"/>
      <c r="N91" s="52"/>
      <c r="O91" s="52"/>
      <c r="P91" s="52"/>
    </row>
    <row r="92" spans="9:16" ht="19.5" customHeight="1" x14ac:dyDescent="0.2">
      <c r="I92" s="52"/>
      <c r="J92" s="52"/>
      <c r="K92" s="52"/>
      <c r="L92" s="52"/>
      <c r="M92" s="52"/>
      <c r="N92" s="52"/>
      <c r="O92" s="52"/>
      <c r="P92" s="52"/>
    </row>
    <row r="93" spans="9:16" ht="19.5" customHeight="1" x14ac:dyDescent="0.2">
      <c r="I93" s="52"/>
      <c r="J93" s="52"/>
      <c r="K93" s="52"/>
      <c r="L93" s="52"/>
      <c r="M93" s="52"/>
      <c r="N93" s="52"/>
      <c r="O93" s="52"/>
      <c r="P93" s="52"/>
    </row>
    <row r="94" spans="9:16" ht="19.5" customHeight="1" x14ac:dyDescent="0.2">
      <c r="I94" s="52"/>
      <c r="J94" s="52"/>
      <c r="K94" s="52"/>
      <c r="L94" s="52"/>
      <c r="M94" s="52"/>
      <c r="N94" s="52"/>
      <c r="O94" s="52"/>
      <c r="P94" s="52"/>
    </row>
    <row r="95" spans="9:16" ht="19.5" customHeight="1" x14ac:dyDescent="0.2">
      <c r="I95" s="52"/>
      <c r="J95" s="52"/>
      <c r="K95" s="52"/>
      <c r="L95" s="52"/>
      <c r="M95" s="52"/>
      <c r="N95" s="52"/>
      <c r="O95" s="52"/>
      <c r="P95" s="52"/>
    </row>
    <row r="96" spans="9:16" ht="19.5" customHeight="1" x14ac:dyDescent="0.2">
      <c r="I96" s="52"/>
      <c r="J96" s="52"/>
      <c r="K96" s="52"/>
      <c r="L96" s="52"/>
      <c r="M96" s="52"/>
      <c r="N96" s="52"/>
      <c r="O96" s="52"/>
      <c r="P96" s="52"/>
    </row>
    <row r="97" spans="9:16" ht="19.5" customHeight="1" x14ac:dyDescent="0.2">
      <c r="I97" s="52"/>
      <c r="J97" s="52"/>
      <c r="K97" s="52"/>
      <c r="L97" s="52"/>
      <c r="M97" s="52"/>
      <c r="N97" s="52"/>
      <c r="O97" s="52"/>
      <c r="P97" s="52"/>
    </row>
    <row r="98" spans="9:16" ht="19.5" customHeight="1" x14ac:dyDescent="0.2">
      <c r="I98" s="52"/>
      <c r="J98" s="52"/>
      <c r="K98" s="52"/>
      <c r="L98" s="52"/>
      <c r="M98" s="52"/>
      <c r="N98" s="52"/>
      <c r="O98" s="52"/>
      <c r="P98" s="52"/>
    </row>
    <row r="99" spans="9:16" ht="19.5" customHeight="1" x14ac:dyDescent="0.2">
      <c r="I99" s="52"/>
      <c r="J99" s="52"/>
      <c r="K99" s="52"/>
      <c r="L99" s="52"/>
      <c r="M99" s="52"/>
      <c r="N99" s="52"/>
      <c r="O99" s="52"/>
      <c r="P99" s="52"/>
    </row>
    <row r="100" spans="9:16" ht="19.5" customHeight="1" x14ac:dyDescent="0.2">
      <c r="I100" s="52"/>
      <c r="J100" s="52"/>
      <c r="K100" s="52"/>
      <c r="L100" s="52"/>
      <c r="M100" s="52"/>
      <c r="N100" s="52"/>
      <c r="O100" s="52"/>
      <c r="P100" s="52"/>
    </row>
    <row r="101" spans="9:16" ht="19.5" customHeight="1" x14ac:dyDescent="0.2">
      <c r="I101" s="52"/>
      <c r="J101" s="52"/>
      <c r="K101" s="52"/>
      <c r="L101" s="52"/>
      <c r="M101" s="52"/>
      <c r="N101" s="52"/>
      <c r="O101" s="52"/>
      <c r="P101" s="52"/>
    </row>
    <row r="102" spans="9:16" ht="19.5" customHeight="1" x14ac:dyDescent="0.2">
      <c r="I102" s="52"/>
      <c r="J102" s="52"/>
      <c r="K102" s="52"/>
      <c r="L102" s="52"/>
      <c r="M102" s="52"/>
      <c r="N102" s="52"/>
      <c r="O102" s="52"/>
      <c r="P102" s="52"/>
    </row>
    <row r="103" spans="9:16" ht="19.5" customHeight="1" x14ac:dyDescent="0.2">
      <c r="I103" s="52"/>
      <c r="J103" s="52"/>
      <c r="K103" s="52"/>
      <c r="L103" s="52"/>
      <c r="M103" s="52"/>
      <c r="N103" s="52"/>
      <c r="O103" s="52"/>
      <c r="P103" s="52"/>
    </row>
    <row r="104" spans="9:16" ht="19.5" customHeight="1" x14ac:dyDescent="0.2"/>
    <row r="105" spans="9:16" ht="19.5" customHeight="1" x14ac:dyDescent="0.2"/>
    <row r="106" spans="9:16" ht="19.5" customHeight="1" x14ac:dyDescent="0.2"/>
    <row r="107" spans="9:16" ht="19.5" customHeight="1" x14ac:dyDescent="0.2"/>
    <row r="108" spans="9:16" ht="19.5" customHeight="1" x14ac:dyDescent="0.2"/>
    <row r="109" spans="9:16" ht="19.5" customHeight="1" x14ac:dyDescent="0.2"/>
    <row r="110" spans="9:16" ht="19.5" customHeight="1" x14ac:dyDescent="0.2"/>
    <row r="111" spans="9:16" ht="19.5" customHeight="1" x14ac:dyDescent="0.2"/>
    <row r="112" spans="9:16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  <row r="119" ht="19.5" customHeight="1" x14ac:dyDescent="0.2"/>
    <row r="120" ht="19.5" customHeight="1" x14ac:dyDescent="0.2"/>
    <row r="121" ht="19.5" customHeight="1" x14ac:dyDescent="0.2"/>
    <row r="122" ht="19.5" customHeight="1" x14ac:dyDescent="0.2"/>
    <row r="123" ht="19.5" customHeight="1" x14ac:dyDescent="0.2"/>
    <row r="124" ht="19.5" customHeight="1" x14ac:dyDescent="0.2"/>
    <row r="125" ht="19.5" customHeight="1" x14ac:dyDescent="0.2"/>
  </sheetData>
  <mergeCells count="12">
    <mergeCell ref="F54:H54"/>
    <mergeCell ref="A5:H5"/>
    <mergeCell ref="A10:D10"/>
    <mergeCell ref="E10:H10"/>
    <mergeCell ref="C11:D11"/>
    <mergeCell ref="G11:H11"/>
    <mergeCell ref="A1:C1"/>
    <mergeCell ref="D1:H1"/>
    <mergeCell ref="A2:C2"/>
    <mergeCell ref="D2:H2"/>
    <mergeCell ref="A3:A4"/>
    <mergeCell ref="B3:D4"/>
  </mergeCells>
  <phoneticPr fontId="9" type="noConversion"/>
  <dataValidations disablePrompts="1" count="1">
    <dataValidation type="list" allowBlank="1" showInputMessage="1" showErrorMessage="1" sqref="A56:A60">
      <formula1>$O$3:$O$23</formula1>
    </dataValidation>
  </dataValidations>
  <printOptions horizontalCentered="1" verticalCentered="1"/>
  <pageMargins left="0" right="0" top="0" bottom="0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6"/>
  <sheetViews>
    <sheetView showGridLines="0" tabSelected="1" topLeftCell="A16" zoomScale="160" zoomScaleNormal="160" workbookViewId="0">
      <selection activeCell="H49" sqref="H49"/>
    </sheetView>
  </sheetViews>
  <sheetFormatPr baseColWidth="10" defaultRowHeight="12.75" x14ac:dyDescent="0.2"/>
  <cols>
    <col min="1" max="1" width="25.5703125" customWidth="1"/>
    <col min="2" max="2" width="8" customWidth="1"/>
    <col min="3" max="3" width="13.140625" customWidth="1"/>
    <col min="4" max="4" width="26.7109375" bestFit="1" customWidth="1"/>
    <col min="5" max="5" width="12.7109375" bestFit="1" customWidth="1"/>
    <col min="6" max="8" width="12.42578125" customWidth="1"/>
  </cols>
  <sheetData>
    <row r="1" spans="1:8" ht="15.75" x14ac:dyDescent="0.25">
      <c r="A1" s="80" t="s">
        <v>18</v>
      </c>
      <c r="B1" s="81"/>
      <c r="C1" s="82"/>
      <c r="D1" s="80" t="s">
        <v>19</v>
      </c>
      <c r="E1" s="81"/>
      <c r="F1" s="81"/>
      <c r="G1" s="81"/>
      <c r="H1" s="83"/>
    </row>
    <row r="2" spans="1:8" ht="18.75" customHeight="1" thickBot="1" x14ac:dyDescent="0.25">
      <c r="A2" s="84" t="s">
        <v>86</v>
      </c>
      <c r="B2" s="85"/>
      <c r="C2" s="86"/>
      <c r="D2" s="87" t="s">
        <v>28</v>
      </c>
      <c r="E2" s="88"/>
      <c r="F2" s="88"/>
      <c r="G2" s="88"/>
      <c r="H2" s="89"/>
    </row>
    <row r="3" spans="1:8" x14ac:dyDescent="0.2">
      <c r="A3" s="90" t="s">
        <v>27</v>
      </c>
      <c r="B3" s="92"/>
      <c r="C3" s="93"/>
      <c r="D3" s="94"/>
      <c r="E3" s="31" t="s">
        <v>2</v>
      </c>
      <c r="F3" s="31" t="s">
        <v>3</v>
      </c>
      <c r="G3" s="31" t="s">
        <v>4</v>
      </c>
      <c r="H3" s="32" t="s">
        <v>5</v>
      </c>
    </row>
    <row r="4" spans="1:8" ht="16.5" thickBot="1" x14ac:dyDescent="0.25">
      <c r="A4" s="91"/>
      <c r="B4" s="95"/>
      <c r="C4" s="96"/>
      <c r="D4" s="97"/>
      <c r="E4" s="33">
        <v>2304</v>
      </c>
      <c r="F4" s="34" t="s">
        <v>29</v>
      </c>
      <c r="G4" s="33"/>
      <c r="H4" s="35"/>
    </row>
    <row r="5" spans="1:8" x14ac:dyDescent="0.2">
      <c r="A5" s="100" t="s">
        <v>20</v>
      </c>
      <c r="B5" s="101"/>
      <c r="C5" s="101"/>
      <c r="D5" s="101"/>
      <c r="E5" s="101"/>
      <c r="F5" s="101"/>
      <c r="G5" s="101"/>
      <c r="H5" s="102"/>
    </row>
    <row r="6" spans="1:8" ht="14.25" customHeight="1" x14ac:dyDescent="0.2">
      <c r="A6" s="67" t="s">
        <v>111</v>
      </c>
      <c r="B6" s="68"/>
      <c r="C6" s="68"/>
      <c r="D6" s="68"/>
      <c r="E6" s="68"/>
      <c r="F6" s="68"/>
      <c r="G6" s="68"/>
      <c r="H6" s="69"/>
    </row>
    <row r="7" spans="1:8" ht="14.25" customHeight="1" x14ac:dyDescent="0.2">
      <c r="A7" s="61" t="s">
        <v>87</v>
      </c>
      <c r="B7" s="52"/>
      <c r="C7" s="52"/>
      <c r="D7" s="52"/>
      <c r="E7" s="52"/>
      <c r="F7" s="52"/>
      <c r="G7" s="52"/>
      <c r="H7" s="62"/>
    </row>
    <row r="8" spans="1:8" ht="14.25" customHeight="1" x14ac:dyDescent="0.2">
      <c r="A8" s="61"/>
      <c r="B8" s="52"/>
      <c r="C8" s="52"/>
      <c r="D8" s="52"/>
      <c r="E8" s="52"/>
      <c r="F8" s="52"/>
      <c r="G8" s="52"/>
      <c r="H8" s="62"/>
    </row>
    <row r="9" spans="1:8" ht="14.25" customHeight="1" x14ac:dyDescent="0.2">
      <c r="A9" s="61"/>
      <c r="B9" s="52"/>
      <c r="C9" s="52"/>
      <c r="D9" s="52"/>
      <c r="E9" s="52"/>
      <c r="F9" s="52"/>
      <c r="G9" s="52"/>
      <c r="H9" s="62"/>
    </row>
    <row r="10" spans="1:8" ht="14.25" x14ac:dyDescent="0.2">
      <c r="A10" s="103" t="s">
        <v>10</v>
      </c>
      <c r="B10" s="104"/>
      <c r="C10" s="104"/>
      <c r="D10" s="104"/>
      <c r="E10" s="104" t="s">
        <v>13</v>
      </c>
      <c r="F10" s="104"/>
      <c r="G10" s="104"/>
      <c r="H10" s="105"/>
    </row>
    <row r="11" spans="1:8" ht="15.75" x14ac:dyDescent="0.25">
      <c r="A11" s="19" t="s">
        <v>6</v>
      </c>
      <c r="B11" s="20" t="s">
        <v>7</v>
      </c>
      <c r="C11" s="106" t="s">
        <v>21</v>
      </c>
      <c r="D11" s="106"/>
      <c r="E11" s="66" t="s">
        <v>6</v>
      </c>
      <c r="F11" s="20" t="s">
        <v>2</v>
      </c>
      <c r="G11" s="106" t="s">
        <v>21</v>
      </c>
      <c r="H11" s="107"/>
    </row>
    <row r="12" spans="1:8" ht="18.75" customHeight="1" x14ac:dyDescent="0.2">
      <c r="A12" s="45" t="s">
        <v>57</v>
      </c>
      <c r="B12" s="4">
        <v>1</v>
      </c>
      <c r="C12" s="52" t="s">
        <v>112</v>
      </c>
      <c r="D12" s="52"/>
      <c r="E12" s="4"/>
      <c r="F12" s="4"/>
      <c r="G12" s="52"/>
      <c r="H12" s="62"/>
    </row>
    <row r="13" spans="1:8" ht="18.75" customHeight="1" x14ac:dyDescent="0.2">
      <c r="A13" s="45" t="s">
        <v>58</v>
      </c>
      <c r="B13" s="4">
        <v>7</v>
      </c>
      <c r="C13" s="52" t="s">
        <v>113</v>
      </c>
      <c r="D13" s="52"/>
      <c r="E13" s="4"/>
      <c r="F13" s="4"/>
      <c r="G13" s="52"/>
      <c r="H13" s="62"/>
    </row>
    <row r="14" spans="1:8" ht="18.75" customHeight="1" x14ac:dyDescent="0.2">
      <c r="A14" s="45"/>
      <c r="B14" s="4"/>
      <c r="C14" s="52"/>
      <c r="D14" s="52"/>
      <c r="E14" s="4"/>
      <c r="F14" s="4"/>
      <c r="G14" s="52"/>
      <c r="H14" s="62"/>
    </row>
    <row r="15" spans="1:8" ht="18.75" customHeight="1" x14ac:dyDescent="0.2">
      <c r="A15" s="45"/>
      <c r="B15" s="4"/>
      <c r="C15" s="52"/>
      <c r="D15" s="52"/>
      <c r="E15" s="4"/>
      <c r="F15" s="4"/>
      <c r="G15" s="52"/>
      <c r="H15" s="62"/>
    </row>
    <row r="16" spans="1:8" ht="18.75" customHeight="1" x14ac:dyDescent="0.2">
      <c r="A16" s="45"/>
      <c r="B16" s="4"/>
      <c r="C16" s="52"/>
      <c r="D16" s="52"/>
      <c r="E16" s="4"/>
      <c r="F16" s="4"/>
      <c r="G16" s="52"/>
      <c r="H16" s="62"/>
    </row>
    <row r="17" spans="1:8" ht="18.75" customHeight="1" x14ac:dyDescent="0.2">
      <c r="A17" s="45"/>
      <c r="B17" s="4"/>
      <c r="C17" s="52"/>
      <c r="D17" s="52"/>
      <c r="E17" s="4"/>
      <c r="F17" s="4"/>
      <c r="G17" s="52"/>
      <c r="H17" s="62"/>
    </row>
    <row r="18" spans="1:8" ht="18.75" customHeight="1" x14ac:dyDescent="0.2">
      <c r="A18" s="45"/>
      <c r="B18" s="4"/>
      <c r="C18" s="52"/>
      <c r="D18" s="52"/>
      <c r="E18" s="4"/>
      <c r="F18" s="4"/>
      <c r="G18" s="52"/>
      <c r="H18" s="62"/>
    </row>
    <row r="19" spans="1:8" ht="18.75" customHeight="1" x14ac:dyDescent="0.2">
      <c r="A19" s="45"/>
      <c r="B19" s="4"/>
      <c r="C19" s="52"/>
      <c r="D19" s="52"/>
      <c r="E19" s="4"/>
      <c r="F19" s="4"/>
      <c r="G19" s="52"/>
      <c r="H19" s="62"/>
    </row>
    <row r="20" spans="1:8" ht="14.25" x14ac:dyDescent="0.2">
      <c r="A20" s="57" t="s">
        <v>15</v>
      </c>
      <c r="B20" s="56"/>
      <c r="C20" s="56"/>
      <c r="D20" s="56"/>
      <c r="E20" s="56"/>
      <c r="F20" s="56"/>
      <c r="G20" s="56"/>
      <c r="H20" s="58"/>
    </row>
    <row r="21" spans="1:8" ht="13.5" customHeight="1" x14ac:dyDescent="0.2">
      <c r="A21" s="59" t="s">
        <v>88</v>
      </c>
      <c r="B21" s="54"/>
      <c r="C21" s="54"/>
      <c r="D21" s="54"/>
      <c r="E21" s="54"/>
      <c r="F21" s="54"/>
      <c r="G21" s="54"/>
      <c r="H21" s="60"/>
    </row>
    <row r="22" spans="1:8" ht="13.5" customHeight="1" x14ac:dyDescent="0.2">
      <c r="A22" s="61" t="s">
        <v>89</v>
      </c>
      <c r="B22" s="52"/>
      <c r="C22" s="52"/>
      <c r="D22" s="52"/>
      <c r="E22" s="52"/>
      <c r="F22" s="52"/>
      <c r="G22" s="52"/>
      <c r="H22" s="62"/>
    </row>
    <row r="23" spans="1:8" ht="13.5" customHeight="1" x14ac:dyDescent="0.2">
      <c r="A23" s="61" t="s">
        <v>90</v>
      </c>
      <c r="B23" s="52"/>
      <c r="C23" s="52"/>
      <c r="D23" s="52"/>
      <c r="E23" s="52"/>
      <c r="F23" s="52"/>
      <c r="G23" s="52"/>
      <c r="H23" s="62"/>
    </row>
    <row r="24" spans="1:8" ht="13.5" customHeight="1" x14ac:dyDescent="0.2">
      <c r="A24" s="61" t="s">
        <v>91</v>
      </c>
      <c r="B24" s="52"/>
      <c r="C24" s="52"/>
      <c r="D24" s="52"/>
      <c r="E24" s="52"/>
      <c r="F24" s="52"/>
      <c r="G24" s="52"/>
      <c r="H24" s="62"/>
    </row>
    <row r="25" spans="1:8" ht="13.5" customHeight="1" x14ac:dyDescent="0.2">
      <c r="A25" s="61"/>
      <c r="B25" s="52"/>
      <c r="C25" s="52"/>
      <c r="D25" s="52"/>
      <c r="E25" s="52"/>
      <c r="F25" s="52"/>
      <c r="G25" s="52"/>
      <c r="H25" s="62"/>
    </row>
    <row r="26" spans="1:8" ht="13.5" customHeight="1" x14ac:dyDescent="0.2">
      <c r="A26" s="61"/>
      <c r="B26" s="52"/>
      <c r="C26" s="52"/>
      <c r="D26" s="52"/>
      <c r="E26" s="52"/>
      <c r="F26" s="52"/>
      <c r="G26" s="52"/>
      <c r="H26" s="62"/>
    </row>
    <row r="27" spans="1:8" ht="13.5" customHeight="1" x14ac:dyDescent="0.2">
      <c r="A27" s="61"/>
      <c r="B27" s="52"/>
      <c r="C27" s="52"/>
      <c r="D27" s="52"/>
      <c r="E27" s="52"/>
      <c r="F27" s="52"/>
      <c r="G27" s="52"/>
      <c r="H27" s="62"/>
    </row>
    <row r="28" spans="1:8" ht="13.5" customHeight="1" x14ac:dyDescent="0.2">
      <c r="A28" s="63"/>
      <c r="B28" s="53"/>
      <c r="C28" s="53"/>
      <c r="D28" s="53"/>
      <c r="E28" s="53"/>
      <c r="F28" s="53"/>
      <c r="G28" s="53"/>
      <c r="H28" s="64"/>
    </row>
    <row r="29" spans="1:8" ht="14.25" x14ac:dyDescent="0.2">
      <c r="A29" s="57" t="s">
        <v>26</v>
      </c>
      <c r="B29" s="55"/>
      <c r="C29" s="55"/>
      <c r="D29" s="55"/>
      <c r="E29" s="55"/>
      <c r="F29" s="55"/>
      <c r="G29" s="55"/>
      <c r="H29" s="65"/>
    </row>
    <row r="30" spans="1:8" ht="13.5" customHeight="1" x14ac:dyDescent="0.2">
      <c r="A30" s="132" t="s">
        <v>92</v>
      </c>
      <c r="B30" s="132" t="s">
        <v>2</v>
      </c>
      <c r="C30" s="54"/>
      <c r="D30" s="132" t="s">
        <v>92</v>
      </c>
      <c r="E30" s="132" t="s">
        <v>2</v>
      </c>
      <c r="F30" s="54"/>
      <c r="G30" s="54"/>
      <c r="H30" s="60"/>
    </row>
    <row r="31" spans="1:8" ht="13.5" customHeight="1" x14ac:dyDescent="0.2">
      <c r="A31" s="36" t="s">
        <v>110</v>
      </c>
      <c r="B31" s="36">
        <f>26*36</f>
        <v>936</v>
      </c>
      <c r="C31" s="54"/>
      <c r="D31" s="132" t="s">
        <v>116</v>
      </c>
      <c r="E31" s="36"/>
      <c r="F31" s="54"/>
      <c r="G31" s="54"/>
      <c r="H31" s="60"/>
    </row>
    <row r="32" spans="1:8" ht="13.5" customHeight="1" x14ac:dyDescent="0.2">
      <c r="A32" s="36" t="s">
        <v>93</v>
      </c>
      <c r="B32" s="36">
        <f>B31*0.2</f>
        <v>187.20000000000002</v>
      </c>
      <c r="C32" s="52"/>
      <c r="D32" s="133" t="s">
        <v>117</v>
      </c>
      <c r="E32" s="36">
        <v>25</v>
      </c>
      <c r="F32" s="52"/>
      <c r="G32" s="52"/>
      <c r="H32" s="62"/>
    </row>
    <row r="33" spans="1:10" ht="13.5" customHeight="1" x14ac:dyDescent="0.2">
      <c r="A33" s="36"/>
      <c r="B33" s="36"/>
      <c r="C33" s="52"/>
      <c r="D33" s="133" t="s">
        <v>70</v>
      </c>
      <c r="E33" s="36">
        <v>1.8</v>
      </c>
      <c r="F33" s="52"/>
      <c r="G33" s="52"/>
      <c r="H33" s="62"/>
    </row>
    <row r="34" spans="1:10" ht="13.5" customHeight="1" x14ac:dyDescent="0.2">
      <c r="A34" s="132" t="s">
        <v>96</v>
      </c>
      <c r="B34" s="36"/>
      <c r="C34" s="52"/>
      <c r="D34" s="133" t="s">
        <v>118</v>
      </c>
      <c r="E34" s="36">
        <f>E32/E33</f>
        <v>13.888888888888889</v>
      </c>
      <c r="F34" s="52"/>
      <c r="G34" s="52"/>
      <c r="H34" s="62"/>
    </row>
    <row r="35" spans="1:10" ht="13.5" customHeight="1" x14ac:dyDescent="0.2">
      <c r="A35" s="133" t="s">
        <v>94</v>
      </c>
      <c r="B35" s="36">
        <v>700</v>
      </c>
      <c r="C35" s="52"/>
      <c r="D35" s="137" t="s">
        <v>119</v>
      </c>
      <c r="E35" s="36">
        <f>E34/B36</f>
        <v>19.841269841269842</v>
      </c>
      <c r="F35" s="52"/>
      <c r="G35" s="52"/>
      <c r="H35" s="62"/>
    </row>
    <row r="36" spans="1:10" ht="13.5" customHeight="1" x14ac:dyDescent="0.2">
      <c r="A36" s="133" t="s">
        <v>95</v>
      </c>
      <c r="B36" s="36">
        <v>0.7</v>
      </c>
      <c r="C36" s="52"/>
      <c r="D36" s="138" t="s">
        <v>107</v>
      </c>
      <c r="E36" s="36">
        <v>20</v>
      </c>
      <c r="F36" s="52"/>
      <c r="G36" s="52"/>
      <c r="H36" s="62"/>
    </row>
    <row r="37" spans="1:10" ht="13.5" customHeight="1" x14ac:dyDescent="0.2">
      <c r="A37" s="133" t="s">
        <v>97</v>
      </c>
      <c r="B37" s="36">
        <v>15</v>
      </c>
      <c r="C37" s="52"/>
      <c r="D37" s="133" t="s">
        <v>120</v>
      </c>
      <c r="E37" s="36">
        <f>E36*B43</f>
        <v>720</v>
      </c>
      <c r="F37" s="52"/>
      <c r="G37" s="52"/>
      <c r="H37" s="62"/>
    </row>
    <row r="38" spans="1:10" ht="13.5" customHeight="1" x14ac:dyDescent="0.2">
      <c r="A38" s="133" t="s">
        <v>98</v>
      </c>
      <c r="B38" s="36">
        <v>4</v>
      </c>
      <c r="C38" s="52"/>
      <c r="D38" s="138" t="s">
        <v>121</v>
      </c>
      <c r="E38" s="36">
        <f>E37/60</f>
        <v>12</v>
      </c>
      <c r="F38" s="52"/>
      <c r="G38" s="52"/>
      <c r="H38" s="62"/>
    </row>
    <row r="39" spans="1:10" ht="13.5" customHeight="1" x14ac:dyDescent="0.2">
      <c r="A39" s="133" t="s">
        <v>99</v>
      </c>
      <c r="B39" s="36">
        <v>4</v>
      </c>
      <c r="C39" s="52"/>
      <c r="D39" s="137" t="s">
        <v>122</v>
      </c>
      <c r="E39" s="125">
        <v>18</v>
      </c>
      <c r="F39" s="52"/>
      <c r="G39" s="52"/>
      <c r="H39" s="62"/>
    </row>
    <row r="40" spans="1:10" ht="13.5" customHeight="1" x14ac:dyDescent="0.2">
      <c r="A40" s="133" t="s">
        <v>100</v>
      </c>
      <c r="B40" s="36">
        <v>4</v>
      </c>
      <c r="C40" s="52"/>
      <c r="D40" s="137" t="s">
        <v>123</v>
      </c>
      <c r="E40" s="125">
        <v>45</v>
      </c>
      <c r="F40" s="52"/>
      <c r="G40" s="52"/>
      <c r="H40" s="62"/>
    </row>
    <row r="41" spans="1:10" ht="13.5" customHeight="1" x14ac:dyDescent="0.2">
      <c r="A41" s="133" t="s">
        <v>104</v>
      </c>
      <c r="B41" s="36">
        <f>SUM(B37:B40)</f>
        <v>27</v>
      </c>
      <c r="C41" s="52"/>
      <c r="D41" s="137" t="s">
        <v>124</v>
      </c>
      <c r="E41" s="125">
        <f>E39/E40*60</f>
        <v>24</v>
      </c>
      <c r="F41" s="52"/>
      <c r="G41" s="52"/>
      <c r="H41" s="62"/>
    </row>
    <row r="42" spans="1:10" ht="13.5" customHeight="1" x14ac:dyDescent="0.2">
      <c r="A42" s="133" t="s">
        <v>101</v>
      </c>
      <c r="B42" s="134" t="s">
        <v>69</v>
      </c>
      <c r="C42" s="52"/>
      <c r="D42" s="133" t="s">
        <v>125</v>
      </c>
      <c r="E42" s="36">
        <f>E38</f>
        <v>12</v>
      </c>
      <c r="F42" s="52"/>
      <c r="G42" s="52"/>
      <c r="H42" s="62"/>
      <c r="J42" s="17"/>
    </row>
    <row r="43" spans="1:10" ht="13.5" customHeight="1" x14ac:dyDescent="0.2">
      <c r="A43" s="133" t="s">
        <v>103</v>
      </c>
      <c r="B43" s="36">
        <f>27*80/60</f>
        <v>36</v>
      </c>
      <c r="C43" s="52"/>
      <c r="D43" s="133" t="s">
        <v>126</v>
      </c>
      <c r="E43" s="36">
        <f>E41</f>
        <v>24</v>
      </c>
      <c r="F43" s="52"/>
      <c r="G43" s="52"/>
      <c r="H43" s="62"/>
      <c r="J43" s="17"/>
    </row>
    <row r="44" spans="1:10" ht="13.5" customHeight="1" x14ac:dyDescent="0.2">
      <c r="A44" s="133" t="s">
        <v>102</v>
      </c>
      <c r="B44" s="135">
        <f>60/B43</f>
        <v>1.6666666666666667</v>
      </c>
      <c r="C44" s="52"/>
      <c r="D44" s="133" t="s">
        <v>127</v>
      </c>
      <c r="E44" s="36">
        <v>15</v>
      </c>
      <c r="F44" s="52"/>
      <c r="G44" s="52"/>
      <c r="H44" s="62"/>
      <c r="J44" s="17"/>
    </row>
    <row r="45" spans="1:10" ht="13.5" customHeight="1" x14ac:dyDescent="0.2">
      <c r="A45" s="133" t="s">
        <v>105</v>
      </c>
      <c r="B45" s="136">
        <f>B44*60</f>
        <v>100</v>
      </c>
      <c r="C45" s="52"/>
      <c r="D45" s="133" t="s">
        <v>128</v>
      </c>
      <c r="E45" s="36">
        <f>E41</f>
        <v>24</v>
      </c>
      <c r="F45" s="52"/>
      <c r="G45" s="52"/>
      <c r="H45" s="62"/>
    </row>
    <row r="46" spans="1:10" ht="13.5" customHeight="1" x14ac:dyDescent="0.2">
      <c r="A46" s="133" t="s">
        <v>115</v>
      </c>
      <c r="B46" s="36">
        <f>B45*B36</f>
        <v>70</v>
      </c>
      <c r="C46" s="52"/>
      <c r="D46" s="133" t="s">
        <v>129</v>
      </c>
      <c r="E46" s="36">
        <f>SUM(E42:E45)</f>
        <v>75</v>
      </c>
      <c r="F46" s="52"/>
      <c r="G46" s="52"/>
      <c r="H46" s="62"/>
    </row>
    <row r="47" spans="1:10" ht="13.5" customHeight="1" x14ac:dyDescent="0.2">
      <c r="A47" s="133" t="s">
        <v>114</v>
      </c>
      <c r="B47" s="36">
        <f>B46*60/80</f>
        <v>52.5</v>
      </c>
      <c r="C47" s="52"/>
      <c r="D47" s="133" t="s">
        <v>130</v>
      </c>
      <c r="E47" s="36">
        <f>E46/E42</f>
        <v>6.25</v>
      </c>
      <c r="F47" s="52"/>
      <c r="G47" s="52"/>
      <c r="H47" s="62"/>
    </row>
    <row r="48" spans="1:10" ht="13.5" customHeight="1" x14ac:dyDescent="0.2">
      <c r="A48" s="133" t="s">
        <v>108</v>
      </c>
      <c r="B48" s="36">
        <f>B32/B47</f>
        <v>3.5657142857142858</v>
      </c>
      <c r="C48" s="52"/>
      <c r="D48" s="138" t="s">
        <v>56</v>
      </c>
      <c r="E48" s="36">
        <v>7</v>
      </c>
      <c r="F48" s="52"/>
      <c r="G48" s="52"/>
      <c r="H48" s="62"/>
    </row>
    <row r="49" spans="1:16" ht="13.5" customHeight="1" x14ac:dyDescent="0.2">
      <c r="A49" s="133" t="s">
        <v>109</v>
      </c>
      <c r="B49" s="133">
        <v>3.33</v>
      </c>
      <c r="C49" s="52"/>
      <c r="D49" s="133" t="s">
        <v>132</v>
      </c>
      <c r="E49" s="133">
        <f>E48*E34</f>
        <v>97.222222222222229</v>
      </c>
      <c r="F49" s="52"/>
      <c r="G49" s="52"/>
      <c r="H49" s="62"/>
    </row>
    <row r="50" spans="1:16" ht="13.5" customHeight="1" x14ac:dyDescent="0.2">
      <c r="A50" s="61"/>
      <c r="B50" s="52"/>
      <c r="C50" s="52"/>
      <c r="D50" s="133" t="s">
        <v>131</v>
      </c>
      <c r="E50" s="133">
        <f>B32/E49</f>
        <v>1.9254857142857142</v>
      </c>
      <c r="F50" s="52"/>
      <c r="G50" s="52"/>
      <c r="H50" s="62"/>
      <c r="I50" s="70"/>
      <c r="J50" s="17"/>
    </row>
    <row r="51" spans="1:16" ht="13.5" customHeight="1" x14ac:dyDescent="0.2">
      <c r="A51" s="61"/>
      <c r="B51" s="52"/>
      <c r="C51" s="52"/>
      <c r="D51" s="138" t="s">
        <v>56</v>
      </c>
      <c r="E51" s="36">
        <v>2</v>
      </c>
      <c r="F51" s="52"/>
      <c r="G51" s="52"/>
      <c r="H51" s="62"/>
    </row>
    <row r="52" spans="1:16" ht="13.5" customHeight="1" x14ac:dyDescent="0.2">
      <c r="A52" s="61"/>
      <c r="B52" s="52"/>
      <c r="C52" s="52"/>
      <c r="D52" s="139" t="s">
        <v>133</v>
      </c>
      <c r="E52" s="36">
        <f>E50*E45</f>
        <v>46.211657142857142</v>
      </c>
      <c r="F52" s="52"/>
      <c r="H52" s="62"/>
    </row>
    <row r="53" spans="1:16" ht="13.5" customHeight="1" x14ac:dyDescent="0.2">
      <c r="A53" s="61"/>
      <c r="B53" s="52"/>
      <c r="C53" s="52"/>
      <c r="D53" s="139" t="s">
        <v>133</v>
      </c>
      <c r="E53" s="36">
        <f>E51*E46</f>
        <v>150</v>
      </c>
      <c r="F53" s="52"/>
      <c r="G53" s="52"/>
      <c r="H53" s="62"/>
    </row>
    <row r="54" spans="1:16" ht="13.5" customHeight="1" x14ac:dyDescent="0.2">
      <c r="A54" s="61"/>
      <c r="B54" s="52"/>
      <c r="C54" s="52"/>
      <c r="D54" s="139" t="s">
        <v>134</v>
      </c>
      <c r="E54" s="36">
        <v>2.2999999999999998</v>
      </c>
      <c r="F54" s="52"/>
      <c r="G54" s="52"/>
      <c r="H54" s="62"/>
    </row>
    <row r="55" spans="1:16" x14ac:dyDescent="0.2">
      <c r="A55" s="39" t="s">
        <v>12</v>
      </c>
      <c r="B55" s="40"/>
      <c r="C55" s="40"/>
      <c r="D55" s="40"/>
      <c r="E55" s="40"/>
      <c r="F55" s="98" t="s">
        <v>22</v>
      </c>
      <c r="G55" s="98"/>
      <c r="H55" s="99"/>
    </row>
    <row r="56" spans="1:16" ht="26.25" customHeight="1" x14ac:dyDescent="0.2">
      <c r="A56" s="41" t="s">
        <v>6</v>
      </c>
      <c r="B56" s="42" t="s">
        <v>7</v>
      </c>
      <c r="C56" s="42" t="s">
        <v>3</v>
      </c>
      <c r="D56" s="42" t="s">
        <v>8</v>
      </c>
      <c r="E56" s="43" t="s">
        <v>9</v>
      </c>
      <c r="F56" s="44" t="s">
        <v>23</v>
      </c>
      <c r="G56" s="44" t="s">
        <v>24</v>
      </c>
      <c r="H56" s="46" t="s">
        <v>25</v>
      </c>
    </row>
    <row r="57" spans="1:16" ht="18" customHeight="1" x14ac:dyDescent="0.2">
      <c r="A57" s="1"/>
      <c r="B57" s="4"/>
      <c r="C57" s="79" t="str">
        <f>IF(A57="","",VLOOKUP(A57,$O$3:$Q$23,3,FALSE))</f>
        <v/>
      </c>
      <c r="D57" s="4" t="str">
        <f>IF(A57="","",VLOOKUP(A57,$O$3:$P$23,2,FALSE))</f>
        <v/>
      </c>
      <c r="E57" s="5" t="str">
        <f>IF(A57="","",B57*D57)</f>
        <v/>
      </c>
      <c r="F57" s="36"/>
      <c r="G57" s="36" t="s">
        <v>30</v>
      </c>
      <c r="H57" s="47"/>
    </row>
    <row r="58" spans="1:16" ht="18" customHeight="1" x14ac:dyDescent="0.2">
      <c r="A58" s="1"/>
      <c r="B58" s="4"/>
      <c r="C58" s="79"/>
      <c r="D58" s="4" t="str">
        <f>IF(A58="","",VLOOKUP(A58,$O$3:$P$23,2,FALSE))</f>
        <v/>
      </c>
      <c r="E58" s="5" t="str">
        <f>IF(A58="","",B58*D58)</f>
        <v/>
      </c>
      <c r="F58" s="36"/>
      <c r="G58" s="36"/>
      <c r="H58" s="47"/>
    </row>
    <row r="59" spans="1:16" ht="18" customHeight="1" x14ac:dyDescent="0.2">
      <c r="A59" s="1"/>
      <c r="B59" s="4"/>
      <c r="C59" s="79"/>
      <c r="D59" s="4" t="str">
        <f>IF(A59="","",VLOOKUP(A59,$O$3:$P$23,2,FALSE))</f>
        <v/>
      </c>
      <c r="E59" s="5" t="str">
        <f>IF(A59="","",B59*D59)</f>
        <v/>
      </c>
      <c r="F59" s="36"/>
      <c r="G59" s="36"/>
      <c r="H59" s="47"/>
    </row>
    <row r="60" spans="1:16" ht="18" customHeight="1" x14ac:dyDescent="0.2">
      <c r="A60" s="1"/>
      <c r="B60" s="4"/>
      <c r="C60" s="79"/>
      <c r="D60" s="4" t="str">
        <f>IF(A60="","",VLOOKUP(A60,$O$3:$P$23,2,FALSE))</f>
        <v/>
      </c>
      <c r="E60" s="5" t="str">
        <f>IF(A60="","",B60*D60)</f>
        <v/>
      </c>
      <c r="F60" s="36"/>
      <c r="G60" s="36"/>
      <c r="H60" s="47"/>
    </row>
    <row r="61" spans="1:16" ht="18" customHeight="1" thickBot="1" x14ac:dyDescent="0.25">
      <c r="A61" s="48"/>
      <c r="B61" s="49"/>
      <c r="C61" s="50"/>
      <c r="D61" s="49" t="str">
        <f>IF(A61="","",VLOOKUP(A61,$O$3:$P$23,2,FALSE))</f>
        <v/>
      </c>
      <c r="E61" s="51" t="str">
        <f>IF(A61="","",B61*D61)</f>
        <v/>
      </c>
      <c r="F61" s="37"/>
      <c r="G61" s="37"/>
      <c r="H61" s="38"/>
    </row>
    <row r="62" spans="1:16" ht="19.5" customHeight="1" x14ac:dyDescent="0.2">
      <c r="I62" s="52"/>
      <c r="J62" s="52"/>
      <c r="K62" s="52"/>
      <c r="L62" s="52"/>
      <c r="M62" s="52"/>
      <c r="N62" s="52"/>
      <c r="O62" s="52"/>
      <c r="P62" s="52"/>
    </row>
    <row r="63" spans="1:16" ht="19.5" customHeight="1" x14ac:dyDescent="0.2">
      <c r="I63" s="52"/>
      <c r="J63" s="52"/>
      <c r="K63" s="52"/>
      <c r="L63" s="52"/>
      <c r="M63" s="52"/>
      <c r="N63" s="52"/>
      <c r="O63" s="52"/>
      <c r="P63" s="52"/>
    </row>
    <row r="64" spans="1:16" ht="19.5" customHeight="1" x14ac:dyDescent="0.2">
      <c r="I64" s="52"/>
      <c r="J64" s="52"/>
      <c r="K64" s="52"/>
      <c r="L64" s="52"/>
      <c r="M64" s="52"/>
      <c r="N64" s="52"/>
      <c r="O64" s="52"/>
      <c r="P64" s="52"/>
    </row>
    <row r="65" spans="9:16" ht="19.5" customHeight="1" x14ac:dyDescent="0.2">
      <c r="I65" s="52"/>
      <c r="J65" s="52"/>
      <c r="K65" s="52"/>
      <c r="L65" s="52"/>
      <c r="M65" s="52"/>
      <c r="N65" s="52"/>
      <c r="O65" s="52"/>
      <c r="P65" s="52"/>
    </row>
    <row r="66" spans="9:16" ht="19.5" customHeight="1" x14ac:dyDescent="0.2">
      <c r="I66" s="52"/>
      <c r="J66" s="52"/>
      <c r="K66" s="52"/>
      <c r="L66" s="52"/>
      <c r="M66" s="52"/>
      <c r="N66" s="52"/>
      <c r="O66" s="52"/>
      <c r="P66" s="52"/>
    </row>
    <row r="67" spans="9:16" ht="19.5" customHeight="1" x14ac:dyDescent="0.2">
      <c r="I67" s="52"/>
      <c r="J67" s="52"/>
      <c r="K67" s="52"/>
      <c r="L67" s="52"/>
      <c r="M67" s="52"/>
      <c r="N67" s="52"/>
      <c r="O67" s="52"/>
      <c r="P67" s="52"/>
    </row>
    <row r="68" spans="9:16" ht="19.5" customHeight="1" x14ac:dyDescent="0.2">
      <c r="I68" s="52"/>
      <c r="J68" s="52"/>
      <c r="K68" s="52"/>
      <c r="L68" s="52"/>
      <c r="M68" s="52"/>
      <c r="N68" s="52"/>
      <c r="O68" s="52"/>
      <c r="P68" s="52"/>
    </row>
    <row r="69" spans="9:16" ht="19.5" customHeight="1" x14ac:dyDescent="0.2">
      <c r="I69" s="52"/>
      <c r="J69" s="52"/>
      <c r="K69" s="52"/>
      <c r="L69" s="52"/>
      <c r="M69" s="52"/>
      <c r="N69" s="52"/>
      <c r="O69" s="52"/>
      <c r="P69" s="52"/>
    </row>
    <row r="70" spans="9:16" ht="19.5" customHeight="1" x14ac:dyDescent="0.2">
      <c r="I70" s="52"/>
      <c r="J70" s="52"/>
      <c r="K70" s="52"/>
      <c r="L70" s="52"/>
      <c r="M70" s="52"/>
      <c r="N70" s="52"/>
      <c r="O70" s="52"/>
      <c r="P70" s="52"/>
    </row>
    <row r="71" spans="9:16" ht="19.5" customHeight="1" x14ac:dyDescent="0.2">
      <c r="I71" s="52"/>
      <c r="J71" s="52"/>
      <c r="K71" s="52"/>
      <c r="L71" s="52"/>
      <c r="M71" s="52"/>
      <c r="N71" s="52"/>
      <c r="O71" s="52"/>
      <c r="P71" s="52"/>
    </row>
    <row r="72" spans="9:16" ht="19.5" customHeight="1" x14ac:dyDescent="0.2">
      <c r="I72" s="52"/>
      <c r="J72" s="52"/>
      <c r="K72" s="52"/>
      <c r="L72" s="52"/>
      <c r="M72" s="52"/>
      <c r="N72" s="52"/>
      <c r="O72" s="52"/>
      <c r="P72" s="52"/>
    </row>
    <row r="73" spans="9:16" ht="19.5" customHeight="1" x14ac:dyDescent="0.2">
      <c r="I73" s="52"/>
      <c r="J73" s="52"/>
      <c r="K73" s="52"/>
      <c r="L73" s="52"/>
      <c r="M73" s="52"/>
      <c r="N73" s="52"/>
      <c r="O73" s="52"/>
      <c r="P73" s="52"/>
    </row>
    <row r="74" spans="9:16" ht="19.5" customHeight="1" x14ac:dyDescent="0.2">
      <c r="I74" s="52"/>
      <c r="J74" s="52"/>
      <c r="K74" s="52"/>
      <c r="L74" s="52"/>
      <c r="M74" s="52"/>
      <c r="N74" s="52"/>
      <c r="O74" s="52"/>
      <c r="P74" s="52"/>
    </row>
    <row r="75" spans="9:16" ht="19.5" customHeight="1" x14ac:dyDescent="0.2">
      <c r="I75" s="52"/>
      <c r="J75" s="52"/>
      <c r="K75" s="52"/>
      <c r="L75" s="52"/>
      <c r="M75" s="52"/>
      <c r="N75" s="52"/>
      <c r="O75" s="52"/>
      <c r="P75" s="52"/>
    </row>
    <row r="76" spans="9:16" ht="19.5" customHeight="1" x14ac:dyDescent="0.2">
      <c r="I76" s="52"/>
      <c r="J76" s="52"/>
      <c r="K76" s="52"/>
      <c r="L76" s="52"/>
      <c r="M76" s="52"/>
      <c r="N76" s="52"/>
      <c r="O76" s="52"/>
      <c r="P76" s="52"/>
    </row>
    <row r="77" spans="9:16" ht="19.5" customHeight="1" x14ac:dyDescent="0.2">
      <c r="I77" s="52"/>
      <c r="J77" s="52"/>
      <c r="K77" s="52"/>
      <c r="L77" s="52"/>
      <c r="M77" s="52"/>
      <c r="N77" s="52"/>
      <c r="O77" s="52"/>
      <c r="P77" s="52"/>
    </row>
    <row r="78" spans="9:16" ht="19.5" customHeight="1" x14ac:dyDescent="0.2">
      <c r="I78" s="52"/>
      <c r="J78" s="52"/>
      <c r="K78" s="52"/>
      <c r="L78" s="52"/>
      <c r="M78" s="52"/>
      <c r="N78" s="52"/>
      <c r="O78" s="52"/>
      <c r="P78" s="52"/>
    </row>
    <row r="79" spans="9:16" ht="19.5" customHeight="1" x14ac:dyDescent="0.2">
      <c r="I79" s="52"/>
      <c r="J79" s="52"/>
      <c r="K79" s="52"/>
      <c r="L79" s="52"/>
      <c r="M79" s="52"/>
      <c r="N79" s="52"/>
      <c r="O79" s="52"/>
      <c r="P79" s="52"/>
    </row>
    <row r="80" spans="9:16" ht="19.5" customHeight="1" x14ac:dyDescent="0.2">
      <c r="I80" s="52"/>
      <c r="J80" s="52"/>
      <c r="K80" s="52"/>
      <c r="L80" s="52"/>
      <c r="M80" s="52"/>
      <c r="N80" s="52"/>
      <c r="O80" s="52"/>
      <c r="P80" s="52"/>
    </row>
    <row r="81" spans="9:16" ht="19.5" customHeight="1" x14ac:dyDescent="0.2">
      <c r="I81" s="52"/>
      <c r="J81" s="52"/>
      <c r="K81" s="52"/>
      <c r="L81" s="52"/>
      <c r="M81" s="52"/>
      <c r="N81" s="52"/>
      <c r="O81" s="52"/>
      <c r="P81" s="52"/>
    </row>
    <row r="82" spans="9:16" ht="19.5" customHeight="1" x14ac:dyDescent="0.2">
      <c r="I82" s="52"/>
      <c r="J82" s="52"/>
      <c r="K82" s="52"/>
      <c r="L82" s="52"/>
      <c r="M82" s="52"/>
      <c r="N82" s="52"/>
      <c r="O82" s="52"/>
      <c r="P82" s="52"/>
    </row>
    <row r="83" spans="9:16" ht="19.5" customHeight="1" x14ac:dyDescent="0.2">
      <c r="I83" s="52"/>
      <c r="J83" s="52"/>
      <c r="K83" s="52"/>
      <c r="L83" s="52"/>
      <c r="M83" s="52"/>
      <c r="N83" s="52"/>
      <c r="O83" s="52"/>
      <c r="P83" s="52"/>
    </row>
    <row r="84" spans="9:16" ht="19.5" customHeight="1" x14ac:dyDescent="0.2">
      <c r="I84" s="52"/>
      <c r="J84" s="52"/>
      <c r="K84" s="52"/>
      <c r="L84" s="52"/>
      <c r="M84" s="52"/>
      <c r="N84" s="52"/>
      <c r="O84" s="52"/>
      <c r="P84" s="52"/>
    </row>
    <row r="85" spans="9:16" ht="19.5" customHeight="1" x14ac:dyDescent="0.2">
      <c r="I85" s="52"/>
      <c r="J85" s="52"/>
      <c r="K85" s="52"/>
      <c r="L85" s="52"/>
      <c r="M85" s="52"/>
      <c r="N85" s="52"/>
      <c r="O85" s="52"/>
      <c r="P85" s="52"/>
    </row>
    <row r="86" spans="9:16" ht="19.5" customHeight="1" x14ac:dyDescent="0.2">
      <c r="I86" s="52"/>
      <c r="J86" s="52"/>
      <c r="K86" s="52"/>
      <c r="L86" s="52"/>
      <c r="M86" s="52"/>
      <c r="N86" s="52"/>
      <c r="O86" s="52"/>
      <c r="P86" s="52"/>
    </row>
    <row r="87" spans="9:16" ht="19.5" customHeight="1" x14ac:dyDescent="0.2">
      <c r="I87" s="52"/>
      <c r="J87" s="52"/>
      <c r="K87" s="52"/>
      <c r="L87" s="52"/>
      <c r="M87" s="52"/>
      <c r="N87" s="52"/>
      <c r="O87" s="52"/>
      <c r="P87" s="52"/>
    </row>
    <row r="88" spans="9:16" ht="19.5" customHeight="1" x14ac:dyDescent="0.2">
      <c r="I88" s="52"/>
      <c r="J88" s="52"/>
      <c r="K88" s="52"/>
      <c r="L88" s="52"/>
      <c r="M88" s="52"/>
      <c r="N88" s="52"/>
      <c r="O88" s="52"/>
      <c r="P88" s="52"/>
    </row>
    <row r="89" spans="9:16" ht="19.5" customHeight="1" x14ac:dyDescent="0.2">
      <c r="I89" s="52"/>
      <c r="J89" s="52"/>
      <c r="K89" s="52"/>
      <c r="L89" s="52"/>
      <c r="M89" s="52"/>
      <c r="N89" s="52"/>
      <c r="O89" s="52"/>
      <c r="P89" s="52"/>
    </row>
    <row r="90" spans="9:16" ht="19.5" customHeight="1" x14ac:dyDescent="0.2">
      <c r="I90" s="52"/>
      <c r="J90" s="52"/>
      <c r="K90" s="52"/>
      <c r="L90" s="52"/>
      <c r="M90" s="52"/>
      <c r="N90" s="52"/>
      <c r="O90" s="52"/>
      <c r="P90" s="52"/>
    </row>
    <row r="91" spans="9:16" ht="19.5" customHeight="1" x14ac:dyDescent="0.2">
      <c r="I91" s="52"/>
      <c r="J91" s="52"/>
      <c r="K91" s="52"/>
      <c r="L91" s="52"/>
      <c r="M91" s="52"/>
      <c r="N91" s="52"/>
      <c r="O91" s="52"/>
      <c r="P91" s="52"/>
    </row>
    <row r="92" spans="9:16" ht="19.5" customHeight="1" x14ac:dyDescent="0.2">
      <c r="I92" s="52"/>
      <c r="J92" s="52"/>
      <c r="K92" s="52"/>
      <c r="L92" s="52"/>
      <c r="M92" s="52"/>
      <c r="N92" s="52"/>
      <c r="O92" s="52"/>
      <c r="P92" s="52"/>
    </row>
    <row r="93" spans="9:16" ht="19.5" customHeight="1" x14ac:dyDescent="0.2">
      <c r="I93" s="52"/>
      <c r="J93" s="52"/>
      <c r="K93" s="52"/>
      <c r="L93" s="52"/>
      <c r="M93" s="52"/>
      <c r="N93" s="52"/>
      <c r="O93" s="52"/>
      <c r="P93" s="52"/>
    </row>
    <row r="94" spans="9:16" ht="19.5" customHeight="1" x14ac:dyDescent="0.2">
      <c r="I94" s="52"/>
      <c r="J94" s="52"/>
      <c r="K94" s="52"/>
      <c r="L94" s="52"/>
      <c r="M94" s="52"/>
      <c r="N94" s="52"/>
      <c r="O94" s="52"/>
      <c r="P94" s="52"/>
    </row>
    <row r="95" spans="9:16" ht="19.5" customHeight="1" x14ac:dyDescent="0.2">
      <c r="I95" s="52"/>
      <c r="J95" s="52"/>
      <c r="K95" s="52"/>
      <c r="L95" s="52"/>
      <c r="M95" s="52"/>
      <c r="N95" s="52"/>
      <c r="O95" s="52"/>
      <c r="P95" s="52"/>
    </row>
    <row r="96" spans="9:16" ht="19.5" customHeight="1" x14ac:dyDescent="0.2">
      <c r="I96" s="52"/>
      <c r="J96" s="52"/>
      <c r="K96" s="52"/>
      <c r="L96" s="52"/>
      <c r="M96" s="52"/>
      <c r="N96" s="52"/>
      <c r="O96" s="52"/>
      <c r="P96" s="52"/>
    </row>
    <row r="97" spans="9:16" ht="19.5" customHeight="1" x14ac:dyDescent="0.2">
      <c r="I97" s="52"/>
      <c r="J97" s="52"/>
      <c r="K97" s="52"/>
      <c r="L97" s="52"/>
      <c r="M97" s="52"/>
      <c r="N97" s="52"/>
      <c r="O97" s="52"/>
      <c r="P97" s="52"/>
    </row>
    <row r="98" spans="9:16" ht="19.5" customHeight="1" x14ac:dyDescent="0.2">
      <c r="I98" s="52"/>
      <c r="J98" s="52"/>
      <c r="K98" s="52"/>
      <c r="L98" s="52"/>
      <c r="M98" s="52"/>
      <c r="N98" s="52"/>
      <c r="O98" s="52"/>
      <c r="P98" s="52"/>
    </row>
    <row r="99" spans="9:16" ht="19.5" customHeight="1" x14ac:dyDescent="0.2">
      <c r="I99" s="52"/>
      <c r="J99" s="52"/>
      <c r="K99" s="52"/>
      <c r="L99" s="52"/>
      <c r="M99" s="52"/>
      <c r="N99" s="52"/>
      <c r="O99" s="52"/>
      <c r="P99" s="52"/>
    </row>
    <row r="100" spans="9:16" ht="19.5" customHeight="1" x14ac:dyDescent="0.2">
      <c r="I100" s="52"/>
      <c r="J100" s="52"/>
      <c r="K100" s="52"/>
      <c r="L100" s="52"/>
      <c r="M100" s="52"/>
      <c r="N100" s="52"/>
      <c r="O100" s="52"/>
      <c r="P100" s="52"/>
    </row>
    <row r="101" spans="9:16" ht="19.5" customHeight="1" x14ac:dyDescent="0.2">
      <c r="I101" s="52"/>
      <c r="J101" s="52"/>
      <c r="K101" s="52"/>
      <c r="L101" s="52"/>
      <c r="M101" s="52"/>
      <c r="N101" s="52"/>
      <c r="O101" s="52"/>
      <c r="P101" s="52"/>
    </row>
    <row r="102" spans="9:16" ht="19.5" customHeight="1" x14ac:dyDescent="0.2">
      <c r="I102" s="52"/>
      <c r="J102" s="52"/>
      <c r="K102" s="52"/>
      <c r="L102" s="52"/>
      <c r="M102" s="52"/>
      <c r="N102" s="52"/>
      <c r="O102" s="52"/>
      <c r="P102" s="52"/>
    </row>
    <row r="103" spans="9:16" ht="19.5" customHeight="1" x14ac:dyDescent="0.2">
      <c r="I103" s="52"/>
      <c r="J103" s="52"/>
      <c r="K103" s="52"/>
      <c r="L103" s="52"/>
      <c r="M103" s="52"/>
      <c r="N103" s="52"/>
      <c r="O103" s="52"/>
      <c r="P103" s="52"/>
    </row>
    <row r="104" spans="9:16" ht="19.5" customHeight="1" x14ac:dyDescent="0.2">
      <c r="I104" s="52"/>
      <c r="J104" s="52"/>
      <c r="K104" s="52"/>
      <c r="L104" s="52"/>
      <c r="M104" s="52"/>
      <c r="N104" s="52"/>
      <c r="O104" s="52"/>
      <c r="P104" s="52"/>
    </row>
    <row r="105" spans="9:16" ht="19.5" customHeight="1" x14ac:dyDescent="0.2"/>
    <row r="106" spans="9:16" ht="19.5" customHeight="1" x14ac:dyDescent="0.2"/>
    <row r="107" spans="9:16" ht="19.5" customHeight="1" x14ac:dyDescent="0.2"/>
    <row r="108" spans="9:16" ht="19.5" customHeight="1" x14ac:dyDescent="0.2"/>
    <row r="109" spans="9:16" ht="19.5" customHeight="1" x14ac:dyDescent="0.2"/>
    <row r="110" spans="9:16" ht="19.5" customHeight="1" x14ac:dyDescent="0.2"/>
    <row r="111" spans="9:16" ht="19.5" customHeight="1" x14ac:dyDescent="0.2"/>
    <row r="112" spans="9:16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  <row r="119" ht="19.5" customHeight="1" x14ac:dyDescent="0.2"/>
    <row r="120" ht="19.5" customHeight="1" x14ac:dyDescent="0.2"/>
    <row r="121" ht="19.5" customHeight="1" x14ac:dyDescent="0.2"/>
    <row r="122" ht="19.5" customHeight="1" x14ac:dyDescent="0.2"/>
    <row r="123" ht="19.5" customHeight="1" x14ac:dyDescent="0.2"/>
    <row r="124" ht="19.5" customHeight="1" x14ac:dyDescent="0.2"/>
    <row r="125" ht="19.5" customHeight="1" x14ac:dyDescent="0.2"/>
    <row r="126" ht="19.5" customHeight="1" x14ac:dyDescent="0.2"/>
  </sheetData>
  <mergeCells count="12">
    <mergeCell ref="A5:H5"/>
    <mergeCell ref="A10:D10"/>
    <mergeCell ref="E10:H10"/>
    <mergeCell ref="C11:D11"/>
    <mergeCell ref="G11:H11"/>
    <mergeCell ref="F55:H55"/>
    <mergeCell ref="A1:C1"/>
    <mergeCell ref="D1:H1"/>
    <mergeCell ref="A2:C2"/>
    <mergeCell ref="D2:H2"/>
    <mergeCell ref="A3:A4"/>
    <mergeCell ref="B3:D4"/>
  </mergeCells>
  <dataValidations count="1">
    <dataValidation type="list" allowBlank="1" showInputMessage="1" showErrorMessage="1" sqref="A57:A61">
      <formula1>$O$3:$O$23</formula1>
    </dataValidation>
  </dataValidations>
  <printOptions horizontalCentered="1" verticalCentered="1"/>
  <pageMargins left="0" right="0" top="0" bottom="0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N32"/>
  <sheetViews>
    <sheetView workbookViewId="0">
      <selection activeCell="C30" sqref="C30"/>
    </sheetView>
  </sheetViews>
  <sheetFormatPr baseColWidth="10" defaultRowHeight="12.75" x14ac:dyDescent="0.2"/>
  <cols>
    <col min="1" max="1" width="14.85546875" customWidth="1"/>
    <col min="3" max="3" width="28" customWidth="1"/>
    <col min="4" max="4" width="13.5703125" bestFit="1" customWidth="1"/>
    <col min="10" max="10" width="15.28515625" customWidth="1"/>
    <col min="11" max="11" width="17.5703125" customWidth="1"/>
  </cols>
  <sheetData>
    <row r="4" spans="3:14" x14ac:dyDescent="0.2">
      <c r="C4" t="s">
        <v>31</v>
      </c>
      <c r="D4" s="74" t="s">
        <v>39</v>
      </c>
      <c r="E4" s="74" t="s">
        <v>38</v>
      </c>
      <c r="H4" t="s">
        <v>46</v>
      </c>
      <c r="I4">
        <v>1.8</v>
      </c>
      <c r="K4" t="s">
        <v>47</v>
      </c>
      <c r="L4">
        <v>25</v>
      </c>
    </row>
    <row r="5" spans="3:14" x14ac:dyDescent="0.2">
      <c r="C5" t="s">
        <v>32</v>
      </c>
      <c r="D5">
        <v>10</v>
      </c>
      <c r="E5">
        <v>6.14</v>
      </c>
      <c r="K5" t="s">
        <v>48</v>
      </c>
      <c r="L5">
        <f>L4/I4</f>
        <v>13.888888888888889</v>
      </c>
      <c r="M5">
        <v>13.888</v>
      </c>
    </row>
    <row r="6" spans="3:14" x14ac:dyDescent="0.2">
      <c r="C6" t="s">
        <v>33</v>
      </c>
      <c r="D6">
        <v>6</v>
      </c>
      <c r="E6">
        <v>24</v>
      </c>
    </row>
    <row r="7" spans="3:14" x14ac:dyDescent="0.2">
      <c r="C7" t="s">
        <v>34</v>
      </c>
      <c r="D7">
        <v>6</v>
      </c>
      <c r="E7">
        <v>15</v>
      </c>
      <c r="K7" t="s">
        <v>49</v>
      </c>
      <c r="L7">
        <f>M5/H11</f>
        <v>11.573333333333334</v>
      </c>
      <c r="M7">
        <v>12</v>
      </c>
    </row>
    <row r="8" spans="3:14" x14ac:dyDescent="0.2">
      <c r="C8" t="s">
        <v>35</v>
      </c>
      <c r="D8">
        <v>4</v>
      </c>
      <c r="E8">
        <v>24</v>
      </c>
      <c r="K8" t="s">
        <v>50</v>
      </c>
      <c r="L8">
        <f>M7*D12</f>
        <v>374.4</v>
      </c>
      <c r="M8">
        <f>L8/60</f>
        <v>6.2399999999999993</v>
      </c>
      <c r="N8">
        <v>6.14</v>
      </c>
    </row>
    <row r="9" spans="3:14" x14ac:dyDescent="0.2">
      <c r="C9" t="s">
        <v>36</v>
      </c>
      <c r="D9">
        <f>SUM(D5:D8)</f>
        <v>26</v>
      </c>
      <c r="E9">
        <f>SUM(E5:E8)</f>
        <v>69.14</v>
      </c>
      <c r="M9">
        <f>0.24*60</f>
        <v>14.399999999999999</v>
      </c>
    </row>
    <row r="11" spans="3:14" ht="25.5" x14ac:dyDescent="0.2">
      <c r="G11" s="78" t="s">
        <v>42</v>
      </c>
      <c r="H11" s="74">
        <v>1.2</v>
      </c>
      <c r="J11" s="78" t="s">
        <v>45</v>
      </c>
      <c r="K11">
        <v>2304</v>
      </c>
    </row>
    <row r="12" spans="3:14" x14ac:dyDescent="0.2">
      <c r="C12" s="74" t="s">
        <v>37</v>
      </c>
      <c r="D12">
        <f>D9*60/50</f>
        <v>31.2</v>
      </c>
    </row>
    <row r="13" spans="3:14" x14ac:dyDescent="0.2">
      <c r="C13" s="74"/>
    </row>
    <row r="14" spans="3:14" x14ac:dyDescent="0.2">
      <c r="C14" s="74" t="s">
        <v>40</v>
      </c>
      <c r="D14" s="75">
        <f>60/D9</f>
        <v>2.3076923076923075</v>
      </c>
      <c r="E14">
        <v>2.31</v>
      </c>
      <c r="K14" t="s">
        <v>55</v>
      </c>
      <c r="L14" t="s">
        <v>56</v>
      </c>
    </row>
    <row r="15" spans="3:14" x14ac:dyDescent="0.2">
      <c r="C15" s="74" t="s">
        <v>41</v>
      </c>
      <c r="D15" s="77">
        <f>D14*60</f>
        <v>138.46153846153845</v>
      </c>
      <c r="E15" s="77">
        <f>E14*60</f>
        <v>138.6</v>
      </c>
      <c r="J15" t="s">
        <v>54</v>
      </c>
      <c r="K15">
        <f>E9/N8</f>
        <v>11.260586319218241</v>
      </c>
      <c r="L15">
        <v>12</v>
      </c>
    </row>
    <row r="16" spans="3:14" x14ac:dyDescent="0.2">
      <c r="C16" s="74" t="s">
        <v>43</v>
      </c>
      <c r="E16">
        <f>E15*H11</f>
        <v>166.32</v>
      </c>
    </row>
    <row r="17" spans="3:5" x14ac:dyDescent="0.2">
      <c r="C17" s="74" t="s">
        <v>44</v>
      </c>
      <c r="E17">
        <f>E16*50/60</f>
        <v>138.6</v>
      </c>
    </row>
    <row r="19" spans="3:5" x14ac:dyDescent="0.2">
      <c r="C19" t="s">
        <v>51</v>
      </c>
      <c r="D19" s="76">
        <f>E9/E5</f>
        <v>11.260586319218241</v>
      </c>
    </row>
    <row r="20" spans="3:5" x14ac:dyDescent="0.2">
      <c r="D20">
        <v>12</v>
      </c>
    </row>
    <row r="22" spans="3:5" x14ac:dyDescent="0.2">
      <c r="C22" t="s">
        <v>52</v>
      </c>
      <c r="D22">
        <f>12*M5</f>
        <v>166.65600000000001</v>
      </c>
    </row>
    <row r="23" spans="3:5" x14ac:dyDescent="0.2">
      <c r="C23" t="s">
        <v>53</v>
      </c>
      <c r="D23">
        <f>K11/D22</f>
        <v>13.824884792626728</v>
      </c>
    </row>
    <row r="31" spans="3:5" s="124" customFormat="1" x14ac:dyDescent="0.2"/>
    <row r="32" spans="3:5" s="124" customFormat="1" x14ac:dyDescent="0.2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18"/>
  <sheetViews>
    <sheetView topLeftCell="B1" workbookViewId="0">
      <selection activeCell="E16" sqref="E16:F18"/>
    </sheetView>
  </sheetViews>
  <sheetFormatPr baseColWidth="10" defaultRowHeight="12.75" x14ac:dyDescent="0.2"/>
  <cols>
    <col min="1" max="1" width="12.85546875" style="127" customWidth="1"/>
    <col min="2" max="16384" width="11.42578125" style="127"/>
  </cols>
  <sheetData>
    <row r="3" spans="1:20" ht="38.25" x14ac:dyDescent="0.2">
      <c r="A3" s="126" t="s">
        <v>61</v>
      </c>
      <c r="B3" s="126" t="s">
        <v>59</v>
      </c>
      <c r="C3" s="126" t="s">
        <v>72</v>
      </c>
      <c r="D3" s="126" t="s">
        <v>60</v>
      </c>
      <c r="E3" s="126" t="s">
        <v>64</v>
      </c>
      <c r="F3" s="126" t="s">
        <v>65</v>
      </c>
      <c r="G3" s="126" t="s">
        <v>66</v>
      </c>
      <c r="H3" s="126" t="s">
        <v>67</v>
      </c>
      <c r="I3" s="126" t="s">
        <v>68</v>
      </c>
      <c r="J3" s="126" t="s">
        <v>62</v>
      </c>
      <c r="K3" s="126" t="s">
        <v>63</v>
      </c>
    </row>
    <row r="4" spans="1:20" x14ac:dyDescent="0.2">
      <c r="A4" s="126">
        <v>187.2</v>
      </c>
      <c r="B4" s="126" t="s">
        <v>57</v>
      </c>
      <c r="C4" s="126">
        <v>700</v>
      </c>
      <c r="D4" s="126">
        <v>0.7</v>
      </c>
      <c r="E4" s="126">
        <v>15</v>
      </c>
      <c r="F4" s="126">
        <v>4</v>
      </c>
      <c r="G4" s="126">
        <v>4</v>
      </c>
      <c r="H4" s="126">
        <v>4</v>
      </c>
      <c r="I4" s="126">
        <f>SUM(E4:H4)</f>
        <v>27</v>
      </c>
      <c r="J4" s="126" t="s">
        <v>69</v>
      </c>
      <c r="K4" s="126">
        <f>27*80/60</f>
        <v>36</v>
      </c>
    </row>
    <row r="7" spans="1:20" ht="63.75" x14ac:dyDescent="0.2">
      <c r="A7" s="126" t="s">
        <v>59</v>
      </c>
      <c r="B7" s="126" t="s">
        <v>71</v>
      </c>
      <c r="C7" s="126" t="s">
        <v>70</v>
      </c>
      <c r="D7" s="126" t="s">
        <v>60</v>
      </c>
      <c r="E7" s="126" t="s">
        <v>73</v>
      </c>
      <c r="F7" s="126" t="s">
        <v>74</v>
      </c>
      <c r="G7" s="126" t="s">
        <v>75</v>
      </c>
      <c r="H7" s="129" t="s">
        <v>80</v>
      </c>
      <c r="I7" s="129" t="s">
        <v>83</v>
      </c>
      <c r="J7" s="129" t="s">
        <v>81</v>
      </c>
      <c r="K7" s="126" t="s">
        <v>76</v>
      </c>
      <c r="L7" s="126" t="s">
        <v>77</v>
      </c>
      <c r="M7" s="126" t="s">
        <v>78</v>
      </c>
      <c r="N7" s="126" t="s">
        <v>79</v>
      </c>
      <c r="O7" s="126" t="s">
        <v>68</v>
      </c>
      <c r="P7" s="129" t="s">
        <v>82</v>
      </c>
      <c r="Q7" s="129" t="s">
        <v>85</v>
      </c>
      <c r="R7" s="129" t="s">
        <v>84</v>
      </c>
      <c r="S7" s="129" t="s">
        <v>106</v>
      </c>
      <c r="T7" s="129" t="s">
        <v>107</v>
      </c>
    </row>
    <row r="8" spans="1:20" x14ac:dyDescent="0.2">
      <c r="A8" s="126" t="s">
        <v>58</v>
      </c>
      <c r="B8" s="126">
        <v>25</v>
      </c>
      <c r="C8" s="126">
        <v>1.8</v>
      </c>
      <c r="D8" s="128">
        <f>25/1.8</f>
        <v>13.888888888888889</v>
      </c>
      <c r="E8" s="126">
        <v>18</v>
      </c>
      <c r="F8" s="126">
        <v>45</v>
      </c>
      <c r="G8" s="126">
        <f>E8/F8*60</f>
        <v>24</v>
      </c>
      <c r="H8" s="130">
        <f>D8/D4</f>
        <v>19.841269841269842</v>
      </c>
      <c r="I8" s="130">
        <v>20</v>
      </c>
      <c r="J8" s="126">
        <f>20*36/60</f>
        <v>12</v>
      </c>
      <c r="K8" s="126">
        <v>12</v>
      </c>
      <c r="L8" s="126">
        <v>24</v>
      </c>
      <c r="M8" s="126">
        <v>15</v>
      </c>
      <c r="N8" s="126">
        <v>24</v>
      </c>
      <c r="O8" s="126">
        <f>SUM(K8:N8)</f>
        <v>75</v>
      </c>
      <c r="P8" s="126">
        <f>75/12</f>
        <v>6.25</v>
      </c>
      <c r="Q8" s="126">
        <v>7</v>
      </c>
      <c r="R8" s="131">
        <f>Q8*D8</f>
        <v>97.222222222222229</v>
      </c>
      <c r="S8" s="131">
        <f>A4/R8</f>
        <v>1.925485714285714</v>
      </c>
      <c r="T8" s="131">
        <v>2</v>
      </c>
    </row>
    <row r="16" spans="1:20" ht="25.5" x14ac:dyDescent="0.2">
      <c r="E16" s="126" t="s">
        <v>73</v>
      </c>
      <c r="F16" s="126">
        <v>18</v>
      </c>
    </row>
    <row r="17" spans="5:6" ht="25.5" x14ac:dyDescent="0.2">
      <c r="E17" s="126" t="s">
        <v>74</v>
      </c>
      <c r="F17" s="126">
        <v>45</v>
      </c>
    </row>
    <row r="18" spans="5:6" ht="38.25" x14ac:dyDescent="0.2">
      <c r="E18" s="126" t="s">
        <v>75</v>
      </c>
      <c r="F18" s="126">
        <f>F16/F17*60</f>
        <v>24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1"/>
  <sheetViews>
    <sheetView workbookViewId="0">
      <selection activeCell="Q5" sqref="Q5"/>
    </sheetView>
  </sheetViews>
  <sheetFormatPr baseColWidth="10" defaultRowHeight="12.75" x14ac:dyDescent="0.2"/>
  <cols>
    <col min="1" max="1" width="30.28515625" customWidth="1"/>
    <col min="2" max="2" width="10.28515625" customWidth="1"/>
    <col min="3" max="3" width="6.42578125" bestFit="1" customWidth="1"/>
    <col min="4" max="4" width="9.7109375" customWidth="1"/>
    <col min="5" max="5" width="12.85546875" customWidth="1"/>
    <col min="7" max="7" width="17" customWidth="1"/>
    <col min="8" max="8" width="12.42578125" customWidth="1"/>
    <col min="9" max="9" width="9.5703125" bestFit="1" customWidth="1"/>
    <col min="10" max="10" width="6.42578125" bestFit="1" customWidth="1"/>
    <col min="12" max="12" width="8" customWidth="1"/>
    <col min="13" max="13" width="3.5703125" customWidth="1"/>
    <col min="18" max="18" width="18" bestFit="1" customWidth="1"/>
    <col min="21" max="21" width="22.7109375" customWidth="1"/>
    <col min="24" max="24" width="15.85546875" bestFit="1" customWidth="1"/>
  </cols>
  <sheetData>
    <row r="1" spans="1:29" x14ac:dyDescent="0.2">
      <c r="A1" s="117" t="s">
        <v>0</v>
      </c>
      <c r="B1" s="118"/>
      <c r="C1" s="118"/>
      <c r="D1" s="118"/>
      <c r="E1" s="118"/>
      <c r="F1" s="18" t="s">
        <v>1</v>
      </c>
      <c r="G1" s="116"/>
      <c r="H1" s="116"/>
      <c r="I1" s="28" t="s">
        <v>2</v>
      </c>
      <c r="J1" s="28" t="s">
        <v>3</v>
      </c>
      <c r="K1" s="28" t="s">
        <v>4</v>
      </c>
      <c r="L1" s="29" t="s">
        <v>5</v>
      </c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</row>
    <row r="2" spans="1:29" ht="17.25" customHeight="1" x14ac:dyDescent="0.25">
      <c r="A2" s="19" t="s">
        <v>6</v>
      </c>
      <c r="B2" s="20" t="s">
        <v>7</v>
      </c>
      <c r="C2" s="7"/>
      <c r="D2" s="7"/>
      <c r="E2" s="7"/>
      <c r="F2" s="26" t="s">
        <v>6</v>
      </c>
      <c r="G2" s="119"/>
      <c r="H2" s="119"/>
      <c r="I2" s="21"/>
      <c r="J2" s="22"/>
      <c r="K2" s="21"/>
      <c r="L2" s="27"/>
      <c r="O2" s="71"/>
      <c r="P2" s="71"/>
      <c r="Q2" s="71"/>
      <c r="R2" s="115"/>
      <c r="S2" s="115"/>
      <c r="T2" s="71"/>
      <c r="U2" s="115"/>
      <c r="V2" s="115"/>
      <c r="W2" s="71"/>
      <c r="X2" s="115"/>
      <c r="Y2" s="115"/>
      <c r="Z2" s="71"/>
      <c r="AA2" s="71"/>
      <c r="AB2" s="71"/>
      <c r="AC2" s="71"/>
    </row>
    <row r="3" spans="1:29" ht="16.5" customHeight="1" thickBot="1" x14ac:dyDescent="0.25">
      <c r="A3" s="1"/>
      <c r="B3" s="4"/>
      <c r="C3" s="7"/>
      <c r="D3" s="7"/>
      <c r="E3" s="7"/>
      <c r="F3" s="120" t="s">
        <v>14</v>
      </c>
      <c r="G3" s="121"/>
      <c r="H3" s="122"/>
      <c r="I3" s="122"/>
      <c r="J3" s="122"/>
      <c r="K3" s="122"/>
      <c r="L3" s="123"/>
      <c r="O3" s="71"/>
      <c r="P3" s="71"/>
      <c r="Q3" s="71"/>
      <c r="R3" s="71"/>
      <c r="S3" s="72"/>
      <c r="T3" s="71"/>
      <c r="U3" s="71"/>
      <c r="V3" s="72"/>
      <c r="W3" s="71"/>
      <c r="X3" s="71"/>
      <c r="Y3" s="72"/>
      <c r="Z3" s="71"/>
      <c r="AA3" s="71"/>
      <c r="AB3" s="71"/>
      <c r="AC3" s="71"/>
    </row>
    <row r="4" spans="1:29" ht="16.5" customHeight="1" x14ac:dyDescent="0.2">
      <c r="A4" s="1"/>
      <c r="B4" s="4"/>
      <c r="C4" s="7"/>
      <c r="D4" s="7"/>
      <c r="E4" s="7"/>
      <c r="F4" s="25" t="s">
        <v>15</v>
      </c>
      <c r="G4" s="23"/>
      <c r="H4" s="23"/>
      <c r="I4" s="23"/>
      <c r="J4" s="23"/>
      <c r="K4" s="23"/>
      <c r="L4" s="24"/>
      <c r="O4" s="71"/>
      <c r="P4" s="71"/>
      <c r="Q4" s="71"/>
      <c r="R4" s="71"/>
      <c r="S4" s="72"/>
      <c r="T4" s="71"/>
      <c r="U4" s="71"/>
      <c r="V4" s="72"/>
      <c r="W4" s="71"/>
      <c r="X4" s="71"/>
      <c r="Y4" s="72"/>
      <c r="Z4" s="71"/>
      <c r="AA4" s="71"/>
      <c r="AB4" s="71"/>
      <c r="AC4" s="71"/>
    </row>
    <row r="5" spans="1:29" ht="16.5" customHeight="1" x14ac:dyDescent="0.2">
      <c r="A5" s="1"/>
      <c r="B5" s="4"/>
      <c r="C5" s="7"/>
      <c r="D5" s="7"/>
      <c r="E5" s="7"/>
      <c r="F5" s="6"/>
      <c r="G5" s="7"/>
      <c r="H5" s="7"/>
      <c r="I5" s="7"/>
      <c r="J5" s="7"/>
      <c r="K5" s="7"/>
      <c r="L5" s="8"/>
      <c r="O5" s="71"/>
      <c r="P5" s="71"/>
      <c r="Q5" s="71"/>
      <c r="R5" s="71"/>
      <c r="S5" s="72"/>
      <c r="T5" s="71"/>
      <c r="U5" s="71"/>
      <c r="V5" s="72"/>
      <c r="W5" s="71"/>
      <c r="X5" s="71"/>
      <c r="Y5" s="72"/>
      <c r="Z5" s="71"/>
      <c r="AA5" s="71"/>
      <c r="AB5" s="71"/>
      <c r="AC5" s="71"/>
    </row>
    <row r="6" spans="1:29" ht="16.5" customHeight="1" x14ac:dyDescent="0.2">
      <c r="A6" s="1"/>
      <c r="B6" s="4"/>
      <c r="C6" s="7"/>
      <c r="D6" s="7"/>
      <c r="E6" s="7"/>
      <c r="F6" s="6"/>
      <c r="G6" s="7"/>
      <c r="H6" s="7"/>
      <c r="I6" s="7"/>
      <c r="J6" s="7"/>
      <c r="K6" s="7"/>
      <c r="L6" s="8"/>
      <c r="O6" s="71"/>
      <c r="P6" s="71"/>
      <c r="Q6" s="71"/>
      <c r="R6" s="71"/>
      <c r="S6" s="72"/>
      <c r="T6" s="71"/>
      <c r="U6" s="71"/>
      <c r="V6" s="72"/>
      <c r="W6" s="71"/>
      <c r="X6" s="71"/>
      <c r="Y6" s="72"/>
      <c r="Z6" s="71"/>
      <c r="AA6" s="71"/>
      <c r="AB6" s="71"/>
      <c r="AC6" s="71"/>
    </row>
    <row r="7" spans="1:29" ht="16.5" customHeight="1" x14ac:dyDescent="0.2">
      <c r="A7" s="1"/>
      <c r="B7" s="4"/>
      <c r="C7" s="7"/>
      <c r="D7" s="7"/>
      <c r="E7" s="7"/>
      <c r="F7" s="6"/>
      <c r="G7" s="7"/>
      <c r="H7" s="7"/>
      <c r="I7" s="7"/>
      <c r="J7" s="7"/>
      <c r="K7" s="7"/>
      <c r="L7" s="8"/>
      <c r="O7" s="71"/>
      <c r="P7" s="71"/>
      <c r="Q7" s="71"/>
      <c r="R7" s="71"/>
      <c r="S7" s="72"/>
      <c r="T7" s="71"/>
      <c r="U7" s="71"/>
      <c r="V7" s="72"/>
      <c r="W7" s="71"/>
      <c r="X7" s="71"/>
      <c r="Y7" s="72"/>
      <c r="Z7" s="71"/>
      <c r="AA7" s="71"/>
      <c r="AB7" s="71"/>
      <c r="AC7" s="71"/>
    </row>
    <row r="8" spans="1:29" ht="16.5" customHeight="1" x14ac:dyDescent="0.2">
      <c r="A8" s="1"/>
      <c r="B8" s="4"/>
      <c r="C8" s="7"/>
      <c r="D8" s="7"/>
      <c r="E8" s="7"/>
      <c r="F8" s="6"/>
      <c r="G8" s="7"/>
      <c r="H8" s="17"/>
      <c r="I8" s="7"/>
      <c r="J8" s="7"/>
      <c r="K8" s="7"/>
      <c r="L8" s="8"/>
      <c r="O8" s="71"/>
      <c r="P8" s="71"/>
      <c r="Q8" s="71"/>
      <c r="R8" s="71"/>
      <c r="S8" s="72"/>
      <c r="T8" s="71"/>
      <c r="U8" s="71"/>
      <c r="V8" s="72"/>
      <c r="W8" s="71"/>
      <c r="X8" s="71"/>
      <c r="Y8" s="72"/>
      <c r="Z8" s="71"/>
      <c r="AA8" s="71"/>
      <c r="AB8" s="71"/>
      <c r="AC8" s="71"/>
    </row>
    <row r="9" spans="1:29" ht="16.5" customHeight="1" x14ac:dyDescent="0.2">
      <c r="A9" s="1"/>
      <c r="B9" s="4"/>
      <c r="C9" s="7"/>
      <c r="D9" s="7"/>
      <c r="E9" s="7"/>
      <c r="F9" s="6"/>
      <c r="G9" s="7"/>
      <c r="H9" s="7"/>
      <c r="I9" s="7"/>
      <c r="J9" s="7"/>
      <c r="K9" s="7"/>
      <c r="L9" s="8"/>
      <c r="O9" s="71"/>
      <c r="P9" s="71"/>
      <c r="Q9" s="71"/>
      <c r="R9" s="71"/>
      <c r="S9" s="72"/>
      <c r="T9" s="71"/>
      <c r="U9" s="71"/>
      <c r="V9" s="72"/>
      <c r="W9" s="71"/>
      <c r="X9" s="71"/>
      <c r="Y9" s="72"/>
      <c r="Z9" s="71"/>
      <c r="AA9" s="71"/>
      <c r="AB9" s="71"/>
      <c r="AC9" s="71"/>
    </row>
    <row r="10" spans="1:29" ht="16.5" customHeight="1" x14ac:dyDescent="0.2">
      <c r="A10" s="9"/>
      <c r="B10" s="10"/>
      <c r="C10" s="7"/>
      <c r="D10" s="7"/>
      <c r="E10" s="7"/>
      <c r="F10" s="6"/>
      <c r="G10" s="7"/>
      <c r="H10" s="7"/>
      <c r="I10" s="7"/>
      <c r="J10" s="7"/>
      <c r="K10" s="7"/>
      <c r="L10" s="8"/>
      <c r="O10" s="71"/>
      <c r="P10" s="71"/>
      <c r="Q10" s="71"/>
      <c r="R10" s="71"/>
      <c r="S10" s="72"/>
      <c r="T10" s="71"/>
      <c r="U10" s="71"/>
      <c r="V10" s="72"/>
      <c r="W10" s="71"/>
      <c r="X10" s="71"/>
      <c r="Y10" s="72"/>
      <c r="Z10" s="71"/>
      <c r="AA10" s="71"/>
      <c r="AB10" s="71"/>
      <c r="AC10" s="71"/>
    </row>
    <row r="11" spans="1:29" x14ac:dyDescent="0.2">
      <c r="A11" s="108" t="s">
        <v>11</v>
      </c>
      <c r="B11" s="98"/>
      <c r="C11" s="98"/>
      <c r="D11" s="98"/>
      <c r="E11" s="98"/>
      <c r="F11" s="11"/>
      <c r="G11" s="7"/>
      <c r="H11" s="7"/>
      <c r="I11" s="7"/>
      <c r="J11" s="7"/>
      <c r="K11" s="7"/>
      <c r="L11" s="8"/>
      <c r="O11" s="71"/>
      <c r="P11" s="71"/>
      <c r="Q11" s="71"/>
      <c r="R11" s="71"/>
      <c r="S11" s="72"/>
      <c r="T11" s="71"/>
      <c r="U11" s="71"/>
      <c r="V11" s="72"/>
      <c r="W11" s="71"/>
      <c r="X11" s="71"/>
      <c r="Y11" s="73"/>
      <c r="Z11" s="71"/>
      <c r="AA11" s="71"/>
      <c r="AB11" s="71"/>
      <c r="AC11" s="71"/>
    </row>
    <row r="12" spans="1:29" x14ac:dyDescent="0.2">
      <c r="A12" s="1" t="s">
        <v>6</v>
      </c>
      <c r="B12" s="2" t="s">
        <v>7</v>
      </c>
      <c r="C12" s="112" t="s">
        <v>16</v>
      </c>
      <c r="D12" s="113"/>
      <c r="E12" s="114"/>
      <c r="F12" s="30"/>
      <c r="G12" s="7"/>
      <c r="H12" s="7"/>
      <c r="I12" s="7"/>
      <c r="J12" s="7"/>
      <c r="K12" s="7"/>
      <c r="L12" s="8"/>
      <c r="O12" s="71"/>
      <c r="P12" s="71"/>
      <c r="Q12" s="71"/>
      <c r="R12" s="71"/>
      <c r="S12" s="72"/>
      <c r="T12" s="71"/>
      <c r="U12" s="71"/>
      <c r="V12" s="72"/>
      <c r="W12" s="71"/>
      <c r="X12" s="71"/>
      <c r="Y12" s="73"/>
      <c r="Z12" s="71"/>
      <c r="AA12" s="71"/>
      <c r="AB12" s="71"/>
      <c r="AC12" s="71"/>
    </row>
    <row r="13" spans="1:29" ht="16.5" customHeight="1" x14ac:dyDescent="0.2">
      <c r="A13" s="1"/>
      <c r="B13" s="4"/>
      <c r="C13" s="14"/>
      <c r="D13" s="14"/>
      <c r="E13" s="14"/>
      <c r="F13" s="11"/>
      <c r="G13" s="7"/>
      <c r="H13" s="7"/>
      <c r="I13" s="7"/>
      <c r="J13" s="7"/>
      <c r="K13" s="7"/>
      <c r="L13" s="8"/>
      <c r="O13" s="71"/>
      <c r="P13" s="71"/>
      <c r="Q13" s="71"/>
      <c r="R13" s="71"/>
      <c r="S13" s="72"/>
      <c r="T13" s="71"/>
      <c r="U13" s="71"/>
      <c r="V13" s="72"/>
      <c r="W13" s="71"/>
      <c r="X13" s="71"/>
      <c r="Y13" s="73"/>
      <c r="Z13" s="71"/>
      <c r="AA13" s="71"/>
      <c r="AB13" s="71"/>
      <c r="AC13" s="71"/>
    </row>
    <row r="14" spans="1:29" ht="16.5" customHeight="1" x14ac:dyDescent="0.2">
      <c r="A14" s="1"/>
      <c r="B14" s="4"/>
      <c r="C14" s="7"/>
      <c r="D14" s="7"/>
      <c r="E14" s="7"/>
      <c r="F14" s="11"/>
      <c r="G14" s="7"/>
      <c r="H14" s="7"/>
      <c r="I14" s="7"/>
      <c r="J14" s="7"/>
      <c r="K14" s="7"/>
      <c r="L14" s="8"/>
      <c r="O14" s="71"/>
      <c r="P14" s="71"/>
      <c r="Q14" s="71"/>
      <c r="R14" s="71"/>
      <c r="S14" s="72"/>
      <c r="T14" s="71"/>
      <c r="U14" s="71"/>
      <c r="V14" s="72"/>
      <c r="W14" s="71"/>
      <c r="X14" s="71"/>
      <c r="Y14" s="72"/>
      <c r="Z14" s="71"/>
      <c r="AA14" s="71"/>
      <c r="AB14" s="71"/>
      <c r="AC14" s="71"/>
    </row>
    <row r="15" spans="1:29" ht="16.5" customHeight="1" x14ac:dyDescent="0.2">
      <c r="A15" s="1"/>
      <c r="B15" s="4"/>
      <c r="C15" s="7"/>
      <c r="D15" s="7"/>
      <c r="E15" s="7"/>
      <c r="F15" s="11"/>
      <c r="G15" s="7"/>
      <c r="H15" s="7"/>
      <c r="I15" s="7"/>
      <c r="J15" s="7"/>
      <c r="K15" s="7"/>
      <c r="L15" s="8"/>
      <c r="O15" s="71"/>
      <c r="P15" s="71"/>
      <c r="Q15" s="71"/>
      <c r="R15" s="71"/>
      <c r="S15" s="72"/>
      <c r="T15" s="71"/>
      <c r="U15" s="71"/>
      <c r="V15" s="72"/>
      <c r="W15" s="71"/>
      <c r="X15" s="71"/>
      <c r="Y15" s="72"/>
      <c r="Z15" s="71"/>
      <c r="AA15" s="71"/>
      <c r="AB15" s="71"/>
      <c r="AC15" s="71"/>
    </row>
    <row r="16" spans="1:29" x14ac:dyDescent="0.2">
      <c r="A16" s="108" t="s">
        <v>12</v>
      </c>
      <c r="B16" s="98"/>
      <c r="C16" s="98"/>
      <c r="D16" s="98"/>
      <c r="E16" s="98"/>
      <c r="F16" s="11"/>
      <c r="G16" s="7"/>
      <c r="H16" s="7"/>
      <c r="I16" s="7"/>
      <c r="J16" s="7"/>
      <c r="K16" s="7"/>
      <c r="L16" s="8"/>
      <c r="O16" s="71"/>
      <c r="P16" s="71"/>
      <c r="Q16" s="71"/>
      <c r="R16" s="71"/>
      <c r="S16" s="72"/>
      <c r="T16" s="71"/>
      <c r="U16" s="71"/>
      <c r="V16" s="72"/>
      <c r="W16" s="71"/>
      <c r="X16" s="71"/>
      <c r="Y16" s="72"/>
      <c r="Z16" s="71"/>
      <c r="AA16" s="71"/>
      <c r="AB16" s="71"/>
      <c r="AC16" s="71"/>
    </row>
    <row r="17" spans="1:29" ht="13.5" customHeight="1" x14ac:dyDescent="0.2">
      <c r="A17" s="1" t="s">
        <v>6</v>
      </c>
      <c r="B17" s="2" t="s">
        <v>7</v>
      </c>
      <c r="C17" s="2" t="s">
        <v>3</v>
      </c>
      <c r="D17" s="2" t="s">
        <v>8</v>
      </c>
      <c r="E17" s="3" t="s">
        <v>9</v>
      </c>
      <c r="F17" s="11"/>
      <c r="G17" s="7"/>
      <c r="H17" s="7"/>
      <c r="I17" s="7"/>
      <c r="J17" s="7"/>
      <c r="K17" s="7"/>
      <c r="L17" s="8"/>
      <c r="O17" s="71"/>
      <c r="P17" s="71"/>
      <c r="Q17" s="71"/>
      <c r="R17" s="71"/>
      <c r="S17" s="72"/>
      <c r="T17" s="71"/>
      <c r="U17" s="71"/>
      <c r="V17" s="72"/>
      <c r="W17" s="71"/>
      <c r="X17" s="71"/>
      <c r="Y17" s="72"/>
      <c r="Z17" s="71"/>
      <c r="AA17" s="71"/>
      <c r="AB17" s="71"/>
      <c r="AC17" s="71"/>
    </row>
    <row r="18" spans="1:29" ht="17.25" customHeight="1" x14ac:dyDescent="0.2">
      <c r="A18" s="1"/>
      <c r="B18" s="4"/>
      <c r="C18" s="2" t="str">
        <f>IF(A18="","",VLOOKUP(A18,$X$3:$Z$25,3,FALSE))</f>
        <v/>
      </c>
      <c r="D18" s="4" t="str">
        <f t="shared" ref="D18:D24" si="0">IF(A18="","",VLOOKUP(A18,$X$3:$Y$25,2,FALSE))</f>
        <v/>
      </c>
      <c r="E18" s="5" t="str">
        <f t="shared" ref="E18:E24" si="1">IF(A18="","",B18*D18)</f>
        <v/>
      </c>
      <c r="F18" s="11"/>
      <c r="G18" s="7"/>
      <c r="H18" s="7"/>
      <c r="I18" s="7"/>
      <c r="J18" s="7"/>
      <c r="K18" s="7"/>
      <c r="L18" s="8"/>
      <c r="O18" s="71"/>
      <c r="P18" s="71"/>
      <c r="Q18" s="71"/>
      <c r="R18" s="71"/>
      <c r="S18" s="72"/>
      <c r="T18" s="71"/>
      <c r="U18" s="71"/>
      <c r="V18" s="72"/>
      <c r="W18" s="71"/>
      <c r="X18" s="71"/>
      <c r="Y18" s="72"/>
      <c r="Z18" s="71"/>
      <c r="AA18" s="71"/>
      <c r="AB18" s="71"/>
      <c r="AC18" s="71"/>
    </row>
    <row r="19" spans="1:29" ht="17.25" customHeight="1" x14ac:dyDescent="0.2">
      <c r="A19" s="1"/>
      <c r="B19" s="4"/>
      <c r="C19" s="2"/>
      <c r="D19" s="4" t="str">
        <f t="shared" si="0"/>
        <v/>
      </c>
      <c r="E19" s="5" t="str">
        <f t="shared" si="1"/>
        <v/>
      </c>
      <c r="F19" s="11"/>
      <c r="G19" s="7"/>
      <c r="H19" s="7"/>
      <c r="I19" s="7"/>
      <c r="J19" s="7"/>
      <c r="K19" s="7"/>
      <c r="L19" s="8"/>
      <c r="O19" s="71"/>
      <c r="P19" s="71"/>
      <c r="Q19" s="71"/>
      <c r="R19" s="71"/>
      <c r="S19" s="72"/>
      <c r="T19" s="71"/>
      <c r="U19" s="71"/>
      <c r="V19" s="72"/>
      <c r="W19" s="71"/>
      <c r="X19" s="71"/>
      <c r="Y19" s="72"/>
      <c r="Z19" s="71"/>
      <c r="AA19" s="71"/>
      <c r="AB19" s="71"/>
      <c r="AC19" s="71"/>
    </row>
    <row r="20" spans="1:29" ht="17.25" customHeight="1" x14ac:dyDescent="0.2">
      <c r="A20" s="1"/>
      <c r="B20" s="4"/>
      <c r="C20" s="2"/>
      <c r="D20" s="4" t="str">
        <f t="shared" si="0"/>
        <v/>
      </c>
      <c r="E20" s="5" t="str">
        <f t="shared" si="1"/>
        <v/>
      </c>
      <c r="F20" s="11"/>
      <c r="G20" s="7"/>
      <c r="H20" s="7"/>
      <c r="I20" s="7"/>
      <c r="J20" s="7"/>
      <c r="K20" s="7"/>
      <c r="L20" s="8"/>
      <c r="O20" s="71"/>
      <c r="P20" s="71"/>
      <c r="Q20" s="71"/>
      <c r="R20" s="71"/>
      <c r="S20" s="72"/>
      <c r="T20" s="71"/>
      <c r="U20" s="71"/>
      <c r="V20" s="72"/>
      <c r="W20" s="71"/>
      <c r="X20" s="71"/>
      <c r="Y20" s="72"/>
      <c r="Z20" s="71"/>
      <c r="AA20" s="71"/>
      <c r="AB20" s="71"/>
      <c r="AC20" s="71"/>
    </row>
    <row r="21" spans="1:29" ht="17.25" customHeight="1" x14ac:dyDescent="0.2">
      <c r="A21" s="1"/>
      <c r="B21" s="4"/>
      <c r="C21" s="2"/>
      <c r="D21" s="4" t="str">
        <f t="shared" si="0"/>
        <v/>
      </c>
      <c r="E21" s="5" t="str">
        <f t="shared" si="1"/>
        <v/>
      </c>
      <c r="F21" s="11"/>
      <c r="G21" s="7"/>
      <c r="H21" s="7"/>
      <c r="I21" s="7"/>
      <c r="J21" s="7"/>
      <c r="K21" s="7"/>
      <c r="L21" s="8"/>
      <c r="O21" s="71"/>
      <c r="P21" s="71"/>
      <c r="Q21" s="71"/>
      <c r="R21" s="71"/>
      <c r="S21" s="72"/>
      <c r="T21" s="71"/>
      <c r="U21" s="71"/>
      <c r="V21" s="72"/>
      <c r="W21" s="71"/>
      <c r="X21" s="71"/>
      <c r="Y21" s="72"/>
      <c r="Z21" s="71"/>
      <c r="AA21" s="71"/>
      <c r="AB21" s="71"/>
      <c r="AC21" s="71"/>
    </row>
    <row r="22" spans="1:29" ht="17.25" customHeight="1" x14ac:dyDescent="0.2">
      <c r="A22" s="1"/>
      <c r="B22" s="4"/>
      <c r="C22" s="2"/>
      <c r="D22" s="4" t="str">
        <f t="shared" si="0"/>
        <v/>
      </c>
      <c r="E22" s="5" t="str">
        <f t="shared" si="1"/>
        <v/>
      </c>
      <c r="F22" s="11"/>
      <c r="G22" s="7"/>
      <c r="H22" s="7"/>
      <c r="I22" s="7"/>
      <c r="J22" s="7"/>
      <c r="K22" s="7"/>
      <c r="L22" s="8"/>
      <c r="O22" s="71"/>
      <c r="P22" s="71"/>
      <c r="Q22" s="71"/>
      <c r="R22" s="71"/>
      <c r="S22" s="72"/>
      <c r="T22" s="71"/>
      <c r="U22" s="71"/>
      <c r="V22" s="72"/>
      <c r="W22" s="71"/>
      <c r="X22" s="71"/>
      <c r="Y22" s="72"/>
      <c r="Z22" s="71"/>
      <c r="AA22" s="71"/>
      <c r="AB22" s="71"/>
      <c r="AC22" s="71"/>
    </row>
    <row r="23" spans="1:29" ht="17.25" customHeight="1" x14ac:dyDescent="0.2">
      <c r="A23" s="1"/>
      <c r="B23" s="4"/>
      <c r="C23" s="2"/>
      <c r="D23" s="4" t="str">
        <f t="shared" si="0"/>
        <v/>
      </c>
      <c r="E23" s="5" t="str">
        <f t="shared" si="1"/>
        <v/>
      </c>
      <c r="F23" s="11"/>
      <c r="G23" s="7"/>
      <c r="H23" s="7"/>
      <c r="I23" s="7"/>
      <c r="J23" s="7"/>
      <c r="K23" s="7"/>
      <c r="L23" s="8"/>
      <c r="O23" s="71"/>
      <c r="P23" s="71"/>
      <c r="Q23" s="71"/>
      <c r="R23" s="71"/>
      <c r="S23" s="72"/>
      <c r="T23" s="71"/>
      <c r="U23" s="71"/>
      <c r="V23" s="72"/>
      <c r="W23" s="71"/>
      <c r="X23" s="71"/>
      <c r="Y23" s="72"/>
      <c r="Z23" s="71"/>
      <c r="AA23" s="71"/>
      <c r="AB23" s="71"/>
      <c r="AC23" s="71"/>
    </row>
    <row r="24" spans="1:29" ht="17.25" customHeight="1" x14ac:dyDescent="0.2">
      <c r="A24" s="1"/>
      <c r="B24" s="4"/>
      <c r="C24" s="2"/>
      <c r="D24" s="4" t="str">
        <f t="shared" si="0"/>
        <v/>
      </c>
      <c r="E24" s="5" t="str">
        <f t="shared" si="1"/>
        <v/>
      </c>
      <c r="F24" s="6"/>
      <c r="G24" s="7"/>
      <c r="H24" s="7"/>
      <c r="I24" s="7"/>
      <c r="J24" s="7"/>
      <c r="K24" s="7"/>
      <c r="L24" s="8"/>
      <c r="O24" s="71"/>
      <c r="P24" s="71"/>
      <c r="Q24" s="71"/>
      <c r="R24" s="71"/>
      <c r="S24" s="72"/>
      <c r="T24" s="71"/>
      <c r="U24" s="71"/>
      <c r="V24" s="72"/>
      <c r="W24" s="71"/>
      <c r="X24" s="71"/>
      <c r="Y24" s="72"/>
      <c r="Z24" s="71"/>
      <c r="AA24" s="71"/>
      <c r="AB24" s="71"/>
      <c r="AC24" s="71"/>
    </row>
    <row r="25" spans="1:29" ht="15.95" customHeight="1" x14ac:dyDescent="0.2">
      <c r="A25" s="109" t="s">
        <v>17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1"/>
      <c r="O25" s="71"/>
      <c r="P25" s="71"/>
      <c r="Q25" s="71"/>
      <c r="R25" s="71"/>
      <c r="S25" s="72"/>
      <c r="T25" s="71"/>
      <c r="U25" s="71"/>
      <c r="V25" s="72"/>
      <c r="W25" s="71"/>
      <c r="X25" s="71"/>
      <c r="Y25" s="72"/>
      <c r="Z25" s="71"/>
      <c r="AA25" s="71"/>
      <c r="AB25" s="71"/>
      <c r="AC25" s="71"/>
    </row>
    <row r="26" spans="1:29" ht="17.25" customHeight="1" x14ac:dyDescent="0.2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8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</row>
    <row r="27" spans="1:29" ht="17.25" customHeight="1" x14ac:dyDescent="0.2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8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</row>
    <row r="28" spans="1:29" ht="17.25" customHeight="1" x14ac:dyDescent="0.2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8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</row>
    <row r="29" spans="1:29" x14ac:dyDescent="0.2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8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</row>
    <row r="30" spans="1:29" ht="16.5" customHeight="1" x14ac:dyDescent="0.2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8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</row>
    <row r="31" spans="1:29" ht="16.5" customHeight="1" x14ac:dyDescent="0.2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8"/>
    </row>
    <row r="32" spans="1:29" ht="16.5" customHeight="1" x14ac:dyDescent="0.2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8"/>
    </row>
    <row r="33" spans="1:12" ht="16.5" customHeight="1" x14ac:dyDescent="0.2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8"/>
    </row>
    <row r="34" spans="1:12" ht="16.5" customHeight="1" x14ac:dyDescent="0.2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8"/>
    </row>
    <row r="35" spans="1:12" ht="16.5" customHeight="1" thickBot="1" x14ac:dyDescent="0.25">
      <c r="A35" s="15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3"/>
    </row>
    <row r="36" spans="1:12" ht="16.5" customHeight="1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2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2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2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</sheetData>
  <mergeCells count="12">
    <mergeCell ref="X2:Y2"/>
    <mergeCell ref="G1:H1"/>
    <mergeCell ref="A1:E1"/>
    <mergeCell ref="G2:H2"/>
    <mergeCell ref="F3:G3"/>
    <mergeCell ref="H3:L3"/>
    <mergeCell ref="R2:S2"/>
    <mergeCell ref="A11:E11"/>
    <mergeCell ref="A16:E16"/>
    <mergeCell ref="A25:L25"/>
    <mergeCell ref="C12:E12"/>
    <mergeCell ref="U2:V2"/>
  </mergeCells>
  <phoneticPr fontId="0" type="noConversion"/>
  <dataValidations disablePrompts="1" count="3">
    <dataValidation type="list" allowBlank="1" showInputMessage="1" showErrorMessage="1" sqref="A13:A15">
      <formula1>$R$3:$R$6</formula1>
    </dataValidation>
    <dataValidation type="list" allowBlank="1" showInputMessage="1" showErrorMessage="1" sqref="A18:A24">
      <formula1>$X$3:$X$25</formula1>
    </dataValidation>
    <dataValidation type="list" allowBlank="1" showInputMessage="1" showErrorMessage="1" sqref="A3:A10">
      <formula1>$U$3:$U$25</formula1>
    </dataValidation>
  </dataValidations>
  <pageMargins left="0.19685039370078741" right="0.19685039370078741" top="0.19685039370078741" bottom="0.19685039370078741" header="0" footer="0"/>
  <pageSetup paperSize="9" orientation="landscape" horizontalDpi="720" verticalDpi="72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Fiche de tache Décapage</vt:lpstr>
      <vt:lpstr>Fiche de tache Déblais restant</vt:lpstr>
      <vt:lpstr>Feuil1</vt:lpstr>
      <vt:lpstr>Feuil2</vt:lpstr>
      <vt:lpstr>fiche de tache vierge 2</vt:lpstr>
      <vt:lpstr>'fiche de tache vierge 2'!Zone_d_impression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BONNEMOY</dc:creator>
  <cp:lastModifiedBy>31019-73-01</cp:lastModifiedBy>
  <cp:lastPrinted>2013-11-07T09:19:09Z</cp:lastPrinted>
  <dcterms:created xsi:type="dcterms:W3CDTF">2011-01-26T12:32:35Z</dcterms:created>
  <dcterms:modified xsi:type="dcterms:W3CDTF">2022-06-08T14:41:07Z</dcterms:modified>
</cp:coreProperties>
</file>