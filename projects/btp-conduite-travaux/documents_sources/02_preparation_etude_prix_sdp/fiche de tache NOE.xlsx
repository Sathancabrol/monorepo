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CDTTP - 21146 du 04_04_2022 au 24_02_2023\Documentation &amp; devoir\Création d'entreprise\CREATION ENTREPRISE\Noé\A rendre\"/>
    </mc:Choice>
  </mc:AlternateContent>
  <bookViews>
    <workbookView xWindow="360" yWindow="120" windowWidth="7965" windowHeight="8955" tabRatio="947" firstSheet="33" activeTab="40"/>
  </bookViews>
  <sheets>
    <sheet name="3.3.2-Décapage Terre végétale" sheetId="10" r:id="rId1"/>
    <sheet name="3.3.3 terrassement masse" sheetId="9" r:id="rId2"/>
    <sheet name="3,4,1,1-terrassements tranchée" sheetId="40" r:id="rId3"/>
    <sheet name="3,4,1,2 terrassement fouille" sheetId="11" r:id="rId4"/>
    <sheet name="Feuil1" sheetId="67" r:id="rId5"/>
    <sheet name="3,4,2,1,caniveau grille fonte" sheetId="24" r:id="rId6"/>
    <sheet name="3,4,2,2-regards 50x50" sheetId="23" r:id="rId7"/>
    <sheet name="3,4,2,3-regard D1000" sheetId="22" r:id="rId8"/>
    <sheet name="3,4,2,4-cana pvc D200" sheetId="25" r:id="rId9"/>
    <sheet name="3,4,2,5-drain" sheetId="34" r:id="rId10"/>
    <sheet name="3,4,2,6-remplacement avaloir" sheetId="35" r:id="rId11"/>
    <sheet name="3,4,3,1-regard beton 50x50" sheetId="14" r:id="rId12"/>
    <sheet name="3,4,3,2-tampon fonte hermetique" sheetId="26" r:id="rId13"/>
    <sheet name="3,4,3,3regard visite D1000" sheetId="27" r:id="rId14"/>
    <sheet name="3,4,3,4-cana EU D200" sheetId="15" r:id="rId15"/>
    <sheet name="3,4,3,5-bac dégraisseur" sheetId="41" r:id="rId16"/>
    <sheet name="3,4,4,1-cana+tranche+enrobage" sheetId="29" r:id="rId17"/>
    <sheet name="3.4.4.2 REGARD DE COMPACTAGE" sheetId="30" r:id="rId18"/>
    <sheet name="3.4.5.1. FOURREAUX TPC &amp; PVC" sheetId="36" r:id="rId19"/>
    <sheet name="3.4.5.2.chambre de tirage L1T" sheetId="39" r:id="rId20"/>
    <sheet name="3.4.5.3.COFFRET TYPE S200" sheetId="43" r:id="rId21"/>
    <sheet name="3.4.6.1 FOURREAUX TPC D110" sheetId="45" r:id="rId22"/>
    <sheet name="3.4.6.2. CÂBLETTE DE TERRE" sheetId="46" r:id="rId23"/>
    <sheet name="3.4.7.MATS ET BORNES ECLAIRAGE" sheetId="47" r:id="rId24"/>
    <sheet name="3.4.8 REGARDS ET CHAMBRE TIRAGE" sheetId="48" r:id="rId25"/>
    <sheet name="3.5.1.1. BORDURES T2" sheetId="49" r:id="rId26"/>
    <sheet name="3.5.1.2. BORDURES P2" sheetId="50" r:id="rId27"/>
    <sheet name="3.5.1.3. CS2" sheetId="51" r:id="rId28"/>
    <sheet name="3.5.1.4. CANIVEAU CC2" sheetId="52" r:id="rId29"/>
    <sheet name="3.5.2.1. VOIRIE FONDATION" sheetId="53" r:id="rId30"/>
    <sheet name="3.5.2.2. VOIRIE ROULEMENT" sheetId="54" r:id="rId31"/>
    <sheet name="3.5.2.3. CHEMINEMENT PIETON " sheetId="55" r:id="rId32"/>
    <sheet name="3.5.3. ZONE PODOTACTILE" sheetId="56" r:id="rId33"/>
    <sheet name="3.5.4. APPORT DE MATERAUX" sheetId="57" r:id="rId34"/>
    <sheet name="3.6.1 NETTOYAGE SURFACE" sheetId="58" r:id="rId35"/>
    <sheet name="3.6.2. MISE EN PLACE TERRE VEGE" sheetId="59" r:id="rId36"/>
    <sheet name="3.6.3.1. TERRE VEGETALE" sheetId="61" r:id="rId37"/>
    <sheet name="3.6.3.2. SEMI" sheetId="62" r:id="rId38"/>
    <sheet name="3.6.3.3. HERSAGE" sheetId="63" r:id="rId39"/>
    <sheet name="3.6.3.4. ROULAGE" sheetId="65" r:id="rId40"/>
    <sheet name="3.6.4. MISE EN PLACE D'ARBRES" sheetId="66" r:id="rId41"/>
  </sheets>
  <definedNames>
    <definedName name="_xlnm.Print_Area" localSheetId="0">'3.3.2-Décapage Terre végétale'!$A$1:$H$44</definedName>
  </definedNames>
  <calcPr calcId="162913"/>
</workbook>
</file>

<file path=xl/calcChain.xml><?xml version="1.0" encoding="utf-8"?>
<calcChain xmlns="http://schemas.openxmlformats.org/spreadsheetml/2006/main">
  <c r="A64" i="51" l="1"/>
  <c r="A63" i="51"/>
  <c r="A62" i="51"/>
  <c r="B38" i="51"/>
  <c r="B31" i="51"/>
  <c r="B35" i="49"/>
  <c r="B33" i="49"/>
  <c r="B31" i="49"/>
  <c r="B27" i="49"/>
  <c r="B34" i="49"/>
  <c r="B37" i="49"/>
  <c r="B36" i="49"/>
  <c r="E55" i="49"/>
  <c r="B42" i="36"/>
  <c r="B49" i="29"/>
  <c r="B51" i="29"/>
  <c r="B40" i="41"/>
  <c r="B50" i="15"/>
  <c r="B61" i="25"/>
  <c r="F30" i="25"/>
  <c r="B42" i="24"/>
  <c r="D37" i="9"/>
  <c r="D39" i="9"/>
  <c r="D41" i="9"/>
  <c r="D29" i="9"/>
  <c r="D32" i="9"/>
  <c r="D30" i="9"/>
  <c r="A55" i="9"/>
  <c r="A54" i="9"/>
  <c r="A53" i="9"/>
  <c r="A52" i="9"/>
  <c r="A51" i="9"/>
  <c r="B44" i="11" l="1"/>
  <c r="B44" i="9"/>
  <c r="B17" i="66"/>
  <c r="H15" i="66"/>
  <c r="F15" i="66"/>
  <c r="D15" i="66"/>
  <c r="B15" i="66"/>
  <c r="B18" i="65"/>
  <c r="B17" i="65"/>
  <c r="B18" i="63" l="1"/>
  <c r="B17" i="63"/>
  <c r="B31" i="62"/>
  <c r="B30" i="62"/>
  <c r="B29" i="62"/>
  <c r="B28" i="62"/>
  <c r="G18" i="62"/>
  <c r="G17" i="62"/>
  <c r="G16" i="62"/>
  <c r="E18" i="62"/>
  <c r="E17" i="62"/>
  <c r="E16" i="62"/>
  <c r="E15" i="62"/>
  <c r="B17" i="62"/>
  <c r="B18" i="62"/>
  <c r="B23" i="61"/>
  <c r="B22" i="61"/>
  <c r="B21" i="61"/>
  <c r="B19" i="61"/>
  <c r="B18" i="58"/>
  <c r="B17" i="58"/>
  <c r="D26" i="59"/>
  <c r="F26" i="59"/>
  <c r="F27" i="59"/>
  <c r="F25" i="59"/>
  <c r="F24" i="59"/>
  <c r="F18" i="59"/>
  <c r="D25" i="59"/>
  <c r="D24" i="59"/>
  <c r="D27" i="59" s="1"/>
  <c r="D18" i="59"/>
  <c r="B22" i="59"/>
  <c r="D19" i="59" s="1"/>
  <c r="D28" i="59" s="1"/>
  <c r="B20" i="59"/>
  <c r="B37" i="59" s="1"/>
  <c r="E30" i="66"/>
  <c r="D30" i="66"/>
  <c r="E30" i="65"/>
  <c r="D30" i="65"/>
  <c r="E30" i="63"/>
  <c r="D30" i="63"/>
  <c r="E32" i="61"/>
  <c r="D32" i="61"/>
  <c r="E40" i="59"/>
  <c r="D40" i="59"/>
  <c r="E47" i="57"/>
  <c r="B47" i="57"/>
  <c r="B28" i="57"/>
  <c r="E37" i="40"/>
  <c r="E38" i="40"/>
  <c r="E39" i="40"/>
  <c r="D20" i="57"/>
  <c r="B20" i="57"/>
  <c r="D23" i="57"/>
  <c r="D22" i="57"/>
  <c r="D26" i="57" s="1"/>
  <c r="D19" i="57"/>
  <c r="B27" i="57"/>
  <c r="B26" i="57"/>
  <c r="B17" i="57"/>
  <c r="B21" i="57" s="1"/>
  <c r="F19" i="59" l="1"/>
  <c r="F28" i="59"/>
  <c r="F29" i="59" s="1"/>
  <c r="F30" i="59" s="1"/>
  <c r="D29" i="59"/>
  <c r="D30" i="59" s="1"/>
  <c r="B29" i="57"/>
  <c r="B30" i="57" s="1"/>
  <c r="B31" i="57" s="1"/>
  <c r="B32" i="57" s="1"/>
  <c r="D34" i="57"/>
  <c r="D30" i="57" s="1"/>
  <c r="D31" i="57"/>
  <c r="D32" i="57" s="1"/>
  <c r="D24" i="57"/>
  <c r="D27" i="57" s="1"/>
  <c r="G18" i="59" l="1"/>
  <c r="D36" i="57"/>
  <c r="F18" i="57" s="1"/>
  <c r="D33" i="57"/>
  <c r="D35" i="57" s="1"/>
  <c r="D28" i="57"/>
  <c r="D29" i="57" s="1"/>
  <c r="B19" i="56" l="1"/>
  <c r="B15" i="56"/>
  <c r="B36" i="55"/>
  <c r="B35" i="55"/>
  <c r="B32" i="55"/>
  <c r="B33" i="55" s="1"/>
  <c r="B19" i="55"/>
  <c r="F31" i="55" s="1"/>
  <c r="F21" i="55"/>
  <c r="F14" i="55"/>
  <c r="F18" i="55" s="1"/>
  <c r="B39" i="55" l="1"/>
  <c r="F24" i="55"/>
  <c r="B24" i="55" l="1"/>
  <c r="B30" i="55"/>
  <c r="D18" i="55" l="1"/>
  <c r="D20" i="55" s="1"/>
  <c r="D17" i="55"/>
  <c r="D42" i="55"/>
  <c r="E42" i="55"/>
  <c r="B22" i="55"/>
  <c r="B15" i="55"/>
  <c r="B27" i="48"/>
  <c r="E27" i="48" s="1"/>
  <c r="E28" i="48"/>
  <c r="E22" i="48"/>
  <c r="E20" i="48"/>
  <c r="E19" i="48"/>
  <c r="E18" i="48"/>
  <c r="E17" i="48"/>
  <c r="E16" i="48"/>
  <c r="E14" i="48"/>
  <c r="B24" i="48"/>
  <c r="B19" i="48"/>
  <c r="F25" i="55" l="1"/>
  <c r="F26" i="55" s="1"/>
  <c r="F28" i="55" s="1"/>
  <c r="H16" i="55"/>
  <c r="D32" i="55"/>
  <c r="B40" i="55"/>
  <c r="E40" i="55" s="1"/>
  <c r="D22" i="55"/>
  <c r="D25" i="55" s="1"/>
  <c r="D26" i="55" l="1"/>
  <c r="D27" i="55" s="1"/>
  <c r="D28" i="55" s="1"/>
  <c r="D29" i="55" l="1"/>
  <c r="D30" i="55" s="1"/>
  <c r="D31" i="55" s="1"/>
  <c r="D33" i="55" s="1"/>
  <c r="H19" i="55" s="1"/>
  <c r="E39" i="55"/>
  <c r="H15" i="47" l="1"/>
  <c r="E21" i="47"/>
  <c r="E20" i="47"/>
  <c r="E16" i="47"/>
  <c r="B23" i="47"/>
  <c r="E19" i="47"/>
  <c r="E15" i="47"/>
  <c r="E18" i="47"/>
  <c r="B21" i="47"/>
  <c r="B19" i="47"/>
  <c r="B22" i="47" s="1"/>
  <c r="B27" i="47" s="1"/>
  <c r="E28" i="47"/>
  <c r="B16" i="46"/>
  <c r="B18" i="46" s="1"/>
  <c r="B17" i="46"/>
  <c r="H21" i="45"/>
  <c r="H23" i="45"/>
  <c r="H17" i="45"/>
  <c r="H16" i="45"/>
  <c r="H15" i="45"/>
  <c r="E15" i="45"/>
  <c r="E25" i="45"/>
  <c r="E21" i="45"/>
  <c r="H22" i="45"/>
  <c r="E24" i="45"/>
  <c r="E23" i="45"/>
  <c r="E19" i="45"/>
  <c r="E20" i="45"/>
  <c r="E16" i="45"/>
  <c r="E17" i="45" s="1"/>
  <c r="B26" i="45"/>
  <c r="B20" i="45"/>
  <c r="B19" i="45"/>
  <c r="E27" i="47" l="1"/>
  <c r="B16" i="45" l="1"/>
  <c r="B18" i="45" s="1"/>
  <c r="B21" i="45" s="1"/>
  <c r="B24" i="36"/>
  <c r="H21" i="43"/>
  <c r="H19" i="43"/>
  <c r="H18" i="43"/>
  <c r="H17" i="43"/>
  <c r="H16" i="43"/>
  <c r="H15" i="43"/>
  <c r="H14" i="43"/>
  <c r="H20" i="43"/>
  <c r="B29" i="43"/>
  <c r="E20" i="43"/>
  <c r="E15" i="43" l="1"/>
  <c r="E17" i="43"/>
  <c r="E31" i="43"/>
  <c r="E29" i="43"/>
  <c r="E16" i="43"/>
  <c r="E14" i="43"/>
  <c r="B27" i="39"/>
  <c r="E21" i="39"/>
  <c r="E20" i="39"/>
  <c r="E19" i="39"/>
  <c r="E18" i="39"/>
  <c r="E16" i="39"/>
  <c r="H24" i="36"/>
  <c r="H21" i="36"/>
  <c r="H18" i="36"/>
  <c r="B41" i="36"/>
  <c r="B23" i="39"/>
  <c r="E27" i="39" s="1"/>
  <c r="E28" i="39"/>
  <c r="G30" i="36"/>
  <c r="D31" i="36"/>
  <c r="D32" i="36"/>
  <c r="D33" i="36"/>
  <c r="D34" i="36"/>
  <c r="D36" i="36"/>
  <c r="D38" i="36"/>
  <c r="B22" i="36" l="1"/>
  <c r="B21" i="36"/>
  <c r="F19" i="36" l="1"/>
  <c r="F21" i="36" s="1"/>
  <c r="F18" i="36"/>
  <c r="D23" i="36"/>
  <c r="D25" i="36" s="1"/>
  <c r="D29" i="36" s="1"/>
  <c r="D18" i="36"/>
  <c r="B19" i="36"/>
  <c r="B18" i="36"/>
  <c r="B35" i="36"/>
  <c r="B34" i="36"/>
  <c r="B33" i="36"/>
  <c r="B27" i="36"/>
  <c r="E47" i="36"/>
  <c r="E46" i="36"/>
  <c r="E45" i="36"/>
  <c r="E44" i="36"/>
  <c r="E43" i="36"/>
  <c r="B24" i="30"/>
  <c r="B25" i="30" s="1"/>
  <c r="E35" i="30"/>
  <c r="E34" i="30"/>
  <c r="E33" i="30"/>
  <c r="E32" i="30"/>
  <c r="E49" i="29"/>
  <c r="E50" i="29"/>
  <c r="F21" i="29"/>
  <c r="D32" i="29"/>
  <c r="D42" i="29"/>
  <c r="D37" i="29"/>
  <c r="D40" i="29"/>
  <c r="D39" i="29"/>
  <c r="D23" i="29"/>
  <c r="D22" i="29"/>
  <c r="B29" i="29"/>
  <c r="B27" i="29"/>
  <c r="B19" i="29"/>
  <c r="B18" i="29"/>
  <c r="D19" i="36" l="1"/>
  <c r="D20" i="36" s="1"/>
  <c r="F32" i="36"/>
  <c r="F23" i="36"/>
  <c r="B20" i="36"/>
  <c r="E41" i="36" s="1"/>
  <c r="B36" i="36"/>
  <c r="D27" i="36"/>
  <c r="F26" i="36" l="1"/>
  <c r="F33" i="36" s="1"/>
  <c r="F27" i="36"/>
  <c r="F28" i="36" s="1"/>
  <c r="F29" i="36" s="1"/>
  <c r="D21" i="36"/>
  <c r="D22" i="36" s="1"/>
  <c r="D26" i="36" s="1"/>
  <c r="D30" i="36" s="1"/>
  <c r="D37" i="36"/>
  <c r="B28" i="36"/>
  <c r="B37" i="36" s="1"/>
  <c r="B38" i="36" s="1"/>
  <c r="F30" i="36" l="1"/>
  <c r="F31" i="36" s="1"/>
  <c r="F34" i="36" s="1"/>
  <c r="E42" i="36"/>
  <c r="D35" i="36"/>
  <c r="B43" i="29" l="1"/>
  <c r="B42" i="29"/>
  <c r="B41" i="29"/>
  <c r="B44" i="29" s="1"/>
  <c r="D35" i="29"/>
  <c r="D36" i="29" s="1"/>
  <c r="B35" i="29"/>
  <c r="B30" i="29"/>
  <c r="B26" i="29"/>
  <c r="D19" i="29" s="1"/>
  <c r="D28" i="29" s="1"/>
  <c r="D29" i="29" s="1"/>
  <c r="B22" i="29"/>
  <c r="B24" i="29" s="1"/>
  <c r="F20" i="29"/>
  <c r="B20" i="29"/>
  <c r="E41" i="41"/>
  <c r="E40" i="41"/>
  <c r="E15" i="41"/>
  <c r="E17" i="41" s="1"/>
  <c r="E16" i="41"/>
  <c r="B33" i="41"/>
  <c r="B31" i="41"/>
  <c r="B27" i="41"/>
  <c r="D22" i="24"/>
  <c r="B32" i="29" l="1"/>
  <c r="D21" i="29"/>
  <c r="D41" i="29" l="1"/>
  <c r="D33" i="29"/>
  <c r="B36" i="29"/>
  <c r="B45" i="29" s="1"/>
  <c r="B46" i="29" s="1"/>
  <c r="D17" i="29"/>
  <c r="F22" i="29" l="1"/>
  <c r="F23" i="29"/>
  <c r="B32" i="41" l="1"/>
  <c r="B28" i="41"/>
  <c r="B23" i="41"/>
  <c r="E59" i="25" l="1"/>
  <c r="E49" i="15"/>
  <c r="B42" i="15"/>
  <c r="B41" i="15"/>
  <c r="B40" i="15"/>
  <c r="D34" i="15"/>
  <c r="D35" i="15" s="1"/>
  <c r="B34" i="15"/>
  <c r="B29" i="15"/>
  <c r="B25" i="15"/>
  <c r="B26" i="15" s="1"/>
  <c r="B21" i="15"/>
  <c r="B23" i="15" s="1"/>
  <c r="D21" i="15" s="1"/>
  <c r="F19" i="15"/>
  <c r="B18" i="15"/>
  <c r="B17" i="15"/>
  <c r="E39" i="27"/>
  <c r="B24" i="27"/>
  <c r="B19" i="27"/>
  <c r="E17" i="27"/>
  <c r="E20" i="27" s="1"/>
  <c r="D36" i="15" l="1"/>
  <c r="B43" i="15"/>
  <c r="B19" i="15"/>
  <c r="D31" i="15"/>
  <c r="D20" i="15"/>
  <c r="D38" i="15" s="1"/>
  <c r="D39" i="15" s="1"/>
  <c r="D18" i="15"/>
  <c r="D27" i="15" s="1"/>
  <c r="D28" i="15" s="1"/>
  <c r="B35" i="15"/>
  <c r="D16" i="15"/>
  <c r="D22" i="15"/>
  <c r="E18" i="27"/>
  <c r="B40" i="27" s="1"/>
  <c r="E40" i="27" s="1"/>
  <c r="B44" i="15" l="1"/>
  <c r="B45" i="15" s="1"/>
  <c r="F20" i="15" s="1"/>
  <c r="D32" i="15"/>
  <c r="D40" i="15"/>
  <c r="D41" i="15" s="1"/>
  <c r="F22" i="15" l="1"/>
  <c r="F21" i="15"/>
  <c r="B24" i="41" l="1"/>
  <c r="B29" i="14"/>
  <c r="B21" i="14"/>
  <c r="B33" i="23"/>
  <c r="D32" i="34"/>
  <c r="D31" i="34"/>
  <c r="D30" i="34"/>
  <c r="D28" i="34"/>
  <c r="D26" i="34"/>
  <c r="D29" i="34"/>
  <c r="D27" i="34"/>
  <c r="D25" i="34"/>
  <c r="D22" i="34"/>
  <c r="H41" i="49" l="1"/>
  <c r="D42" i="49"/>
  <c r="B36" i="34"/>
  <c r="B35" i="34"/>
  <c r="B34" i="34"/>
  <c r="B28" i="34"/>
  <c r="B23" i="34"/>
  <c r="F33" i="51"/>
  <c r="F37" i="49"/>
  <c r="F24" i="49"/>
  <c r="F36" i="49"/>
  <c r="B44" i="49"/>
  <c r="D31" i="25"/>
  <c r="D41" i="25"/>
  <c r="D42" i="25"/>
  <c r="D46" i="25"/>
  <c r="B39" i="25"/>
  <c r="B25" i="34" l="1"/>
  <c r="B46" i="34" s="1"/>
  <c r="B29" i="34"/>
  <c r="B37" i="34"/>
  <c r="B38" i="34" s="1"/>
  <c r="B39" i="34" s="1"/>
  <c r="B40" i="34" s="1"/>
  <c r="B41" i="34" s="1"/>
  <c r="D33" i="34" l="1"/>
  <c r="D34" i="34" s="1"/>
  <c r="B42" i="34"/>
  <c r="B43" i="34" s="1"/>
  <c r="D19" i="34" s="1"/>
  <c r="B31" i="25" l="1"/>
  <c r="B33" i="25" s="1"/>
  <c r="B28" i="25" l="1"/>
  <c r="B27" i="25"/>
  <c r="B29" i="25"/>
  <c r="B35" i="25" l="1"/>
  <c r="B36" i="25" s="1"/>
  <c r="D30" i="25" l="1"/>
  <c r="B41" i="25"/>
  <c r="D44" i="25" l="1"/>
  <c r="D45" i="25" s="1"/>
  <c r="B52" i="25"/>
  <c r="B51" i="25"/>
  <c r="B50" i="25"/>
  <c r="F29" i="25"/>
  <c r="B44" i="25"/>
  <c r="B45" i="25" s="1"/>
  <c r="D28" i="25"/>
  <c r="D37" i="25" s="1"/>
  <c r="D38" i="25" s="1"/>
  <c r="E43" i="22"/>
  <c r="E22" i="22"/>
  <c r="B44" i="22" s="1"/>
  <c r="E44" i="22" s="1"/>
  <c r="E21" i="22"/>
  <c r="E24" i="22" s="1"/>
  <c r="B28" i="22"/>
  <c r="B23" i="22"/>
  <c r="D50" i="25" l="1"/>
  <c r="B53" i="25"/>
  <c r="B54" i="25" s="1"/>
  <c r="B55" i="25" s="1"/>
  <c r="D26" i="25"/>
  <c r="D48" i="25"/>
  <c r="D49" i="25" s="1"/>
  <c r="D51" i="25" s="1"/>
  <c r="D32" i="25" l="1"/>
  <c r="F32" i="25" l="1"/>
  <c r="F31" i="25" l="1"/>
  <c r="E47" i="23" l="1"/>
  <c r="E46" i="23"/>
  <c r="B25" i="23"/>
  <c r="B45" i="23" s="1"/>
  <c r="E45" i="23" s="1"/>
  <c r="H25" i="11"/>
  <c r="B20" i="11"/>
  <c r="H40" i="23"/>
  <c r="H38" i="23"/>
  <c r="H39" i="23" s="1"/>
  <c r="H36" i="23"/>
  <c r="H37" i="23" s="1"/>
  <c r="H34" i="23"/>
  <c r="H35" i="23" s="1"/>
  <c r="H33" i="23"/>
  <c r="H30" i="23"/>
  <c r="H31" i="23" s="1"/>
  <c r="H29" i="23"/>
  <c r="H26" i="23"/>
  <c r="H27" i="23" s="1"/>
  <c r="H25" i="23"/>
  <c r="E45" i="24"/>
  <c r="D45" i="24"/>
  <c r="H36" i="24"/>
  <c r="F23" i="24"/>
  <c r="D36" i="24"/>
  <c r="D34" i="24"/>
  <c r="B30" i="24"/>
  <c r="B31" i="24" s="1"/>
  <c r="B39" i="24"/>
  <c r="D31" i="24" s="1"/>
  <c r="D26" i="24"/>
  <c r="D27" i="24" s="1"/>
  <c r="D23" i="24"/>
  <c r="D18" i="24"/>
  <c r="D19" i="24" s="1"/>
  <c r="F26" i="24"/>
  <c r="B23" i="24"/>
  <c r="B22" i="24"/>
  <c r="H19" i="24"/>
  <c r="H27" i="24"/>
  <c r="H26" i="24"/>
  <c r="H25" i="24"/>
  <c r="B26" i="24"/>
  <c r="B25" i="24"/>
  <c r="B21" i="24"/>
  <c r="F19" i="24" s="1"/>
  <c r="B32" i="24" l="1"/>
  <c r="F27" i="24"/>
  <c r="F28" i="24" s="1"/>
  <c r="D37" i="24"/>
  <c r="D38" i="24" s="1"/>
  <c r="H28" i="24"/>
  <c r="H29" i="24" s="1"/>
  <c r="H30" i="24" s="1"/>
  <c r="B27" i="24"/>
  <c r="B28" i="24" s="1"/>
  <c r="H17" i="24" s="1"/>
  <c r="H20" i="24" s="1"/>
  <c r="B33" i="24" l="1"/>
  <c r="H31" i="24"/>
  <c r="H32" i="24" s="1"/>
  <c r="H33" i="24" s="1"/>
  <c r="H34" i="24" s="1"/>
  <c r="H35" i="24" s="1"/>
  <c r="H37" i="24" s="1"/>
  <c r="H38" i="24" s="1"/>
  <c r="B36" i="24" l="1"/>
  <c r="E42" i="24"/>
  <c r="E11" i="67" l="1"/>
  <c r="D11" i="67"/>
  <c r="I11" i="67"/>
  <c r="G11" i="67"/>
  <c r="E3" i="67" l="1"/>
  <c r="E4" i="67"/>
  <c r="E5" i="67"/>
  <c r="E6" i="67"/>
  <c r="E2" i="67"/>
  <c r="G6" i="67" l="1"/>
  <c r="C6" i="67"/>
  <c r="G5" i="67"/>
  <c r="C5" i="67"/>
  <c r="G4" i="67"/>
  <c r="C4" i="67"/>
  <c r="G3" i="67"/>
  <c r="C3" i="67"/>
  <c r="G2" i="67"/>
  <c r="C2" i="67"/>
  <c r="G19" i="11" l="1"/>
  <c r="D21" i="11"/>
  <c r="D38" i="11"/>
  <c r="B38" i="54"/>
  <c r="H28" i="54"/>
  <c r="H37" i="54" s="1"/>
  <c r="H27" i="54"/>
  <c r="H31" i="54" s="1"/>
  <c r="H24" i="54"/>
  <c r="B28" i="54" l="1"/>
  <c r="B32" i="54"/>
  <c r="B37" i="54" l="1"/>
  <c r="B29" i="54"/>
  <c r="E31" i="54" l="1"/>
  <c r="E33" i="54" s="1"/>
  <c r="B42" i="54" l="1"/>
  <c r="B43" i="54" s="1"/>
  <c r="B25" i="11"/>
  <c r="B30" i="11"/>
  <c r="B35" i="11"/>
  <c r="D18" i="11" l="1"/>
  <c r="D32" i="11"/>
  <c r="D31" i="11"/>
  <c r="D30" i="11"/>
  <c r="F26" i="11"/>
  <c r="F28" i="11" s="1"/>
  <c r="D24" i="11"/>
  <c r="F21" i="11"/>
  <c r="D26" i="9"/>
  <c r="E26" i="40"/>
  <c r="E28" i="40" s="1"/>
  <c r="E30" i="40" s="1"/>
  <c r="B21" i="40"/>
  <c r="B44" i="40" s="1"/>
  <c r="E44" i="40" s="1"/>
  <c r="B32" i="40"/>
  <c r="B31" i="40"/>
  <c r="B30" i="40"/>
  <c r="B24" i="40"/>
  <c r="E21" i="40"/>
  <c r="D33" i="11" l="1"/>
  <c r="D34" i="11" s="1"/>
  <c r="D35" i="11" s="1"/>
  <c r="D36" i="11" s="1"/>
  <c r="D37" i="11" s="1"/>
  <c r="F22" i="11"/>
  <c r="F23" i="11" s="1"/>
  <c r="F32" i="11"/>
  <c r="F30" i="11"/>
  <c r="D39" i="11"/>
  <c r="F40" i="11"/>
  <c r="D25" i="11"/>
  <c r="E44" i="11"/>
  <c r="B33" i="40"/>
  <c r="B34" i="40" s="1"/>
  <c r="B35" i="40" s="1"/>
  <c r="B36" i="40" s="1"/>
  <c r="B37" i="40" s="1"/>
  <c r="B38" i="40" s="1"/>
  <c r="B39" i="40" s="1"/>
  <c r="E22" i="40"/>
  <c r="E23" i="40" s="1"/>
  <c r="E40" i="40"/>
  <c r="E32" i="40"/>
  <c r="B25" i="40"/>
  <c r="F24" i="11" l="1"/>
  <c r="F25" i="11" s="1"/>
  <c r="F29" i="11" s="1"/>
  <c r="F33" i="11" s="1"/>
  <c r="F34" i="11" s="1"/>
  <c r="F35" i="11" s="1"/>
  <c r="F36" i="11" s="1"/>
  <c r="F37" i="11" s="1"/>
  <c r="F38" i="11" s="1"/>
  <c r="F39" i="11" s="1"/>
  <c r="F41" i="11" s="1"/>
  <c r="H26" i="11"/>
  <c r="E24" i="40"/>
  <c r="E25" i="40" s="1"/>
  <c r="E29" i="40" s="1"/>
  <c r="E33" i="40" s="1"/>
  <c r="E34" i="40" s="1"/>
  <c r="E35" i="40" s="1"/>
  <c r="E36" i="40" s="1"/>
  <c r="E41" i="40" s="1"/>
  <c r="H25" i="40"/>
  <c r="H26" i="40" l="1"/>
  <c r="G19" i="40"/>
  <c r="H55" i="54" l="1"/>
  <c r="H48" i="54"/>
  <c r="H49" i="54" s="1"/>
  <c r="H50" i="54" s="1"/>
  <c r="H45" i="54"/>
  <c r="H46" i="54" s="1"/>
  <c r="E57" i="54"/>
  <c r="B44" i="54"/>
  <c r="E34" i="54" s="1"/>
  <c r="E59" i="54"/>
  <c r="B52" i="54"/>
  <c r="B51" i="54"/>
  <c r="B49" i="54"/>
  <c r="B48" i="54"/>
  <c r="B50" i="54"/>
  <c r="B47" i="54"/>
  <c r="E74" i="54"/>
  <c r="D74" i="54"/>
  <c r="E47" i="54"/>
  <c r="E49" i="54" s="1"/>
  <c r="H57" i="54"/>
  <c r="H58" i="54" s="1"/>
  <c r="H59" i="54" s="1"/>
  <c r="H63" i="54" s="1"/>
  <c r="E35" i="54"/>
  <c r="E28" i="54"/>
  <c r="F26" i="53"/>
  <c r="F23" i="53"/>
  <c r="H60" i="54" l="1"/>
  <c r="B73" i="54"/>
  <c r="H38" i="54"/>
  <c r="H39" i="54" s="1"/>
  <c r="H41" i="54" s="1"/>
  <c r="H32" i="54"/>
  <c r="H33" i="54" s="1"/>
  <c r="H35" i="54" s="1"/>
  <c r="B53" i="54"/>
  <c r="E19" i="54"/>
  <c r="E21" i="54" s="1"/>
  <c r="E22" i="54"/>
  <c r="E23" i="54" s="1"/>
  <c r="E25" i="54"/>
  <c r="E26" i="54" s="1"/>
  <c r="E50" i="54"/>
  <c r="E53" i="54" s="1"/>
  <c r="E54" i="54" s="1"/>
  <c r="E55" i="54" s="1"/>
  <c r="E62" i="54"/>
  <c r="B45" i="54"/>
  <c r="B46" i="54" s="1"/>
  <c r="B39" i="54"/>
  <c r="H61" i="54"/>
  <c r="E36" i="54"/>
  <c r="B47" i="53"/>
  <c r="F27" i="53"/>
  <c r="F28" i="53" s="1"/>
  <c r="F31" i="53" s="1"/>
  <c r="F32" i="53" s="1"/>
  <c r="D24" i="53"/>
  <c r="B39" i="53"/>
  <c r="B38" i="53"/>
  <c r="D64" i="53"/>
  <c r="B63" i="53"/>
  <c r="E63" i="53" s="1"/>
  <c r="B33" i="53"/>
  <c r="B40" i="54" l="1"/>
  <c r="E41" i="54" s="1"/>
  <c r="E37" i="54"/>
  <c r="E38" i="54" s="1"/>
  <c r="E39" i="54" s="1"/>
  <c r="E40" i="54" s="1"/>
  <c r="E27" i="54"/>
  <c r="E29" i="54" s="1"/>
  <c r="E63" i="54"/>
  <c r="E64" i="54" s="1"/>
  <c r="E73" i="54"/>
  <c r="H67" i="54" l="1"/>
  <c r="H68" i="54"/>
  <c r="B72" i="54"/>
  <c r="E72" i="54" s="1"/>
  <c r="E42" i="54"/>
  <c r="E60" i="54"/>
  <c r="B26" i="53" l="1"/>
  <c r="B65" i="53" s="1"/>
  <c r="E65" i="53" s="1"/>
  <c r="B36" i="53" l="1"/>
  <c r="B46" i="53"/>
  <c r="B29" i="53"/>
  <c r="B64" i="53" s="1"/>
  <c r="E64" i="53" s="1"/>
  <c r="D23" i="53"/>
  <c r="D25" i="53" s="1"/>
  <c r="D20" i="53"/>
  <c r="B55" i="49"/>
  <c r="B56" i="49"/>
  <c r="B57" i="50"/>
  <c r="B56" i="50"/>
  <c r="B55" i="50"/>
  <c r="B57" i="51"/>
  <c r="B56" i="51"/>
  <c r="B55" i="51"/>
  <c r="B57" i="52"/>
  <c r="B55" i="52"/>
  <c r="B56" i="52"/>
  <c r="D46" i="49"/>
  <c r="D48" i="51"/>
  <c r="B34" i="52"/>
  <c r="B35" i="52" s="1"/>
  <c r="B33" i="52"/>
  <c r="F32" i="52"/>
  <c r="D48" i="52"/>
  <c r="D45" i="52"/>
  <c r="H41" i="52"/>
  <c r="D35" i="52"/>
  <c r="D33" i="52"/>
  <c r="H30" i="52"/>
  <c r="H29" i="52"/>
  <c r="H28" i="52"/>
  <c r="B28" i="52"/>
  <c r="B29" i="52" s="1"/>
  <c r="B30" i="52" s="1"/>
  <c r="F27" i="52"/>
  <c r="D26" i="52"/>
  <c r="D27" i="52" s="1"/>
  <c r="B24" i="52"/>
  <c r="B25" i="52" s="1"/>
  <c r="F23" i="52"/>
  <c r="F25" i="52" s="1"/>
  <c r="F26" i="52" s="1"/>
  <c r="H22" i="52"/>
  <c r="D22" i="52"/>
  <c r="D23" i="52" s="1"/>
  <c r="B21" i="52"/>
  <c r="H19" i="52" s="1"/>
  <c r="H18" i="52"/>
  <c r="D18" i="52"/>
  <c r="D19" i="52" s="1"/>
  <c r="F32" i="51"/>
  <c r="H17" i="51"/>
  <c r="F29" i="50"/>
  <c r="F33" i="49"/>
  <c r="F28" i="50"/>
  <c r="F29" i="51"/>
  <c r="F23" i="51"/>
  <c r="D30" i="51"/>
  <c r="B28" i="51"/>
  <c r="B29" i="51" s="1"/>
  <c r="B30" i="51" s="1"/>
  <c r="E58" i="52"/>
  <c r="D58" i="52"/>
  <c r="E58" i="51"/>
  <c r="D58" i="51"/>
  <c r="D45" i="51"/>
  <c r="H41" i="51"/>
  <c r="D35" i="51"/>
  <c r="D33" i="51"/>
  <c r="H30" i="51"/>
  <c r="H29" i="51"/>
  <c r="H28" i="51"/>
  <c r="F27" i="51"/>
  <c r="D26" i="51"/>
  <c r="D27" i="51" s="1"/>
  <c r="B24" i="51"/>
  <c r="B25" i="51" s="1"/>
  <c r="F25" i="51"/>
  <c r="F26" i="51" s="1"/>
  <c r="H22" i="51"/>
  <c r="D22" i="51"/>
  <c r="D23" i="51" s="1"/>
  <c r="B21" i="51"/>
  <c r="B54" i="51" s="1"/>
  <c r="E54" i="51" s="1"/>
  <c r="H18" i="51"/>
  <c r="D18" i="51"/>
  <c r="D19" i="51" s="1"/>
  <c r="F17" i="51"/>
  <c r="F18" i="51" s="1"/>
  <c r="F19" i="51" s="1"/>
  <c r="B29" i="49"/>
  <c r="B32" i="49"/>
  <c r="F32" i="50"/>
  <c r="G46" i="50"/>
  <c r="H20" i="50"/>
  <c r="H18" i="49"/>
  <c r="H18" i="50"/>
  <c r="H19" i="50"/>
  <c r="H17" i="50"/>
  <c r="H17" i="49"/>
  <c r="H30" i="50"/>
  <c r="H29" i="50"/>
  <c r="H28" i="50"/>
  <c r="H22" i="50"/>
  <c r="H42" i="49"/>
  <c r="D18" i="49"/>
  <c r="H30" i="49"/>
  <c r="H29" i="49"/>
  <c r="H28" i="49"/>
  <c r="H22" i="49"/>
  <c r="H19" i="49"/>
  <c r="F17" i="49"/>
  <c r="F18" i="49" s="1"/>
  <c r="F21" i="49" s="1"/>
  <c r="B31" i="50"/>
  <c r="B32" i="50" s="1"/>
  <c r="B33" i="50" s="1"/>
  <c r="B28" i="50"/>
  <c r="B29" i="50" s="1"/>
  <c r="B30" i="50" s="1"/>
  <c r="B46" i="49"/>
  <c r="B47" i="49" s="1"/>
  <c r="B48" i="49" s="1"/>
  <c r="F17" i="50"/>
  <c r="F18" i="50" s="1"/>
  <c r="F19" i="50" s="1"/>
  <c r="B41" i="53" l="1"/>
  <c r="B40" i="53"/>
  <c r="B43" i="53" s="1"/>
  <c r="D27" i="53"/>
  <c r="B30" i="53"/>
  <c r="D35" i="53" s="1"/>
  <c r="F33" i="53"/>
  <c r="F35" i="53" s="1"/>
  <c r="D36" i="52"/>
  <c r="D49" i="52"/>
  <c r="D50" i="52" s="1"/>
  <c r="H17" i="52"/>
  <c r="H20" i="52" s="1"/>
  <c r="H36" i="52" s="1"/>
  <c r="H37" i="52" s="1"/>
  <c r="B54" i="52"/>
  <c r="E54" i="52" s="1"/>
  <c r="H31" i="52"/>
  <c r="H32" i="52" s="1"/>
  <c r="H33" i="52" s="1"/>
  <c r="H34" i="52" s="1"/>
  <c r="H35" i="52" s="1"/>
  <c r="B46" i="52"/>
  <c r="B31" i="52"/>
  <c r="B36" i="52" s="1"/>
  <c r="B37" i="52" s="1"/>
  <c r="F33" i="52"/>
  <c r="F28" i="52"/>
  <c r="D41" i="52"/>
  <c r="B26" i="52"/>
  <c r="B38" i="52" s="1"/>
  <c r="H31" i="51"/>
  <c r="H32" i="51" s="1"/>
  <c r="H33" i="51" s="1"/>
  <c r="H34" i="51" s="1"/>
  <c r="H35" i="51" s="1"/>
  <c r="D49" i="51"/>
  <c r="D50" i="51" s="1"/>
  <c r="H40" i="51" s="1"/>
  <c r="H42" i="51" s="1"/>
  <c r="B26" i="51"/>
  <c r="B33" i="51" s="1"/>
  <c r="D36" i="51"/>
  <c r="F28" i="51"/>
  <c r="E57" i="51" s="1"/>
  <c r="H19" i="51"/>
  <c r="B41" i="51"/>
  <c r="D41" i="51"/>
  <c r="H31" i="50"/>
  <c r="H32" i="50" s="1"/>
  <c r="H33" i="50" s="1"/>
  <c r="H34" i="50"/>
  <c r="H35" i="50" s="1"/>
  <c r="H31" i="49"/>
  <c r="H32" i="49" s="1"/>
  <c r="H33" i="49" s="1"/>
  <c r="H34" i="49" s="1"/>
  <c r="H35" i="49" s="1"/>
  <c r="F19" i="49"/>
  <c r="F33" i="50"/>
  <c r="B44" i="53" l="1"/>
  <c r="B45" i="53" s="1"/>
  <c r="B49" i="53" s="1"/>
  <c r="B51" i="53" s="1"/>
  <c r="B42" i="53"/>
  <c r="D28" i="53"/>
  <c r="D37" i="52"/>
  <c r="F29" i="52"/>
  <c r="B41" i="52"/>
  <c r="B42" i="52" s="1"/>
  <c r="E57" i="52"/>
  <c r="D30" i="52"/>
  <c r="H40" i="52" s="1"/>
  <c r="H42" i="52" s="1"/>
  <c r="H23" i="52"/>
  <c r="B43" i="52"/>
  <c r="B32" i="52"/>
  <c r="H20" i="51"/>
  <c r="H36" i="51" s="1"/>
  <c r="H37" i="51" s="1"/>
  <c r="E55" i="51"/>
  <c r="B36" i="51"/>
  <c r="B37" i="51" s="1"/>
  <c r="E56" i="51" s="1"/>
  <c r="D37" i="51"/>
  <c r="B32" i="51"/>
  <c r="D29" i="53" l="1"/>
  <c r="D30" i="53" s="1"/>
  <c r="D31" i="53" s="1"/>
  <c r="B50" i="53"/>
  <c r="B52" i="53" s="1"/>
  <c r="B53" i="53" s="1"/>
  <c r="B55" i="53" s="1"/>
  <c r="B56" i="53" s="1"/>
  <c r="B57" i="53" s="1"/>
  <c r="F40" i="53" s="1"/>
  <c r="H43" i="52"/>
  <c r="G46" i="52"/>
  <c r="G46" i="51"/>
  <c r="H23" i="51"/>
  <c r="E55" i="52"/>
  <c r="E56" i="52"/>
  <c r="D32" i="53" l="1"/>
  <c r="D33" i="53" s="1"/>
  <c r="D34" i="53" s="1"/>
  <c r="B58" i="53"/>
  <c r="B59" i="53"/>
  <c r="H43" i="51"/>
  <c r="D36" i="53" l="1"/>
  <c r="F41" i="53" s="1"/>
  <c r="E58" i="50"/>
  <c r="D58" i="50"/>
  <c r="D49" i="50"/>
  <c r="D46" i="50"/>
  <c r="D36" i="50"/>
  <c r="H41" i="50"/>
  <c r="D34" i="50"/>
  <c r="F27" i="50"/>
  <c r="D26" i="50"/>
  <c r="D27" i="50" s="1"/>
  <c r="B24" i="50"/>
  <c r="B25" i="50" s="1"/>
  <c r="F23" i="50"/>
  <c r="F25" i="50" s="1"/>
  <c r="F26" i="50" s="1"/>
  <c r="D22" i="50"/>
  <c r="D23" i="50" s="1"/>
  <c r="B21" i="50"/>
  <c r="D42" i="50" s="1"/>
  <c r="D18" i="50"/>
  <c r="D19" i="50" s="1"/>
  <c r="B30" i="49"/>
  <c r="F27" i="49"/>
  <c r="F29" i="49" s="1"/>
  <c r="F30" i="49" s="1"/>
  <c r="B25" i="49"/>
  <c r="E58" i="49"/>
  <c r="D58" i="49"/>
  <c r="D49" i="49"/>
  <c r="D36" i="49"/>
  <c r="D34" i="49"/>
  <c r="F31" i="49"/>
  <c r="D26" i="49"/>
  <c r="D27" i="49" s="1"/>
  <c r="D22" i="49"/>
  <c r="D23" i="49" s="1"/>
  <c r="B22" i="49"/>
  <c r="F23" i="49" s="1"/>
  <c r="F25" i="49" s="1"/>
  <c r="D19" i="49"/>
  <c r="B34" i="50" l="1"/>
  <c r="B35" i="50" s="1"/>
  <c r="H36" i="50"/>
  <c r="B26" i="49"/>
  <c r="H20" i="49"/>
  <c r="D37" i="50"/>
  <c r="D37" i="49"/>
  <c r="D38" i="49" s="1"/>
  <c r="B54" i="49"/>
  <c r="E54" i="49" s="1"/>
  <c r="D31" i="49"/>
  <c r="D50" i="49"/>
  <c r="D51" i="49" s="1"/>
  <c r="F32" i="49"/>
  <c r="B57" i="49" s="1"/>
  <c r="E57" i="49" s="1"/>
  <c r="B54" i="50"/>
  <c r="E54" i="50" s="1"/>
  <c r="D50" i="50"/>
  <c r="D51" i="50" s="1"/>
  <c r="B44" i="50"/>
  <c r="D31" i="50" s="1"/>
  <c r="B26" i="50"/>
  <c r="B36" i="50" s="1"/>
  <c r="B39" i="50" s="1"/>
  <c r="H43" i="49" l="1"/>
  <c r="H37" i="50"/>
  <c r="H23" i="50"/>
  <c r="H23" i="49"/>
  <c r="H36" i="49"/>
  <c r="H37" i="49" s="1"/>
  <c r="D38" i="50"/>
  <c r="E57" i="50"/>
  <c r="E27" i="10"/>
  <c r="E40" i="10"/>
  <c r="E33" i="10"/>
  <c r="H24" i="10"/>
  <c r="H25" i="10"/>
  <c r="B31" i="9"/>
  <c r="B30" i="9"/>
  <c r="B29" i="9"/>
  <c r="D28" i="9"/>
  <c r="B23" i="9"/>
  <c r="D21" i="9"/>
  <c r="B18" i="9"/>
  <c r="B20" i="9" s="1"/>
  <c r="E44" i="9" l="1"/>
  <c r="G47" i="49"/>
  <c r="H40" i="50"/>
  <c r="H42" i="50" s="1"/>
  <c r="H43" i="50" s="1"/>
  <c r="B41" i="49"/>
  <c r="E56" i="49" s="1"/>
  <c r="B40" i="49"/>
  <c r="B24" i="9"/>
  <c r="B32" i="9"/>
  <c r="B33" i="9" s="1"/>
  <c r="B34" i="9" s="1"/>
  <c r="D22" i="9"/>
  <c r="D23" i="9" s="1"/>
  <c r="D40" i="9"/>
  <c r="E48" i="9"/>
  <c r="D48" i="9"/>
  <c r="E47" i="9"/>
  <c r="D47" i="9"/>
  <c r="E46" i="9"/>
  <c r="D46" i="9"/>
  <c r="E45" i="9"/>
  <c r="D45" i="9"/>
  <c r="B30" i="10"/>
  <c r="B18" i="10"/>
  <c r="B17" i="10"/>
  <c r="B19" i="10" s="1"/>
  <c r="E30" i="58"/>
  <c r="D30" i="58"/>
  <c r="E50" i="57"/>
  <c r="D50" i="57"/>
  <c r="E30" i="56"/>
  <c r="D30" i="56"/>
  <c r="E29" i="47"/>
  <c r="D29" i="47"/>
  <c r="E30" i="46"/>
  <c r="D30" i="46"/>
  <c r="E32" i="45"/>
  <c r="D32" i="45"/>
  <c r="E32" i="43"/>
  <c r="D32" i="43"/>
  <c r="B35" i="9" l="1"/>
  <c r="B36" i="9" s="1"/>
  <c r="H44" i="49"/>
  <c r="D24" i="9"/>
  <c r="D25" i="9" s="1"/>
  <c r="D33" i="9" s="1"/>
  <c r="D34" i="9" s="1"/>
  <c r="D35" i="9" s="1"/>
  <c r="D36" i="9" s="1"/>
  <c r="D38" i="9" s="1"/>
  <c r="B37" i="9" l="1"/>
  <c r="B38" i="9" s="1"/>
  <c r="F20" i="9" s="1"/>
  <c r="B28" i="26"/>
  <c r="B26" i="26"/>
  <c r="E25" i="9" l="1"/>
  <c r="F21" i="9"/>
  <c r="B29" i="26"/>
  <c r="B30" i="26" s="1"/>
  <c r="B31" i="26" s="1"/>
  <c r="E24" i="35" l="1"/>
  <c r="D24" i="35"/>
  <c r="E47" i="34"/>
  <c r="D47" i="34"/>
  <c r="E45" i="40"/>
  <c r="D45" i="40"/>
  <c r="E20" i="10"/>
  <c r="E30" i="39"/>
  <c r="D30" i="39"/>
  <c r="E37" i="26"/>
  <c r="D37" i="26"/>
  <c r="D37" i="14"/>
  <c r="E37" i="14"/>
  <c r="E29" i="10" l="1"/>
  <c r="B29" i="10"/>
  <c r="B28" i="10"/>
  <c r="B31" i="10" s="1"/>
  <c r="B22" i="10"/>
  <c r="B32" i="10" l="1"/>
  <c r="B33" i="10" s="1"/>
  <c r="B34" i="10" s="1"/>
  <c r="B35" i="10" s="1"/>
  <c r="B36" i="10" s="1"/>
  <c r="B37" i="10" s="1"/>
  <c r="G18" i="10" s="1"/>
  <c r="E39" i="10"/>
  <c r="E21" i="10"/>
  <c r="E22" i="10" s="1"/>
  <c r="E23" i="10" s="1"/>
  <c r="E24" i="10" s="1"/>
  <c r="E28" i="10" s="1"/>
  <c r="B23" i="10"/>
  <c r="E31" i="10"/>
  <c r="E32" i="10" l="1"/>
  <c r="E34" i="10" l="1"/>
  <c r="E44" i="10"/>
  <c r="D44" i="10"/>
  <c r="E35" i="10" l="1"/>
  <c r="E36" i="10" s="1"/>
  <c r="E37" i="10" s="1"/>
  <c r="E38" i="10" s="1"/>
  <c r="B41" i="50" l="1"/>
  <c r="B40" i="50" l="1"/>
  <c r="E56" i="50" s="1"/>
  <c r="E55" i="50"/>
</calcChain>
</file>

<file path=xl/sharedStrings.xml><?xml version="1.0" encoding="utf-8"?>
<sst xmlns="http://schemas.openxmlformats.org/spreadsheetml/2006/main" count="19825" uniqueCount="1004">
  <si>
    <t>Quantité</t>
  </si>
  <si>
    <t>Unité</t>
  </si>
  <si>
    <t>Rendement</t>
  </si>
  <si>
    <t>durée</t>
  </si>
  <si>
    <t>désignation</t>
  </si>
  <si>
    <t>Qté</t>
  </si>
  <si>
    <t>P.U.</t>
  </si>
  <si>
    <t>Total</t>
  </si>
  <si>
    <t>Matériel</t>
  </si>
  <si>
    <t>FOURNITURE &amp; SOUS-TRAITANCE</t>
  </si>
  <si>
    <t>Main d'œuvre</t>
  </si>
  <si>
    <t>Description du mode opératoire</t>
  </si>
  <si>
    <t>Chantier</t>
  </si>
  <si>
    <t>Tâche</t>
  </si>
  <si>
    <t>Descriptif (source CCTP bordereau …)</t>
  </si>
  <si>
    <t>affectation tâche</t>
  </si>
  <si>
    <t>Fournisseur</t>
  </si>
  <si>
    <t>Qui?</t>
  </si>
  <si>
    <t>Distance chantier</t>
  </si>
  <si>
    <t>Nbre de tours/jour</t>
  </si>
  <si>
    <t>Calcul de rendement, métré de fourniture, calcul de temps de transport, nombre de tours</t>
  </si>
  <si>
    <t>Tache immédiatement antécédante</t>
  </si>
  <si>
    <t>m3</t>
  </si>
  <si>
    <t>arrondi</t>
  </si>
  <si>
    <t>Densité</t>
  </si>
  <si>
    <t>Donnée</t>
  </si>
  <si>
    <t>Godet (L)</t>
  </si>
  <si>
    <t>Godet (m3)</t>
  </si>
  <si>
    <t>Déblais Terre végétale</t>
  </si>
  <si>
    <t>T1 (s)</t>
  </si>
  <si>
    <t>T2 (s)</t>
  </si>
  <si>
    <t>T3 (s)</t>
  </si>
  <si>
    <t>T4 (s)</t>
  </si>
  <si>
    <t>cycle / min</t>
  </si>
  <si>
    <t>1cycle efficient (s)</t>
  </si>
  <si>
    <t>Total 1 cycle (s)</t>
  </si>
  <si>
    <t>cycle / heure</t>
  </si>
  <si>
    <t>Arrondi</t>
  </si>
  <si>
    <t>Surface (m²)</t>
  </si>
  <si>
    <t>Volume / heure effecient (m3)</t>
  </si>
  <si>
    <t>Volume / heure (m3)</t>
  </si>
  <si>
    <t>Transport</t>
  </si>
  <si>
    <t>Capacité (T)</t>
  </si>
  <si>
    <t>Capacité (m3)</t>
  </si>
  <si>
    <t>nb cycle remplissage</t>
  </si>
  <si>
    <t>Temps remplissage (s)</t>
  </si>
  <si>
    <t>temps en minutes</t>
  </si>
  <si>
    <t>Distance (Km)</t>
  </si>
  <si>
    <t>vitesse en (Km/h)</t>
  </si>
  <si>
    <t>Temps de voyage (min)</t>
  </si>
  <si>
    <t>T1 (min)</t>
  </si>
  <si>
    <t>T2 (min)</t>
  </si>
  <si>
    <t>T3 (min)</t>
  </si>
  <si>
    <t>T4 (min)</t>
  </si>
  <si>
    <t>Total 1 cycle (min)</t>
  </si>
  <si>
    <t>nombre de tour/camion</t>
  </si>
  <si>
    <t>volume total des camions (m3)</t>
  </si>
  <si>
    <t>Temps des camions (min)</t>
  </si>
  <si>
    <t>Temps des camions (H)</t>
  </si>
  <si>
    <t>SAINT NICOLAS DE LA GRAVE</t>
  </si>
  <si>
    <t>Volume (m3)</t>
  </si>
  <si>
    <t>Pelle à chenille 20,3T</t>
  </si>
  <si>
    <t>Pelle: décapage de la terre végétale et remplissage de la benne</t>
  </si>
  <si>
    <t>Epaisseur (m)</t>
  </si>
  <si>
    <t>Efficience volume</t>
  </si>
  <si>
    <t>Efficience temps</t>
  </si>
  <si>
    <t>Temps (h) d'activité sexagésimal</t>
  </si>
  <si>
    <t>Temps (h) d'activité décimale</t>
  </si>
  <si>
    <t>Camion 26T</t>
  </si>
  <si>
    <t>Nb cycle nécessaire</t>
  </si>
  <si>
    <t>Pelle: extraction des matériaux et chargement camion</t>
  </si>
  <si>
    <t>Nombre de camions saturation</t>
  </si>
  <si>
    <t xml:space="preserve"> Nombre de camion nécessaire</t>
  </si>
  <si>
    <t>ml</t>
  </si>
  <si>
    <t>conducteur de pelle</t>
  </si>
  <si>
    <t xml:space="preserve">temps epaulement Total </t>
  </si>
  <si>
    <t>temps epaulement pour 1 ml (s)</t>
  </si>
  <si>
    <t>temps</t>
  </si>
  <si>
    <t>temps par lissage (s)</t>
  </si>
  <si>
    <t>Nb llissage à la pelle (devant et derriere)</t>
  </si>
  <si>
    <t>temps (s)</t>
  </si>
  <si>
    <t>temps par coups (s)</t>
  </si>
  <si>
    <t>mep béton devant &amp; derriere (coup de pelle)</t>
  </si>
  <si>
    <t>Epaulement bordure</t>
  </si>
  <si>
    <t>Nombre de palette necessaie</t>
  </si>
  <si>
    <t>Temps Total</t>
  </si>
  <si>
    <t>Nombre de bordure par palette</t>
  </si>
  <si>
    <t>temps pour une bordure (s)</t>
  </si>
  <si>
    <t>Palette de bordure</t>
  </si>
  <si>
    <t>réglage d'une bordure (nb coups)</t>
  </si>
  <si>
    <t xml:space="preserve">ml réalisable par Toupie </t>
  </si>
  <si>
    <t>Reglage Bordure</t>
  </si>
  <si>
    <t>Nombre de Toupie necessaire</t>
  </si>
  <si>
    <t>Contenance d'une Toupie (m3)</t>
  </si>
  <si>
    <t>Nombre de jours travaillé</t>
  </si>
  <si>
    <t>Temps mep bordure / 1ml</t>
  </si>
  <si>
    <t>Toupie Béton</t>
  </si>
  <si>
    <t>Temps total efficient</t>
  </si>
  <si>
    <t>Volume total béton (m3)</t>
  </si>
  <si>
    <t>Efficience</t>
  </si>
  <si>
    <t>temps mep cordo / 1ml (s)</t>
  </si>
  <si>
    <t>Convertion en Litre</t>
  </si>
  <si>
    <t>Temps total</t>
  </si>
  <si>
    <t>Volume Totale béton pour 1 ml</t>
  </si>
  <si>
    <t>Temps de bardage / 1 ml  (s)</t>
  </si>
  <si>
    <t>Volume épaulement chaussée</t>
  </si>
  <si>
    <t>nombre de joint</t>
  </si>
  <si>
    <t>mise en place bordures</t>
  </si>
  <si>
    <t>Surface épaulement chaussée</t>
  </si>
  <si>
    <t>temps par joint (s)</t>
  </si>
  <si>
    <t xml:space="preserve">temps total </t>
  </si>
  <si>
    <t>Hauteur épaulement chaussée</t>
  </si>
  <si>
    <t xml:space="preserve"> </t>
  </si>
  <si>
    <t>confection joint</t>
  </si>
  <si>
    <t xml:space="preserve">trajet (s) </t>
  </si>
  <si>
    <t>Volume épaulement trottoire</t>
  </si>
  <si>
    <t>temps (min) / 35L</t>
  </si>
  <si>
    <t>1 palette + pince (s)</t>
  </si>
  <si>
    <t>Surface épaulement trottoire</t>
  </si>
  <si>
    <t>volume en litre total</t>
  </si>
  <si>
    <t>Approvisionnement bordures</t>
  </si>
  <si>
    <t>Hauteur épaulement trottoire</t>
  </si>
  <si>
    <t>Epaulement Béton</t>
  </si>
  <si>
    <t>volume en litre / joint</t>
  </si>
  <si>
    <t>temps en seconde</t>
  </si>
  <si>
    <t xml:space="preserve">Volume semelle béton </t>
  </si>
  <si>
    <t>volume joint (m3)</t>
  </si>
  <si>
    <t>vitesse (s/ml)</t>
  </si>
  <si>
    <t>Surface semelle béton</t>
  </si>
  <si>
    <t>epaisseur joint (m)</t>
  </si>
  <si>
    <t>Règlage béton</t>
  </si>
  <si>
    <t>Hauteur semelle béton</t>
  </si>
  <si>
    <t>Surface bordure (m²)</t>
  </si>
  <si>
    <t>Largeur semelle béton</t>
  </si>
  <si>
    <t>confection mortier</t>
  </si>
  <si>
    <t>Semelle Béton</t>
  </si>
  <si>
    <t>temps total</t>
  </si>
  <si>
    <t>vitesse mep à la pelle (s/ml)</t>
  </si>
  <si>
    <t>Nombre de bordure</t>
  </si>
  <si>
    <t>temps de découpe par bordure (s)</t>
  </si>
  <si>
    <t>eclatage béton</t>
  </si>
  <si>
    <t>longueur d'une bordure</t>
  </si>
  <si>
    <t>nombre de joint supplémentaire</t>
  </si>
  <si>
    <t>temps en minute</t>
  </si>
  <si>
    <t>Longueur à mettre (ml)</t>
  </si>
  <si>
    <t>nombre de bordure à découpé</t>
  </si>
  <si>
    <t>largeur longue</t>
  </si>
  <si>
    <t>mêtre linéaire courbe</t>
  </si>
  <si>
    <t>vitesse de mise en place (s/ml)</t>
  </si>
  <si>
    <t>hauteur haute</t>
  </si>
  <si>
    <t>Découpage bordure</t>
  </si>
  <si>
    <t>mise en place béton</t>
  </si>
  <si>
    <t>Maçon</t>
  </si>
  <si>
    <t>dernier coup de godet</t>
  </si>
  <si>
    <t>temps total chargeuse + raclette + pelle</t>
  </si>
  <si>
    <t>temps total raclette</t>
  </si>
  <si>
    <t>vitesse raclette (s/m2)</t>
  </si>
  <si>
    <t>temps total pelle</t>
  </si>
  <si>
    <t>temps remplir pelle (s)</t>
  </si>
  <si>
    <t>temps total chargeuse</t>
  </si>
  <si>
    <t xml:space="preserve">nombre de godet </t>
  </si>
  <si>
    <t>temps vidée chargeuse (min)</t>
  </si>
  <si>
    <t>temps remplir chargeuse (min)</t>
  </si>
  <si>
    <t>m2 par godet</t>
  </si>
  <si>
    <t>Nombre ml à faire</t>
  </si>
  <si>
    <t>Tonne godet chargeuse</t>
  </si>
  <si>
    <t>ml bande à la main</t>
  </si>
  <si>
    <t>dimension raclette (cm)</t>
  </si>
  <si>
    <t>Nombre de bande main</t>
  </si>
  <si>
    <t>en m3</t>
  </si>
  <si>
    <t>contenance en litre</t>
  </si>
  <si>
    <t>chargeuse</t>
  </si>
  <si>
    <t>Nombre ml réalisable</t>
  </si>
  <si>
    <t>Manuel</t>
  </si>
  <si>
    <t>temps de consomation pour un semi</t>
  </si>
  <si>
    <t>temps jours</t>
  </si>
  <si>
    <t>Nombre de camion réel</t>
  </si>
  <si>
    <t>tonnage par min</t>
  </si>
  <si>
    <t>Total de temps de chantier h</t>
  </si>
  <si>
    <t>Temps travaillé par jours (h)</t>
  </si>
  <si>
    <t>m3 pour un ml</t>
  </si>
  <si>
    <t>Temps de travail</t>
  </si>
  <si>
    <t>Consommation des enrobés</t>
  </si>
  <si>
    <t>Nombre de camion saturation</t>
  </si>
  <si>
    <t>temps pour un cycle</t>
  </si>
  <si>
    <t>Temps de passage efficient</t>
  </si>
  <si>
    <t>T4 - retour à la central</t>
  </si>
  <si>
    <t>Facteur de difficulté</t>
  </si>
  <si>
    <t>T3 - déchargement</t>
  </si>
  <si>
    <t>temps de passage</t>
  </si>
  <si>
    <t>T2 - aller sur chantier</t>
  </si>
  <si>
    <t>nombre de metre linéaire</t>
  </si>
  <si>
    <t>T1 - chargement central</t>
  </si>
  <si>
    <t>Largeur</t>
  </si>
  <si>
    <t>Nombre de passage compacteur</t>
  </si>
  <si>
    <t>distance chantier/central (km)</t>
  </si>
  <si>
    <t>Longueur</t>
  </si>
  <si>
    <t>Q2</t>
  </si>
  <si>
    <t>Approvisionnement du finisseur</t>
  </si>
  <si>
    <t>Zone préparer à la main pour niveau</t>
  </si>
  <si>
    <t>compactage</t>
  </si>
  <si>
    <t>Temps Total pour finisseur efficient</t>
  </si>
  <si>
    <t>largeur</t>
  </si>
  <si>
    <t>Nombre de passage/largeur</t>
  </si>
  <si>
    <t>longueur</t>
  </si>
  <si>
    <t>Largeur compacteur (m)</t>
  </si>
  <si>
    <t>Temps Total pour finisseur</t>
  </si>
  <si>
    <t>Dimension du terrain</t>
  </si>
  <si>
    <t>Compacteur</t>
  </si>
  <si>
    <t>vitesse du semi (km/h)</t>
  </si>
  <si>
    <t>nombre de couche</t>
  </si>
  <si>
    <t xml:space="preserve">temps total de recul </t>
  </si>
  <si>
    <t>distance marche arriere</t>
  </si>
  <si>
    <t>densité</t>
  </si>
  <si>
    <t>Nombre de marche arriere</t>
  </si>
  <si>
    <t>vitesse (m/min) arriere</t>
  </si>
  <si>
    <t>vitesse (m/min) avant</t>
  </si>
  <si>
    <t>Hauteur (m)</t>
  </si>
  <si>
    <t>epaisseur enrobé</t>
  </si>
  <si>
    <t>mise en place des remblais</t>
  </si>
  <si>
    <t>Nombre de départ</t>
  </si>
  <si>
    <t>largeur de table</t>
  </si>
  <si>
    <t>Compactage</t>
  </si>
  <si>
    <t>Finisseur</t>
  </si>
  <si>
    <t>Nombre de cycle bouille</t>
  </si>
  <si>
    <t>en tonne</t>
  </si>
  <si>
    <t>Vitesse de répandage (m/h)</t>
  </si>
  <si>
    <t>en Litre</t>
  </si>
  <si>
    <t>en Kg</t>
  </si>
  <si>
    <t>Capacité en ml</t>
  </si>
  <si>
    <t>Capacité en m2</t>
  </si>
  <si>
    <t>Largeur (m)</t>
  </si>
  <si>
    <t>Contenance (Tonne)</t>
  </si>
  <si>
    <t>Longueur (m)</t>
  </si>
  <si>
    <t>Bouille</t>
  </si>
  <si>
    <t>Temps de terrassement (s)</t>
  </si>
  <si>
    <t>Temps réglage enrobage</t>
  </si>
  <si>
    <t>Temps approvisionnement /godet</t>
  </si>
  <si>
    <t>temps pour 1ml</t>
  </si>
  <si>
    <t>Godet necessaire</t>
  </si>
  <si>
    <t>Mise en place enrobage</t>
  </si>
  <si>
    <t>Temps travaillé par jours (s)</t>
  </si>
  <si>
    <t>temps approvisionnement efficient</t>
  </si>
  <si>
    <t>Temps approvisionnement par godet (Descente + emboitement + vérification)</t>
  </si>
  <si>
    <t>mise en place d'un tuyau</t>
  </si>
  <si>
    <t xml:space="preserve">Temps réglage avec efficience </t>
  </si>
  <si>
    <t>Temps de réglage de la surface</t>
  </si>
  <si>
    <t>Terrassement</t>
  </si>
  <si>
    <t>vitesse réglage fond de forme (s/m²)</t>
  </si>
  <si>
    <t>Mise en place du fond de tranché</t>
  </si>
  <si>
    <t>Longeur (m)</t>
  </si>
  <si>
    <t>Temps d'Approvisionnement</t>
  </si>
  <si>
    <t>Largeur Blindage (cm)</t>
  </si>
  <si>
    <t>Blindage (V/F)</t>
  </si>
  <si>
    <t>Capacité chargeuse (m3)</t>
  </si>
  <si>
    <t>Mise en place du lit de pose</t>
  </si>
  <si>
    <t>Tuyau (Ø)</t>
  </si>
  <si>
    <t>Profondeur moyenne (m)</t>
  </si>
  <si>
    <t>volume remblais (m3)</t>
  </si>
  <si>
    <t>Profondeur max (m)</t>
  </si>
  <si>
    <t>Hauteur remblais (m)</t>
  </si>
  <si>
    <t>Profondeur min (m)</t>
  </si>
  <si>
    <t>volume remblai enrobage (m3)</t>
  </si>
  <si>
    <t>Profondeur de canalisation</t>
  </si>
  <si>
    <t>Hauteur remblai enrobage (m)</t>
  </si>
  <si>
    <t>volume lit de pose (m3)</t>
  </si>
  <si>
    <t>Hauteur lit de pose (m)</t>
  </si>
  <si>
    <t>Volume déblai (m3)</t>
  </si>
  <si>
    <t>Profondeur pour tranché</t>
  </si>
  <si>
    <t>pelle</t>
  </si>
  <si>
    <t>rendement à l'heure (s/m²)</t>
  </si>
  <si>
    <t>rendement à l'heure (m²/h)</t>
  </si>
  <si>
    <t>temps avec coef difficulté (h)</t>
  </si>
  <si>
    <t>coeffficient de difficulté</t>
  </si>
  <si>
    <t>Temps de travail efficient (h)</t>
  </si>
  <si>
    <t>temps de recul (h)</t>
  </si>
  <si>
    <t>temps de travail (h)</t>
  </si>
  <si>
    <t>Mètre linéaire marche arrière</t>
  </si>
  <si>
    <t>Mètre linéaire marche avant</t>
  </si>
  <si>
    <t>réglagle fin</t>
  </si>
  <si>
    <t>réglage  grossier</t>
  </si>
  <si>
    <t>Vitesse de recul (m/h)</t>
  </si>
  <si>
    <t>Vitesse de travail (m/h)</t>
  </si>
  <si>
    <t>Volume</t>
  </si>
  <si>
    <t>ep</t>
  </si>
  <si>
    <t>tv 0/80</t>
  </si>
  <si>
    <t>surface</t>
  </si>
  <si>
    <t>Surface travail</t>
  </si>
  <si>
    <t>Chaussée</t>
  </si>
  <si>
    <t>Degré de rotation de lame (°)</t>
  </si>
  <si>
    <t>largeur de travail (m)</t>
  </si>
  <si>
    <t>Largeur de lame (m)</t>
  </si>
  <si>
    <t>Niveleuse</t>
  </si>
  <si>
    <t>Colonne1</t>
  </si>
  <si>
    <t>transport tv 0/80</t>
  </si>
  <si>
    <t>compacteur V3</t>
  </si>
  <si>
    <t>conducteur de niveleuse</t>
  </si>
  <si>
    <t>niveleuse</t>
  </si>
  <si>
    <t>transport gnt 0/20</t>
  </si>
  <si>
    <t>Chauffeur de camion</t>
  </si>
  <si>
    <t>conduit la niveleuse</t>
  </si>
  <si>
    <t>conduit le compacteur</t>
  </si>
  <si>
    <t>m2</t>
  </si>
  <si>
    <t>manœuvre</t>
  </si>
  <si>
    <t>Camion</t>
  </si>
  <si>
    <t>chauffeur de pelle</t>
  </si>
  <si>
    <t>chauffeur de camion</t>
  </si>
  <si>
    <t>Donnée2</t>
  </si>
  <si>
    <t>Quantité3</t>
  </si>
  <si>
    <t>Quantité4</t>
  </si>
  <si>
    <t>conduit la pelle</t>
  </si>
  <si>
    <t>conduit le camion</t>
  </si>
  <si>
    <t>tv 0/20</t>
  </si>
  <si>
    <t>Enrobé</t>
  </si>
  <si>
    <t>Tonnage/ml</t>
  </si>
  <si>
    <t>Enrobé bb 0/10 epaisseur</t>
  </si>
  <si>
    <t>Enrobé bb 0/10  nb de passe</t>
  </si>
  <si>
    <t>Enrobé bb 0/10   vitesse</t>
  </si>
  <si>
    <t>Tonne</t>
  </si>
  <si>
    <t>T</t>
  </si>
  <si>
    <t>camion</t>
  </si>
  <si>
    <t>finisseur</t>
  </si>
  <si>
    <t>compacteur tandem</t>
  </si>
  <si>
    <t>camion d'enrobée</t>
  </si>
  <si>
    <t>conducteur finisseur</t>
  </si>
  <si>
    <t>conducteur chargeuse</t>
  </si>
  <si>
    <t>conducteur épendeuse</t>
  </si>
  <si>
    <t>conducteur compacteur</t>
  </si>
  <si>
    <t>Couche d'accroche émulsion</t>
  </si>
  <si>
    <t>bouille</t>
  </si>
  <si>
    <t>place l'enrobé au sol</t>
  </si>
  <si>
    <t>dispose une couche d'accroche au sol</t>
  </si>
  <si>
    <t>compacte l'enrobé</t>
  </si>
  <si>
    <t>effectue des transferts d'enrobé</t>
  </si>
  <si>
    <t>livre l'enrobé</t>
  </si>
  <si>
    <t>temps de répandage</t>
  </si>
  <si>
    <t>Largeur bouille (m)</t>
  </si>
  <si>
    <t>Nombre de passage</t>
  </si>
  <si>
    <t>Colonne2</t>
  </si>
  <si>
    <t>Quantité2</t>
  </si>
  <si>
    <t xml:space="preserve">Pelle </t>
  </si>
  <si>
    <t>Chauffeur de pelle</t>
  </si>
  <si>
    <t>transport des palletes &amp; bordures</t>
  </si>
  <si>
    <t>mise en place des bordures, béton &amp; joints</t>
  </si>
  <si>
    <t>Temps de terrassement (h)</t>
  </si>
  <si>
    <t>Temps total de pose</t>
  </si>
  <si>
    <t>hauteur</t>
  </si>
  <si>
    <t>efficience</t>
  </si>
  <si>
    <t>total</t>
  </si>
  <si>
    <t>donné</t>
  </si>
  <si>
    <t>Dimension Tampon</t>
  </si>
  <si>
    <t>Nombre unité</t>
  </si>
  <si>
    <t>Terrasement</t>
  </si>
  <si>
    <t>Temps (min)</t>
  </si>
  <si>
    <t>Mise œuvre béton</t>
  </si>
  <si>
    <t>Mise œuvre Mortier</t>
  </si>
  <si>
    <t>Temps pose tête de sécurité</t>
  </si>
  <si>
    <t>Temps de callage</t>
  </si>
  <si>
    <t>Temps de sellement</t>
  </si>
  <si>
    <t>os</t>
  </si>
  <si>
    <t>terassement regard</t>
  </si>
  <si>
    <t>temps/sec</t>
  </si>
  <si>
    <t>Temps efficient</t>
  </si>
  <si>
    <t>coulage regard 
 mise a la cote grille</t>
  </si>
  <si>
    <t>béton</t>
  </si>
  <si>
    <t>enduit fin</t>
  </si>
  <si>
    <t>U</t>
  </si>
  <si>
    <t>hauteur/m</t>
  </si>
  <si>
    <t>epaisseur parois m</t>
  </si>
  <si>
    <t xml:space="preserve"> radier m2</t>
  </si>
  <si>
    <t>ep radier</t>
  </si>
  <si>
    <t>m3 béton</t>
  </si>
  <si>
    <t xml:space="preserve">temps </t>
  </si>
  <si>
    <t>terrassement + 
coulage radier sec</t>
  </si>
  <si>
    <t>coffrage+
 coulage parois sec</t>
  </si>
  <si>
    <t>enduit +netoyage sec</t>
  </si>
  <si>
    <t>mise a la cote</t>
  </si>
  <si>
    <t>5/6</t>
  </si>
  <si>
    <t xml:space="preserve">hauteur </t>
  </si>
  <si>
    <t>vitesse Déroulage (m2/s)</t>
  </si>
  <si>
    <t>Temps déroulage</t>
  </si>
  <si>
    <t>chauffeur de compacteur</t>
  </si>
  <si>
    <t>affine la couche de fondatin</t>
  </si>
  <si>
    <t>transporte le 0/80 aux endroit sensible</t>
  </si>
  <si>
    <t>compacte la surface</t>
  </si>
  <si>
    <t>transporte le 0/80 et le déverse sur terrain</t>
  </si>
  <si>
    <t>conduit finisseur</t>
  </si>
  <si>
    <t>conduit épendeuse</t>
  </si>
  <si>
    <t>conduit compacteur</t>
  </si>
  <si>
    <t>conduit chargeuse</t>
  </si>
  <si>
    <t>Enrobée</t>
  </si>
  <si>
    <t>Emulsion 65%</t>
  </si>
  <si>
    <t>tire les bandes manuels le long des bords</t>
  </si>
  <si>
    <t>marteaux piqueur</t>
  </si>
  <si>
    <t>dépose tampon existants</t>
  </si>
  <si>
    <t>qté</t>
  </si>
  <si>
    <t>nb tampon</t>
  </si>
  <si>
    <t>béton m3</t>
  </si>
  <si>
    <t>mortier  m3</t>
  </si>
  <si>
    <t>dépose</t>
  </si>
  <si>
    <t>sellement</t>
  </si>
  <si>
    <t>nettoyage</t>
  </si>
  <si>
    <t>total h</t>
  </si>
  <si>
    <t xml:space="preserve"> mortier M40</t>
  </si>
  <si>
    <t>Tampon</t>
  </si>
  <si>
    <t>Temps par étape (s)</t>
  </si>
  <si>
    <t>temps total sec/tampon</t>
  </si>
  <si>
    <t xml:space="preserve">camion </t>
  </si>
  <si>
    <t>appro béton &amp; matériel</t>
  </si>
  <si>
    <t>dépose et  mise a la cote+ sellement</t>
  </si>
  <si>
    <t>aide le maçon</t>
  </si>
  <si>
    <t>Le maçon fait le détourage, l’ancrage, la mise à la côte de tampons ou bouches à
clé existants avant réalisation de la couche de roulement ou du trottoir. Le manœuvre aidera le maçon à la réalisation de la tache,</t>
  </si>
  <si>
    <t>chauffeur camion</t>
  </si>
  <si>
    <t>La pelle va chercher la térre végétale stocké sur place, et va faire des allez retours pour la placer en épaulement le long des trottoires. Et les manœuvres affineront l'épaulement.</t>
  </si>
  <si>
    <t>Le camion apporte les fournitures sur site. La pelle positionne les palletes le longs de la zone choisi. La toupie coule le béton le long de la zone où les bordures doivent être placé. Les manoeuvres régle le béton à la hauteur voulu. Un homme positionne la pince à bordure pour soulever les bordures. La pelle positionne au plus proche la bordure. Les manoeuvres placent la bordure le long du cordeau, puis le maçon règle la bordure. Une fois que la bordure est positionné, les manoeuvres positionnent l'épaulement (devant et derrière la bordure). Dès que la pose de bordure est fini, le maçon commenceça la jointure.</t>
  </si>
  <si>
    <t>Béton C25/30</t>
  </si>
  <si>
    <t>Toupie 6m3</t>
  </si>
  <si>
    <t>Voyage</t>
  </si>
  <si>
    <t>mortier 25kg</t>
  </si>
  <si>
    <t>u</t>
  </si>
  <si>
    <t xml:space="preserve">On terrasse le fond a la main ont emboite le tabouré avec le pvc 200 ont coupe le pvc315 a la hauteur adequat qu'ont emboite également aux tabouret verticalement; ont place un joint hydrolique sur le haut du pvc 315  pou pouvoir mettre le tampon fonte </t>
  </si>
  <si>
    <t>Décapage terre végétale sur 20 cm et stockage sur site en vue de réutilisation pour l’aménagement des espaces verts.
Localisation : ensemble de la parcelle</t>
  </si>
  <si>
    <t>3.3.2  Terrassement terre vegetale</t>
  </si>
  <si>
    <t>3.3.3 terrassement en pleine masse, mise à niveau et modelage de terres</t>
  </si>
  <si>
    <t>Les tranchées et fouilles seront ouvertes avec parois verticales dans toute la mesure du possible. Le fond des tranchées et fouilles sera dressé soigneusement et expurgé des gros éléments.
Dans le cas de tranchées communes à plusieurs réseaux, les distances réglementaires entre les diverses canalisations et fourreaux devront être respectées.
La profondeur des tranchées sera telle que la couverture au-dessus de l’enrobage des conduites sera en tout point du réseau au minimum de :
- 1m sous chaussée,
- 1.50m pour le réseau concernant la dissimulation de la ligne moyenne tension - 0,80 m dans les autres cas.
Pour les canalisations sous chaussée dont la profondeur est inférieure à 1m, elles seront protégées par un enrobage béton.</t>
  </si>
  <si>
    <t>3.4.1.2- TERRASSEMENTS EN FOUILLE</t>
  </si>
  <si>
    <t>Fourniture et pose de caniveaux à grille en fonte pour charges légères</t>
  </si>
  <si>
    <t>3,4,2,1- caniveaux avec grilles fonte</t>
  </si>
  <si>
    <t>3,4,2,3-regards de visite et de branchement avec tampon fonte D1000mm</t>
  </si>
  <si>
    <t>Fourniture et pose de regards avec tampons fonte D1000</t>
  </si>
  <si>
    <t>3.4.2.4. CANALISATIONS PVS MINIMUM D200 POSEE EN TRANCHEE COMPRIS LIT DE SABLE, GRILLAGE AVERTISSEUR ET REMBLAI RAIN DE RIZ</t>
  </si>
  <si>
    <t>Fourniture et pose de canalisations P.V.C. minimum D200, compris remblais en grain de riz
et grillage avertisseur normé</t>
  </si>
  <si>
    <t>3.4.2.5. DRAIN</t>
  </si>
  <si>
    <t>Fourniture et pose de drain en périphérie du bâtiment</t>
  </si>
  <si>
    <t>3.4.2.6.REPLACEMENT AVALOIR PAR REGARD A GRILLE FONTE</t>
  </si>
  <si>
    <t>ENS</t>
  </si>
  <si>
    <t>3.4.3.1. REGARDS BETON 50CM X 50CM</t>
  </si>
  <si>
    <t>Fourniture et pose de regards béton 50cm x 50cm, compris mise à niveau</t>
  </si>
  <si>
    <t>3.4.3.2. TAMPONS FONTE HERM2TIQUES</t>
  </si>
  <si>
    <t>Fourniture et pose de tampons fonte hermétiques pour regards de visite et regard de branchement</t>
  </si>
  <si>
    <t>3.4.3.3 REGARD DE VISITE ET DE BRANCHEMENT AVEC TAMPON D1000mm</t>
  </si>
  <si>
    <t>regard de visite et de branchement avec tampon fonte D1000mm</t>
  </si>
  <si>
    <t>Fourniture et pose d’un bac dégraisseur pour la cuisine</t>
  </si>
  <si>
    <t>Fourniture et pose de canalisations d’eaux usées minimum D200, compris remblais et grillage avertisseur normé</t>
  </si>
  <si>
    <t>ens</t>
  </si>
  <si>
    <t>3.4.3.5.BAC DEGRAISSEUR</t>
  </si>
  <si>
    <t>Fourniture et pose en tranchée du réseau d’adduction d’eau potable, compris remblais et grillage avertisseur normé</t>
  </si>
  <si>
    <t>3.4.4.1.CANALISATION POSEE EN TRANCHEE COMPRIS ENROBAGE SABLE ET GRILLAGE AVERTISSEUR</t>
  </si>
  <si>
    <t>Fourniture et pose de chambres de tirage L1T et L2T pour courants forts et courants faibles.</t>
  </si>
  <si>
    <t>M2</t>
  </si>
  <si>
    <t>3.4.6.1 FOURREAUX TPC D110 POSES EN TRANCHEE COMPRIS ENROBAGE SABLE, GRILLAGE AVERTISSEUR ET REMBLAIS</t>
  </si>
  <si>
    <t>Fourniture et pose en tranchée de fourreaux TPC D110 pour réseau d’éclairage extérieur</t>
  </si>
  <si>
    <t>3.4.6.2. CÂBLETTE DE TERRE</t>
  </si>
  <si>
    <t xml:space="preserve">3.4.7. FONDATIONS SUPERFICIELLES POUR MATS ET BORNES D'ECLAIRAGE </t>
  </si>
  <si>
    <t xml:space="preserve">Mise à la terre des mâts par câblette de terre </t>
  </si>
  <si>
    <t>Réalisation de fondations comprenant :
_x0003_ Fondations en semelles isolées coulées en béton (ou en éléments préfabriqués type
massif pour mâts d’éclairage). Dimensionnement des armatures et sections suivant
étude béton armé.
_x0003_ Compris toutes sujétions.</t>
  </si>
  <si>
    <t>3.4.8. REHAUSSES POUR REGARDS ET CHAMBRES DE TIRAGES</t>
  </si>
  <si>
    <t>Réalisation de rehausses en béton armé au droit des regards et chambres de tirage. Les rehausses les caractéristiques suivantes :
• parois de 10 cm d’épaisseur.
• Tampons rectangulaires qualité voirie à sceller dans les rehausses.</t>
  </si>
  <si>
    <t>3.5.1.1. BORDURES T2</t>
  </si>
  <si>
    <t>3.5.1.2. BORDURES P2</t>
  </si>
  <si>
    <t>3.5.1.3. CANIVEAU CS2</t>
  </si>
  <si>
    <t>3.5.1.4. CANIVEAU CC2</t>
  </si>
  <si>
    <t>3.5.2.1. VOIRIE CIRCULABLE - COUCHE DE FONDATION ET DE BASE</t>
  </si>
  <si>
    <t>La prestation comprendra :
• un feutre géotextile de 350 g/m2, certifié ASQUAL
• fond de forme en grave non traitée 0/80 propre sur 20 cm d’épaisseur après compactage
• couche de base en grave non traitée 0/20 sur 20 cm d’épaisseur (à justifier suivant étude)
La qualité du compactage sera constatée par l’intermédiaire de la mesure du module de déformation EV1, EV2 (mode opératoire LCPC), EV1/EV2
Selon recommandations et directives du SETRA.</t>
  </si>
  <si>
    <t>3.5.2.2. VOIRIE CIRCULABLE - COUCHE ROULEMENT EN ENROBE</t>
  </si>
  <si>
    <t>Réalisation d’un enrobé en voirie légère compris :
• les formes de pente
• couche d’accrochage en émulsion de bitume gravillonné (3 litres d’émulsion acide et 20
litres de petits gravillons au m2)
• couche de roulement en béton bitumineux de 0/10 de 0.06 m minimum après cylindrage (à
justifier suivant étude).
L’entreprise s’assurera, par tous les moyens de contrôle et d’analyse, de la concordance des hypothèses de site avec les prescriptions des corps de chaussées.
Les caractéristiques du matériel et des processus de compactage seront définies par l’entreprise.</t>
  </si>
  <si>
    <t>3.5.2.3. CHEMINEMENT PIETON EN BETON (TROTTOIRS ET ALLEES D'ENTREE)</t>
  </si>
  <si>
    <t>Réalisation de cheminements piétons en béton armé d’épaisseur 13cm, compris hérisson d’épaisseur 20cm en tout-venant 0/20, réalisation de joints de fractionnement et finition du nez arrondie au fer.
Reprise du trottoir existant au droit de la parcelle (jusqu’à la voirie de srevice).</t>
  </si>
  <si>
    <t>3.5.3. ZONE PODOTACTILE</t>
  </si>
  <si>
    <t>Mise en œuvre de galets 30/40 pour réalisation d’une zone podotactile autour du poteau extérieur : Les galets seront posés selon choix architecte. La couleur, au choix de l’architecte, assurera un contraste avec le support.</t>
  </si>
  <si>
    <t>3.5.4. APPORT DE MATERAUX</t>
  </si>
  <si>
    <t>Apport de galets GNT 100/200 concassé calcaire sur 30 cm d’épaisseur au droit de l’aménagement paysager.
Provision : 40 m3</t>
  </si>
  <si>
    <t>3.6.1. NETTOYAGE DES SURFACES A PLANTER ET A ENGAZONNER</t>
  </si>
  <si>
    <t>3.6.2. MISE EN PLACE TERRE VEGETALE</t>
  </si>
  <si>
    <t>PM</t>
  </si>
  <si>
    <t>3.6.3.2. SEMI</t>
  </si>
  <si>
    <t>3.6.3.3. HERSAGE</t>
  </si>
  <si>
    <t>3.6.3.4. ROULAGE</t>
  </si>
  <si>
    <t>3.6.4. MISE EN PLACE D'ARBRES</t>
  </si>
  <si>
    <t>Camion : Transport des matériaux extrait sur la zone de stockage sur chantier</t>
  </si>
  <si>
    <t>rendement s/m2</t>
  </si>
  <si>
    <t>12s/m2</t>
  </si>
  <si>
    <t>7h36m18s</t>
  </si>
  <si>
    <t>évacuation sur site</t>
  </si>
  <si>
    <r>
      <t xml:space="preserve">
Terrassement général plateformes bâtiment et voiries : </t>
    </r>
    <r>
      <rPr>
        <b/>
        <sz val="10"/>
        <rFont val="Arial"/>
        <family val="2"/>
      </rPr>
      <t>40cm.</t>
    </r>
    <r>
      <rPr>
        <sz val="10"/>
        <rFont val="Arial"/>
        <family val="2"/>
      </rPr>
      <t xml:space="preserve"> Dans le cas où le terrain serait de mauvaise qualité, il sera procédé à des purges et au remplacement des matériaux par des matériaux d’apport et de bonne qualité mis en œuvre et compactés par couche de </t>
    </r>
    <r>
      <rPr>
        <b/>
        <sz val="10"/>
        <rFont val="Arial"/>
        <family val="2"/>
      </rPr>
      <t>0,20</t>
    </r>
    <r>
      <rPr>
        <sz val="10"/>
        <rFont val="Arial"/>
        <family val="2"/>
      </rPr>
      <t xml:space="preserve"> m maximum.
Les terrassements à exécuter sont considérés en terrain de toute nature. L’entrepreneur devra s’assurer de la bonne tenue du sol et entreprendre tous travaux permettant d’obtenir une stabilité parfaite de la surface.
Il est aussi précisé que tous les travaux ou sujétions résultant des terrains, les étaiements, les pompages ou tout autre procédé nécessaire au captage ou à l’évacuation des eaux rencontrées, ainsi que toute sujétion résultant de la proximité d’ouvrages existants enterrés, sur le sol ou aériens, sont compris dans les travaux à effectuer.</t>
    </r>
  </si>
  <si>
    <t>Transport de 2200m2</t>
  </si>
  <si>
    <t>Décapage de 2200m2 &amp; remplissage du camion</t>
  </si>
  <si>
    <t>camion : Transport des matériaux extrait à la déchetterie</t>
  </si>
  <si>
    <t>3,4,1,1-terrassements tranchée</t>
  </si>
  <si>
    <t>évacue la terre</t>
  </si>
  <si>
    <t>quantité2</t>
  </si>
  <si>
    <t>donnée2</t>
  </si>
  <si>
    <t>Déblais Terre</t>
  </si>
  <si>
    <t>quantité3</t>
  </si>
  <si>
    <t>quantité4</t>
  </si>
  <si>
    <t>18h15min07s</t>
  </si>
  <si>
    <t>30s/m2</t>
  </si>
  <si>
    <t>évacue à la dechetterie</t>
  </si>
  <si>
    <t xml:space="preserve">
Fourniture et pose de bordures béton préfabriqué, posés sur fondation de béton dosé à 250 kg de 20 cm d’épaisseur et de 50 cm de large, et recevront un épaulement en béton à 45° de part et d’autre sur toute leur longueur (Hauteur d’épaulement : 2/3 de la hauteur de l’élément). · Les bordures et caniveaux seront parfaitement rejointoyés au mortier de ciment et finis au coulis pur. Les joints auront une largeur de 1cm ; un joint sec de 5 mm sera aménagé tous les 10m environ. Ils seront parfaitement alignés et nivelés suivant les plans fournis.</t>
  </si>
  <si>
    <t>Bordure T2 - Dimension</t>
  </si>
  <si>
    <t>mep béton derriere (coup de pelle)</t>
  </si>
  <si>
    <t>Nb llissage à la pelle derriere</t>
  </si>
  <si>
    <t>BORDURES T2</t>
  </si>
  <si>
    <t>BORDURES P2</t>
  </si>
  <si>
    <t>Bordure P2 - Dimension</t>
  </si>
  <si>
    <t>mep béton derriere&amp; devant (coup de pelle)</t>
  </si>
  <si>
    <t>Nb llissage à la pelle derriere &amp; devant</t>
  </si>
  <si>
    <t>Hauteur épaulement devant</t>
  </si>
  <si>
    <t>Surface épaulement devant</t>
  </si>
  <si>
    <t>Volume épaulement devant</t>
  </si>
  <si>
    <t>Hauteur épaulement derriere</t>
  </si>
  <si>
    <t>Surface épaulement derriere</t>
  </si>
  <si>
    <t>Volume épaulement derriere</t>
  </si>
  <si>
    <t>Joint sec</t>
  </si>
  <si>
    <t>ml bordure</t>
  </si>
  <si>
    <t>nb joint sec</t>
  </si>
  <si>
    <t>Caniveau</t>
  </si>
  <si>
    <t xml:space="preserve">ml </t>
  </si>
  <si>
    <t>ml bordure avec caniveau</t>
  </si>
  <si>
    <t>ml bordure sans caniveau</t>
  </si>
  <si>
    <t>Hauteur basse</t>
  </si>
  <si>
    <t xml:space="preserve">Terrassement </t>
  </si>
  <si>
    <t>profondeur tranché</t>
  </si>
  <si>
    <t>largeur tranché</t>
  </si>
  <si>
    <t>longueur tranché</t>
  </si>
  <si>
    <t>2h14min14s</t>
  </si>
  <si>
    <t>3min32s/ml</t>
  </si>
  <si>
    <t>CANIVEAU CS2</t>
  </si>
  <si>
    <t>caniveau cs2 - Dimension</t>
  </si>
  <si>
    <t>Nombre de caniveau</t>
  </si>
  <si>
    <t>Surface caniveau (m²)</t>
  </si>
  <si>
    <t>Approvisionnement caniveau</t>
  </si>
  <si>
    <t>mise en place caniveau</t>
  </si>
  <si>
    <t>Reglage caniveau</t>
  </si>
  <si>
    <t>Epaulement caniveau</t>
  </si>
  <si>
    <t>temps pour une caniveau (s)</t>
  </si>
  <si>
    <t>réglage d'une caniveau (nb coups)</t>
  </si>
  <si>
    <t>ml caniveau</t>
  </si>
  <si>
    <t>5h19min29s</t>
  </si>
  <si>
    <t>2min59s/ml</t>
  </si>
  <si>
    <t>CANIVEAU CC2</t>
  </si>
  <si>
    <t>mep béton devant (coup de pelle)</t>
  </si>
  <si>
    <t>Nb llissage à la pelle devant</t>
  </si>
  <si>
    <t>réglage d'un caniveau (nb coups)</t>
  </si>
  <si>
    <t>2min08/ml</t>
  </si>
  <si>
    <t>6h57min54s</t>
  </si>
  <si>
    <t>57min</t>
  </si>
  <si>
    <t>5min11s/ml</t>
  </si>
  <si>
    <t>NOE</t>
  </si>
  <si>
    <t>géotextile de 350 g/m2</t>
  </si>
  <si>
    <t>GNT 0/20</t>
  </si>
  <si>
    <t>GNT 0/80</t>
  </si>
  <si>
    <t>couche fondation</t>
  </si>
  <si>
    <t>couche de base</t>
  </si>
  <si>
    <t xml:space="preserve">Volume Total </t>
  </si>
  <si>
    <t>Colonne12</t>
  </si>
  <si>
    <t>Géotextile</t>
  </si>
  <si>
    <t>Largeur voie service (m)</t>
  </si>
  <si>
    <t>Longeur voie service (m)</t>
  </si>
  <si>
    <t>Largeur cour de service (m)</t>
  </si>
  <si>
    <t>Longeur cour de service (m)</t>
  </si>
  <si>
    <t>nombre de bandes voie service</t>
  </si>
  <si>
    <t>nombre de bandes cour de service</t>
  </si>
  <si>
    <t>Metre linéaire voie de service</t>
  </si>
  <si>
    <t>Metre linéaire cour de service</t>
  </si>
  <si>
    <t>nb total bande</t>
  </si>
  <si>
    <t>metre linéaire total</t>
  </si>
  <si>
    <t>Temps 0/20 &amp; 0/80</t>
  </si>
  <si>
    <t>D3 epaisseur</t>
  </si>
  <si>
    <t>D3  nb de passe</t>
  </si>
  <si>
    <t>D3   vitesse</t>
  </si>
  <si>
    <t>Nombre de passage/largeur voie</t>
  </si>
  <si>
    <t>Nombre de passage/largeur cour</t>
  </si>
  <si>
    <t>couche gravillon (L/m2)</t>
  </si>
  <si>
    <t>camion contenance en T</t>
  </si>
  <si>
    <t xml:space="preserve">Volume voie </t>
  </si>
  <si>
    <t xml:space="preserve">Volume cour </t>
  </si>
  <si>
    <t>Volume total</t>
  </si>
  <si>
    <t>Nombre de bande finisseur voie</t>
  </si>
  <si>
    <t>ml à faire par bande voie</t>
  </si>
  <si>
    <t>Nombre de bande finisseur cour</t>
  </si>
  <si>
    <t>ml à faire par bande cour</t>
  </si>
  <si>
    <t>temps pelle (s)</t>
  </si>
  <si>
    <t>temps raclette (s)</t>
  </si>
  <si>
    <t>couche liant (L/m2)</t>
  </si>
  <si>
    <t>Pelle à chenille</t>
  </si>
  <si>
    <t>chauffeur d'engin</t>
  </si>
  <si>
    <t>évacuation</t>
  </si>
  <si>
    <t>chaffeur de camion</t>
  </si>
  <si>
    <t>longueur (m)</t>
  </si>
  <si>
    <t>Epaisseur moyenne (m)</t>
  </si>
  <si>
    <t>déblai</t>
  </si>
  <si>
    <t>tonnes</t>
  </si>
  <si>
    <t>SUEZ - Recyclage et valorisation France, Chem. de la Coopérative, 31410 Longages</t>
  </si>
  <si>
    <t>suit pelle aide os</t>
  </si>
  <si>
    <t>chef d'equipe</t>
  </si>
  <si>
    <t>altimétrie</t>
  </si>
  <si>
    <t>chef de chantier</t>
  </si>
  <si>
    <t>implantation</t>
  </si>
  <si>
    <t xml:space="preserve">La pelle charge les camions de remblais, et le chef de chantier et le chef d'équipe contrôlent l'altimétrie et font l'implantation à l'avancé du chantier. Les camions évacue le remblais dans une décharge.						
						</t>
  </si>
  <si>
    <t>rendement min/ml</t>
  </si>
  <si>
    <t>56s/ml</t>
  </si>
  <si>
    <t>1h55min17s</t>
  </si>
  <si>
    <t>Nombre de fouille</t>
  </si>
  <si>
    <t>Déblais</t>
  </si>
  <si>
    <t>dimension des fouilles</t>
  </si>
  <si>
    <t>chambre de tirage L1T</t>
  </si>
  <si>
    <t>Niche AEP</t>
  </si>
  <si>
    <t>regard de visite 50x50</t>
  </si>
  <si>
    <t>nombre bac à graisse</t>
  </si>
  <si>
    <t>volume</t>
  </si>
  <si>
    <t>profondeur</t>
  </si>
  <si>
    <t>Temps par départ (min)</t>
  </si>
  <si>
    <t>Total temps des départs</t>
  </si>
  <si>
    <t>Total temps marche avant</t>
  </si>
  <si>
    <t>distance marche avant</t>
  </si>
  <si>
    <t>Enrobés Toulouse (SARL), Imp. Goubard, 31270 Villeneuve-Tolosane</t>
  </si>
  <si>
    <t>Tonne (arrondi)</t>
  </si>
  <si>
    <t xml:space="preserve">Le camion arrive avec l'enrobé ont prépare une petite partit a la main afin de donné une base de départ au finisheur ensuite le camion se place a l'arriere du finnisheur et benne l'enrobé tout en suivant son avancé; le finisheur étale de manière régulière l'enrobé puis le compacteur passe plusieur fois afin de compacté et éffacé les traces.													</t>
  </si>
  <si>
    <t>Nombre de passage/largeur voie service</t>
  </si>
  <si>
    <t>Nombre de passage/largeur cour service</t>
  </si>
  <si>
    <t>Q2-voie de service</t>
  </si>
  <si>
    <t>Q2-cour de service</t>
  </si>
  <si>
    <t>rendement min/u</t>
  </si>
  <si>
    <t>profil</t>
  </si>
  <si>
    <t>Altitude TN - AXE</t>
  </si>
  <si>
    <t>Altitude décapage</t>
  </si>
  <si>
    <t>Altitude tampon</t>
  </si>
  <si>
    <t>Altitude fond de lit de pose</t>
  </si>
  <si>
    <t>Altitude file d'eau</t>
  </si>
  <si>
    <t>Altitude Fondation</t>
  </si>
  <si>
    <t>CEMEX Matériaux, Carrière de Salles-sur-Garonne, Quartier, Lamedan, 31390 Salles-sur-Garonne</t>
  </si>
  <si>
    <t>Matériaux Travaux Publics, Bd du libre Échange, 31650 Saint-Orens-de-Gameville</t>
  </si>
  <si>
    <t>Béton VICAT - ROQUES, Bd du Grand Castaing, 31120 Roques</t>
  </si>
  <si>
    <t>atitude zero</t>
  </si>
  <si>
    <t>Altitude terrassement masse</t>
  </si>
  <si>
    <t>1m4s/u</t>
  </si>
  <si>
    <t>13min57s</t>
  </si>
  <si>
    <t>fourgon benne</t>
  </si>
  <si>
    <t>appro béton</t>
  </si>
  <si>
    <t>mini pelle</t>
  </si>
  <si>
    <t>térrassee</t>
  </si>
  <si>
    <t>réglage béton
;pose bordure;join</t>
  </si>
  <si>
    <t>implatation</t>
  </si>
  <si>
    <t xml:space="preserve">le chef de chantier implante les caniveaux,la pelle terrasse et un manoeuvre verifie la hauteur et compacte avec la pilonneuse ;
 un manoeuve vide le béton a la main les macon règle le béton et les macons les poses </t>
  </si>
  <si>
    <t>caniveaux grille</t>
  </si>
  <si>
    <t>longueur d'une unité</t>
  </si>
  <si>
    <t>Nombre de d'unité</t>
  </si>
  <si>
    <t xml:space="preserve">Surface épaulement </t>
  </si>
  <si>
    <t xml:space="preserve">Hauteur épaulement </t>
  </si>
  <si>
    <t xml:space="preserve">Volume épaulement </t>
  </si>
  <si>
    <t>Volume 1 caniveau</t>
  </si>
  <si>
    <t>volume total caniveau</t>
  </si>
  <si>
    <t>Palette</t>
  </si>
  <si>
    <t>Nombre d'unité par palette</t>
  </si>
  <si>
    <t>Epaulement</t>
  </si>
  <si>
    <t>réglage (nb coups)</t>
  </si>
  <si>
    <t>temps(s)</t>
  </si>
  <si>
    <t>20min37s</t>
  </si>
  <si>
    <t>Fourgon benne</t>
  </si>
  <si>
    <t>Contenance (m3)</t>
  </si>
  <si>
    <t>Nombre necessaire</t>
  </si>
  <si>
    <t>caniveau à grille</t>
  </si>
  <si>
    <t>OHQ</t>
  </si>
  <si>
    <t>préparation fond de forme;
compactage; aide maçon</t>
  </si>
  <si>
    <t>Rendement s/ml</t>
  </si>
  <si>
    <t>2m22s/ml</t>
  </si>
  <si>
    <t>: les macons coule le fond de regard au béton place un coffrage dessus puis coule le béton autour jusqu’à arrivé a la hauteur prévu; ils mette a la cote fini la grille en fonte et réalise les finition ( enduit nettoyage)</t>
  </si>
  <si>
    <t>périférie regard m</t>
  </si>
  <si>
    <t>nb regard</t>
  </si>
  <si>
    <t>total pose total</t>
  </si>
  <si>
    <t>regard de visite</t>
  </si>
  <si>
    <t>Lafarge Bétons</t>
  </si>
  <si>
    <t>8,6km</t>
  </si>
  <si>
    <t>POINT P</t>
  </si>
  <si>
    <t>13,5km</t>
  </si>
  <si>
    <t>Tampon 50*50 C250</t>
  </si>
  <si>
    <t>PUM</t>
  </si>
  <si>
    <t>36km</t>
  </si>
  <si>
    <t>Fourniture et pose de regards avec tampons fonte 50x50 ; Réalisation de rehausses en béton armé au droit des regards et chambres de tirage. Les rehausses les caractéristiques suivantes :
· parois de 10 cm d’épaisseur.
· Tampons rectangulaires qualité voirie à sceller dans les rehausses.</t>
  </si>
  <si>
    <r>
      <t>pose élémen</t>
    </r>
    <r>
      <rPr>
        <sz val="11"/>
        <rFont val="Times New Roman"/>
        <family val="1"/>
      </rPr>
      <t xml:space="preserve">t regard de </t>
    </r>
    <r>
      <rPr>
        <sz val="11"/>
        <rFont val="Calibri"/>
        <family val="2"/>
      </rPr>
      <t>Ø</t>
    </r>
    <r>
      <rPr>
        <sz val="11"/>
        <rFont val="Times New Roman"/>
        <family val="1"/>
      </rPr>
      <t xml:space="preserve"> 1000</t>
    </r>
  </si>
  <si>
    <t>TERRASSE</t>
  </si>
  <si>
    <t>térrassement et
 réglage fond nettoyage</t>
  </si>
  <si>
    <t>EVACUATION</t>
  </si>
  <si>
    <t>pose regard béton 
et coulage cunette finition et mise a la cote</t>
  </si>
  <si>
    <t>implante</t>
  </si>
  <si>
    <t>hauteur total regard</t>
  </si>
  <si>
    <t>m2 radier</t>
  </si>
  <si>
    <t>béton radier m3</t>
  </si>
  <si>
    <t>coulage radier sec</t>
  </si>
  <si>
    <t>circonférence parois</t>
  </si>
  <si>
    <t>ep parois</t>
  </si>
  <si>
    <t>hauteur cunette</t>
  </si>
  <si>
    <t>béton parois m3</t>
  </si>
  <si>
    <t>coulage parois sec</t>
  </si>
  <si>
    <t>ep dalle réductice</t>
  </si>
  <si>
    <t>pose dalle réductrice</t>
  </si>
  <si>
    <t>nb joint</t>
  </si>
  <si>
    <t>temps sec pose joint</t>
  </si>
  <si>
    <t>L’enduit fin des
 parois et du radier</t>
  </si>
  <si>
    <t>total béton m3</t>
  </si>
  <si>
    <t>temps total/s</t>
  </si>
  <si>
    <t>dalle reductrice</t>
  </si>
  <si>
    <t>MTP</t>
  </si>
  <si>
    <t>38km</t>
  </si>
  <si>
    <t xml:space="preserve"> béton C25/30</t>
  </si>
  <si>
    <t>largeur disponible D/G (cm)</t>
  </si>
  <si>
    <t>cannalisateur</t>
  </si>
  <si>
    <t>pose canalisation</t>
  </si>
  <si>
    <t>remblément</t>
  </si>
  <si>
    <t>PELLE CHENILLE</t>
  </si>
  <si>
    <t>CAMION</t>
  </si>
  <si>
    <t>chargeur</t>
  </si>
  <si>
    <t xml:space="preserve">La pelle terrasse et charge le camion qui vide da une décharge adéquat;  mise en place d'un lit de pose en rèspectent la pente indiqué sur </t>
  </si>
  <si>
    <t xml:space="preserve"> le plan; pose des tuyaux</t>
  </si>
  <si>
    <t>; mise en place de l'enrobage en 2/6</t>
  </si>
  <si>
    <t>autour des tuyaux ;</t>
  </si>
  <si>
    <t>mise en place de la proection mecanique en béton</t>
  </si>
  <si>
    <t>nb tuyau</t>
  </si>
  <si>
    <t>Drain en cailloux 20/40</t>
  </si>
  <si>
    <t>epaisseur</t>
  </si>
  <si>
    <t>epaisseur (m)</t>
  </si>
  <si>
    <t>volume (m3)</t>
  </si>
  <si>
    <t>Minipelle</t>
  </si>
  <si>
    <t>Cailloux 20/40</t>
  </si>
  <si>
    <t>Rendement (s/ml)</t>
  </si>
  <si>
    <t>8s/ml</t>
  </si>
  <si>
    <t>16min12s</t>
  </si>
  <si>
    <t>accompagne pelle</t>
  </si>
  <si>
    <t>conduit pelle</t>
  </si>
  <si>
    <t>mise en place drain</t>
  </si>
  <si>
    <t>T1  remplissage central (min)</t>
  </si>
  <si>
    <t>T2  trajet (min)</t>
  </si>
  <si>
    <t>T3 vidage (min)</t>
  </si>
  <si>
    <t>transporte cailloux</t>
  </si>
  <si>
    <t>conduit camion</t>
  </si>
  <si>
    <t>/</t>
  </si>
  <si>
    <r>
      <t xml:space="preserve">Remplacement d’un avaloir de trottoir par un regard à grille fonte sur chaussée ;
</t>
    </r>
    <r>
      <rPr>
        <b/>
        <sz val="11"/>
        <rFont val="Arial"/>
        <family val="2"/>
      </rPr>
      <t xml:space="preserve"> Ne pas réaliser car déplacement de la voie circulable. </t>
    </r>
  </si>
  <si>
    <t>bac a graisse</t>
  </si>
  <si>
    <t>longeur</t>
  </si>
  <si>
    <t>lit de pose sable</t>
  </si>
  <si>
    <t xml:space="preserve">longeur </t>
  </si>
  <si>
    <r>
      <t xml:space="preserve"> </t>
    </r>
    <r>
      <rPr>
        <sz val="10"/>
        <color theme="1"/>
        <rFont val="Arial"/>
        <family val="2"/>
      </rPr>
      <t>On terrasse le fond a la main ;avec l'aide de la pelle ont pose les éléments de regard en inserent un joint entre chacun d'eux. les macon réalisent les finitions d'enduit interieur; nettoyage puis selle le tampon a la cote définitive</t>
    </r>
  </si>
  <si>
    <t>macon</t>
  </si>
  <si>
    <t>transport du béton</t>
  </si>
  <si>
    <t xml:space="preserve"> autour des tuyaux ;La pelle terrasse et charge le camion qui vide dans une décharge adéquat;  mise en place d'un lit de pose en rèspectent la pente indiqué sur  le plan; pose des tuyaux ; mise en place de l'enrobage en 2/6 mise en place de la proection mecanique en béton</t>
  </si>
  <si>
    <t>Canalisation PVC Ø200 CR8 a emboitement joint</t>
  </si>
  <si>
    <t>29KM</t>
  </si>
  <si>
    <t>3.4.3.5.CANALISATION EAUX USEES MINIMUM D200 POSEE EN TRANCHEE COMPRIS LIT DE SABLE, GRILLLAGE AVERTISSEUR ET REMBLAI GRAIN DE RIZ</t>
  </si>
  <si>
    <t>terrassement</t>
  </si>
  <si>
    <t>pose bac à graisse</t>
  </si>
  <si>
    <t>terrassement, réglage, pose</t>
  </si>
  <si>
    <t>Mise en place lit de pose</t>
  </si>
  <si>
    <t>Règlage lit de pose</t>
  </si>
  <si>
    <t>Tems de pose bac</t>
  </si>
  <si>
    <t>sable</t>
  </si>
  <si>
    <t>cemex</t>
  </si>
  <si>
    <t>13km</t>
  </si>
  <si>
    <t>pum</t>
  </si>
  <si>
    <t>27km</t>
  </si>
  <si>
    <t>On déroule la canalisation d' APE puis on remblaye du sable aux dessus et ont pose le grillage avertisseur tous le long de la tranché,</t>
  </si>
  <si>
    <t>transport sable</t>
  </si>
  <si>
    <t>pose</t>
  </si>
  <si>
    <t>aide pose</t>
  </si>
  <si>
    <t>tuyaux aep</t>
  </si>
  <si>
    <t>3.4.4.2. REGARD DE COMPACTAGE, DISCONNECTEUR, LIMITEUR DE PRESSION, COMPTEUR D'EAU, RACCORDEMENT SUR RESEAU EXISTANT</t>
  </si>
  <si>
    <t>Fourniture et pose disconnecteur, limiteur de pression et compteur d’eau (selon
recommandation du concessionnaire du réseau d’A.E.P.). 
Raccordement sur réseau existant compris démarches auprès du concessionnaire des réseaux
pour les branchements sur voirie publique</t>
  </si>
  <si>
    <t>regard de comptage</t>
  </si>
  <si>
    <t>disconnecteur</t>
  </si>
  <si>
    <t>limiteur de pression</t>
  </si>
  <si>
    <t>compteur d'eau</t>
  </si>
  <si>
    <t>regard comptage</t>
  </si>
  <si>
    <t>raccordement</t>
  </si>
  <si>
    <t>Temps d'installation</t>
  </si>
  <si>
    <t>min</t>
  </si>
  <si>
    <t>préparation terrain, pose de fourniture et raccordement aux réseaux</t>
  </si>
  <si>
    <t>TPC D40</t>
  </si>
  <si>
    <t>TPC D63</t>
  </si>
  <si>
    <t>TPC D110</t>
  </si>
  <si>
    <t>TPC D 160</t>
  </si>
  <si>
    <t>PVC 42/45</t>
  </si>
  <si>
    <t>Dimension</t>
  </si>
  <si>
    <t>Nombre de camion nécessaire</t>
  </si>
  <si>
    <t>Evacuation</t>
  </si>
  <si>
    <t>Lit de pose</t>
  </si>
  <si>
    <t>Apport Sable</t>
  </si>
  <si>
    <t>Déblai</t>
  </si>
  <si>
    <t>ensemble des fourreaux 
• Fourniture et pose en tranchée de fourreaux aiguillés TPC D40, D63, D90, D110 et D160 pour courants forts (dont EDF selon recommandation), compris remblais et grillage avertisseur normé
• Fourniture et pose en tranchée de fourreaux aiguillés PVC D42/45 pour courants faibles (TELECOM), compris remblais et grillage avertisseur normé</t>
  </si>
  <si>
    <t>Colonne13</t>
  </si>
  <si>
    <t>Pose des Tuyau</t>
  </si>
  <si>
    <t>Pose grillage</t>
  </si>
  <si>
    <t>temps ml</t>
  </si>
  <si>
    <t>temps m2</t>
  </si>
  <si>
    <t>ml PVC</t>
  </si>
  <si>
    <t>ml TPC</t>
  </si>
  <si>
    <t>évacuation &amp; apport matériaux</t>
  </si>
  <si>
    <t>Second</t>
  </si>
  <si>
    <t>3.4.5.1. FOURREAUX TPC D40/63/90/110/160 &amp; PVC D42/45 POSES EN TRANCHEE COMPRIS ENROBAGE SABLE, GRILLAGE AVERTISSEUR ET REMBLAI</t>
  </si>
  <si>
    <t>Chambre de tirage L1T</t>
  </si>
  <si>
    <t>Nombre</t>
  </si>
  <si>
    <t>Hauteur</t>
  </si>
  <si>
    <t>L1T</t>
  </si>
  <si>
    <t>mtp</t>
  </si>
  <si>
    <t>31km</t>
  </si>
  <si>
    <t>transport L1T</t>
  </si>
  <si>
    <t>terrassement, réglage et pose</t>
  </si>
  <si>
    <t>La pelle transporte la chambre de tirage L1T jusqu'aux emplacements prévus. Un manœuvre effectue le terrassement, réglage et la pose aux emplacements prévus.</t>
  </si>
  <si>
    <t>Règlage</t>
  </si>
  <si>
    <t>Pose</t>
  </si>
  <si>
    <t>en seconde</t>
  </si>
  <si>
    <t>temps/m2</t>
  </si>
  <si>
    <t>temps/unité</t>
  </si>
  <si>
    <t>Temps Chantier</t>
  </si>
  <si>
    <t>Fourniture et pose d’un coffret type S200 encastré dans un muret « paysager » ; le muret est à la charge du présent lot et sera en béton armé matricé avec fondation semelle filante. 
Les dimensions du mur sont : longueur 1,50m, épaisseur 30cm et hauteur 1,30m. Protection de la tête de mur par une couvertine zinc avec bourrelet formant goutte d’eau.</t>
  </si>
  <si>
    <t>Un maçon, à l'aide de son manœuvre, va poser le coffret en positionnant les fourreaux à l'intérieur. Il coulera la fondation (avec féraillage). Une fois sec, il réalisera un coffrage et le coulera pour incruster le coffret. A la fin il enlèvera le coffrage et réalisera des ajustements/nettoyage necessaire.</t>
  </si>
  <si>
    <t>Fondation</t>
  </si>
  <si>
    <t>Epaisseur</t>
  </si>
  <si>
    <t>Muret</t>
  </si>
  <si>
    <t>Coffret</t>
  </si>
  <si>
    <t>(en m)</t>
  </si>
  <si>
    <t>muret</t>
  </si>
  <si>
    <t>fondation</t>
  </si>
  <si>
    <t>coffret</t>
  </si>
  <si>
    <t>(en m3)</t>
  </si>
  <si>
    <t>dicat béton</t>
  </si>
  <si>
    <t>18km</t>
  </si>
  <si>
    <t>feraille</t>
  </si>
  <si>
    <t>26KM</t>
  </si>
  <si>
    <t>S2400</t>
  </si>
  <si>
    <t>Total à couler</t>
  </si>
  <si>
    <t>pm</t>
  </si>
  <si>
    <t>Manœuvre</t>
  </si>
  <si>
    <t>Réalise muret</t>
  </si>
  <si>
    <t>aide OHQ</t>
  </si>
  <si>
    <t>Toupie béton</t>
  </si>
  <si>
    <t>approvisionnement béton</t>
  </si>
  <si>
    <t xml:space="preserve">Temps </t>
  </si>
  <si>
    <t>Temps</t>
  </si>
  <si>
    <t>coffrage</t>
  </si>
  <si>
    <t>pose coffret</t>
  </si>
  <si>
    <t>pose matrice</t>
  </si>
  <si>
    <t>coulage</t>
  </si>
  <si>
    <t>décoffrage</t>
  </si>
  <si>
    <t>1h44</t>
  </si>
  <si>
    <t>3.4.5.2.chambre de tirage L1T</t>
  </si>
  <si>
    <t>3.4.5.3.COFFRET TYPE S200 &amp; Muret paysager</t>
  </si>
  <si>
    <t>Réglage et pose grillage</t>
  </si>
  <si>
    <t>Pose réseau</t>
  </si>
  <si>
    <t>TPC 110</t>
  </si>
  <si>
    <t>Remblai</t>
  </si>
  <si>
    <t>Règlage du lit de pose</t>
  </si>
  <si>
    <t>mep lit de pose</t>
  </si>
  <si>
    <t>Temps s/m2</t>
  </si>
  <si>
    <t>vitesse s/m2</t>
  </si>
  <si>
    <t>vitesse s/ml</t>
  </si>
  <si>
    <t>Efficient</t>
  </si>
  <si>
    <t xml:space="preserve"> réglage</t>
  </si>
  <si>
    <t xml:space="preserve"> pose TPC</t>
  </si>
  <si>
    <t>20min58s</t>
  </si>
  <si>
    <t>Fourreaux TPC D110</t>
  </si>
  <si>
    <t>cablette de terre (ml)</t>
  </si>
  <si>
    <t>TOTAL TEMPS</t>
  </si>
  <si>
    <t xml:space="preserve">efficience </t>
  </si>
  <si>
    <t xml:space="preserve">total efficience </t>
  </si>
  <si>
    <t>Vitesse m/s</t>
  </si>
  <si>
    <t xml:space="preserve">Manœuvre </t>
  </si>
  <si>
    <t>tirée cablette de terre</t>
  </si>
  <si>
    <t>socle eclairage</t>
  </si>
  <si>
    <t>aide pose des massifs</t>
  </si>
  <si>
    <t>Réalisation d'un lit de pose en sable pour pouvoir ensuite poser le massif à l'emplacement souhaité, à l'aide de la minipelle.</t>
  </si>
  <si>
    <t>dimension massif</t>
  </si>
  <si>
    <t>Longeur</t>
  </si>
  <si>
    <t>pose massif</t>
  </si>
  <si>
    <t>Réglage lit de pose et massif</t>
  </si>
  <si>
    <t>Pelle</t>
  </si>
  <si>
    <t>Temps tranport massif</t>
  </si>
  <si>
    <t>Réglage</t>
  </si>
  <si>
    <t>Temps de pose</t>
  </si>
  <si>
    <t>8min</t>
  </si>
  <si>
    <t>4min/u</t>
  </si>
  <si>
    <t>réhausse &amp; pose tampon</t>
  </si>
  <si>
    <t>Regard</t>
  </si>
  <si>
    <t>Epaisseur rehausse</t>
  </si>
  <si>
    <t>Volume béton</t>
  </si>
  <si>
    <t>Total volume béton</t>
  </si>
  <si>
    <t>Temps de coffrage (s)</t>
  </si>
  <si>
    <t>temps de scellement (s)</t>
  </si>
  <si>
    <t>temps de pose (s)</t>
  </si>
  <si>
    <t>Total temps (s)</t>
  </si>
  <si>
    <t>Temps Total chantier</t>
  </si>
  <si>
    <t>2h02min13s</t>
  </si>
  <si>
    <t>11m07s/u</t>
  </si>
  <si>
    <t>tampons</t>
  </si>
  <si>
    <t>Mise en forme de la zone piétonne (nivelage &amp; compactage), pose du ferraillage, coulage du béton, réglage béton, finition du nez.</t>
  </si>
  <si>
    <t>Dimension trottoir</t>
  </si>
  <si>
    <t>Nombre joint</t>
  </si>
  <si>
    <t>Joint de fractionnement</t>
  </si>
  <si>
    <t>longueur unité</t>
  </si>
  <si>
    <t>Surface (m2)</t>
  </si>
  <si>
    <t>nombre de découpe</t>
  </si>
  <si>
    <t>Temps par découpe (s)</t>
  </si>
  <si>
    <t>Total découpe</t>
  </si>
  <si>
    <t>Hérison</t>
  </si>
  <si>
    <t>TV 0/20</t>
  </si>
  <si>
    <t>Granulats 0,20</t>
  </si>
  <si>
    <t>Temps réglage / m2 (s)</t>
  </si>
  <si>
    <t>GNT 0/20 D3 epaisseur</t>
  </si>
  <si>
    <t>GNT 0/20  D3  nb de passe</t>
  </si>
  <si>
    <t>GNT 0/20  D3   vitesse</t>
  </si>
  <si>
    <t>contenance</t>
  </si>
  <si>
    <t>nb nécessaire</t>
  </si>
  <si>
    <t>Ferraillage</t>
  </si>
  <si>
    <t>Temps pose m2</t>
  </si>
  <si>
    <t>total temps</t>
  </si>
  <si>
    <t>Coffrage</t>
  </si>
  <si>
    <t>temps pose</t>
  </si>
  <si>
    <t>temps retrait</t>
  </si>
  <si>
    <t>Temps chantier</t>
  </si>
  <si>
    <t>type de galet</t>
  </si>
  <si>
    <t>30/40</t>
  </si>
  <si>
    <t>dimension zone podotactile</t>
  </si>
  <si>
    <t>GNT 100/200 concassé calcaire</t>
  </si>
  <si>
    <t>CEMEX</t>
  </si>
  <si>
    <t>Temps calculer (1 camion un tour , 1 pour 2 tour)</t>
  </si>
  <si>
    <t>2h19m41s</t>
  </si>
  <si>
    <t>rdm</t>
  </si>
  <si>
    <t>2min27s/m3</t>
  </si>
  <si>
    <t>conducteur d'engin</t>
  </si>
  <si>
    <t>conduit minipelle</t>
  </si>
  <si>
    <t>positionne galet</t>
  </si>
  <si>
    <t>transporte fourniture</t>
  </si>
  <si>
    <t>chef d'équipe</t>
  </si>
  <si>
    <t>Un camion transporte les galets et déverse à proximité des zones. Une minipelle, avec l'aide des hommes sur places, placent et règlent les galets aux endroits déterminés, sur 30cm.</t>
  </si>
  <si>
    <t>Avant le démarrage des travaux de plantations, l’entrepreneur devra :
l’enlèvement des détritus de toutes natures dans l’emprise du chantier et leur évacuation à
la décharge publique
· le fauchage et le désherbage si nécessaire des surfaces à planter et à engazonner (dans le
cas d’un désherbage chimique, le produit devra être non rémanent et ne présenter aucun
risque pour l’environnement). Il sera au préalable soumis à l’agrément du Maître d’oeuvre</t>
  </si>
  <si>
    <t>terre végétal</t>
  </si>
  <si>
    <t>chantier</t>
  </si>
  <si>
    <t>La terre végétale destinée au revêtement des surfaces à engazonner proviendra d'un apport de qualité et notamment de la terre végétale existante sur le terrain et stockée sur site en début de chantier. Au moment de sa mise en place et si nécessaire suite à l’analyse de terre à fournir par l’entrepreneur, un apport d’amendement sera réalisé. Les surfaces à engazonner devront être décompactées sur 0.25m avant réglage de la terre végétale sur 0.15 m d’épaisseur.</t>
  </si>
  <si>
    <t>Surface</t>
  </si>
  <si>
    <t xml:space="preserve">Epaisseur </t>
  </si>
  <si>
    <t>Terre végétale</t>
  </si>
  <si>
    <t>epaisseur à décompacter</t>
  </si>
  <si>
    <t>Décompactage</t>
  </si>
  <si>
    <t>Temps total chantier</t>
  </si>
  <si>
    <t>2h11m44s</t>
  </si>
  <si>
    <t>8s/m2</t>
  </si>
  <si>
    <t xml:space="preserve">Temps nettoyage (s) / m2   </t>
  </si>
  <si>
    <t>1h23m20s</t>
  </si>
  <si>
    <t>10s/m2</t>
  </si>
  <si>
    <t>3.6.3.1. ENGOZONNEMENT TERRE VEGETALE</t>
  </si>
  <si>
    <t>Les sols seront passés à la grille pour brisement des mottes et au râteau pour règlement fin, mise au
profil définitif des pelouses.
Les détritus et matériaux étrangers seront extraits et évacués.</t>
  </si>
  <si>
    <t>Rendement grelinette s/m2</t>
  </si>
  <si>
    <t>rendement râteau s/m2</t>
  </si>
  <si>
    <t>Temps total grelinette</t>
  </si>
  <si>
    <t>Temps total rateau</t>
  </si>
  <si>
    <t>passe le rateau</t>
  </si>
  <si>
    <t>passe la grelinette</t>
  </si>
  <si>
    <t>Le gazon sera semé à la dose de 40g/m². Ce semis sera un gazon rustique 1er choix en lawn-grass, ayant la composition suivante pour 100kgs
ray grass …………….15kgs
fétuque………………..40kgs
agrostis…………….. ..10kgs
fétuque rouge………...35kgs</t>
  </si>
  <si>
    <t>ray grass</t>
  </si>
  <si>
    <t>fétuque</t>
  </si>
  <si>
    <t>agrostis</t>
  </si>
  <si>
    <t>fétuque rouge</t>
  </si>
  <si>
    <t>Dose semi (g/m2)</t>
  </si>
  <si>
    <t>composition pour 100kg</t>
  </si>
  <si>
    <t>ray grass (kgs)</t>
  </si>
  <si>
    <t>fétuque  (kgs)</t>
  </si>
  <si>
    <t>agrostis (kgs)</t>
  </si>
  <si>
    <t>fétuque rouge (kgs)</t>
  </si>
  <si>
    <t>Total semi (g)</t>
  </si>
  <si>
    <t>en kg</t>
  </si>
  <si>
    <t>Composition pour 20kg</t>
  </si>
  <si>
    <t>Semi</t>
  </si>
  <si>
    <t>engazonneuse</t>
  </si>
  <si>
    <t>rendement m2/H</t>
  </si>
  <si>
    <t>s/m4</t>
  </si>
  <si>
    <t>Kg</t>
  </si>
  <si>
    <t>37min30s</t>
  </si>
  <si>
    <t>4,5s/m2</t>
  </si>
  <si>
    <t>herse</t>
  </si>
  <si>
    <t>motoculteur</t>
  </si>
  <si>
    <t>Rendement hersage s/m2</t>
  </si>
  <si>
    <t>41m40s</t>
  </si>
  <si>
    <t>Les surfaces ensemencées seront soigneusement hersées de façon à enterrer convenablement les
graines et faire disparaître toute inégalité du sol.</t>
  </si>
  <si>
    <t>Le roulage sera exécuté très soigneusement de façon à affermir la surface du sol. Dans les parties
trop pentues, où le rouleau ne pourra aller, on tassera le sol avec une batte.</t>
  </si>
  <si>
    <t>rouleau à gazon</t>
  </si>
  <si>
    <t>rendement rouleau à gazon (s/m2)</t>
  </si>
  <si>
    <t>50min</t>
  </si>
  <si>
    <t>6s/m2</t>
  </si>
  <si>
    <t>passe le rouleau</t>
  </si>
  <si>
    <t>passe la herse</t>
  </si>
  <si>
    <t>Un homme utilise le motoculteur, muni d'une herse, pour tailler le sol en prévision de la semi.</t>
  </si>
  <si>
    <t>Un homme utilise le rouleau à gazon sur la surface de travail, pour affermir le sol.</t>
  </si>
  <si>
    <t>Plantation d’arbres et de buissons compris :
· fouille
· apport de terreau
· tuteurage
· paillage en pied de chaque arbre selon choix architecte
Nota : implantation des arbres conformément à l’étude géotechnique. Le plan des plantations
d’exécution (à la charge de l’entreprise titulaire du présent lot) sera à valider par l’architecte et le bureau de contrôle avant réalisation des travaux (lors de la phase préparatoire).</t>
  </si>
  <si>
    <t>Fouille</t>
  </si>
  <si>
    <t>Apport Terreau</t>
  </si>
  <si>
    <t>Tuteurage</t>
  </si>
  <si>
    <t>Paillage</t>
  </si>
  <si>
    <t>Arbre</t>
  </si>
  <si>
    <t>Terreau</t>
  </si>
  <si>
    <t>2h</t>
  </si>
  <si>
    <t>2h/ens</t>
  </si>
  <si>
    <t xml:space="preserve">Déblais </t>
  </si>
  <si>
    <t>grainde riz</t>
  </si>
  <si>
    <t>chauffeur engin</t>
  </si>
  <si>
    <t>grain de riz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</si>
</sst>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6" formatCode="#,##0\ &quot;€&quot;;[Red]\-#,##0\ &quot;€&quot;"/>
    <numFmt numFmtId="44" formatCode="_-* #,##0.00\ &quot;€&quot;_-;\-* #,##0.00\ &quot;€&quot;_-;_-* &quot;-&quot;??\ &quot;€&quot;_-;_-@_-"/>
    <numFmt numFmtId="164" formatCode="0.0000"/>
    <numFmt numFmtId="165" formatCode="0.0"/>
    <numFmt numFmtId="166" formatCode="[$-F400]h:mm:ss\ AM/PM"/>
    <numFmt numFmtId="167" formatCode="[h]:mm;@"/>
    <numFmt numFmtId="168" formatCode="_ * #,##0.00_)\ &quot;€&quot;_ ;_ * \(#,##0.00\)\ &quot;€&quot;_ ;_ * &quot;-&quot;??_)\ &quot;€&quot;_ ;_ @_ "/>
    <numFmt numFmtId="169" formatCode="_-* #,##0.00\ [$€-40C]_-;\-* #,##0.00\ [$€-40C]_-;_-* &quot;-&quot;??\ [$€-40C]_-;_-@_-"/>
  </numFmts>
  <fonts count="7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Times New Roman"/>
      <family val="1"/>
    </font>
    <font>
      <sz val="10"/>
      <name val="Times New Roman"/>
      <family val="1"/>
    </font>
    <font>
      <sz val="12"/>
      <name val="Times New Roman"/>
      <family val="1"/>
    </font>
    <font>
      <sz val="12"/>
      <name val="Arial"/>
    </font>
    <font>
      <b/>
      <sz val="11"/>
      <name val="Times New Roman"/>
      <family val="1"/>
    </font>
    <font>
      <b/>
      <sz val="12"/>
      <name val="Arial"/>
      <family val="2"/>
    </font>
    <font>
      <b/>
      <sz val="10"/>
      <name val="Arial"/>
      <family val="2"/>
    </font>
    <font>
      <b/>
      <sz val="8"/>
      <name val="Times New Roman"/>
      <family val="1"/>
    </font>
    <font>
      <sz val="10"/>
      <name val="Arial"/>
      <family val="2"/>
    </font>
    <font>
      <sz val="10"/>
      <color theme="1"/>
      <name val="Arial"/>
      <family val="2"/>
    </font>
    <font>
      <sz val="10"/>
      <color rgb="FFFF0000"/>
      <name val="Arial"/>
      <family val="2"/>
    </font>
    <font>
      <sz val="12"/>
      <name val="Arial"/>
      <family val="2"/>
    </font>
    <font>
      <sz val="10"/>
      <name val="Arial"/>
    </font>
    <font>
      <sz val="11"/>
      <color rgb="FFFF0000"/>
      <name val="Calibri"/>
      <family val="2"/>
      <scheme val="minor"/>
    </font>
    <font>
      <b/>
      <sz val="11"/>
      <color theme="1"/>
      <name val="Calibri"/>
      <family val="2"/>
      <scheme val="minor"/>
    </font>
    <font>
      <sz val="10"/>
      <color theme="1"/>
      <name val="Arial"/>
    </font>
    <font>
      <b/>
      <sz val="10"/>
      <color theme="1"/>
      <name val="Arial"/>
      <family val="2"/>
    </font>
    <font>
      <b/>
      <sz val="11"/>
      <color rgb="FFFF0000"/>
      <name val="Calibri"/>
      <family val="2"/>
      <scheme val="minor"/>
    </font>
    <font>
      <sz val="11"/>
      <name val="Calibri"/>
      <family val="2"/>
      <scheme val="minor"/>
    </font>
    <font>
      <b/>
      <sz val="11"/>
      <name val="Arial"/>
      <family val="2"/>
    </font>
    <font>
      <b/>
      <sz val="12"/>
      <color rgb="FFFF0000"/>
      <name val="Calibri"/>
      <family val="2"/>
      <scheme val="minor"/>
    </font>
    <font>
      <b/>
      <i/>
      <sz val="10"/>
      <name val="Arial"/>
      <family val="2"/>
    </font>
    <font>
      <b/>
      <sz val="11"/>
      <color rgb="FFFF0000"/>
      <name val="Arial"/>
      <family val="2"/>
    </font>
    <font>
      <b/>
      <sz val="10"/>
      <color rgb="FFFF0000"/>
      <name val="Arial"/>
      <family val="2"/>
    </font>
    <font>
      <b/>
      <sz val="11"/>
      <name val="Calibri"/>
      <family val="2"/>
      <scheme val="minor"/>
    </font>
    <font>
      <i/>
      <sz val="10"/>
      <color theme="1"/>
      <name val="Arial"/>
      <family val="2"/>
    </font>
    <font>
      <sz val="11"/>
      <name val="Arial"/>
      <family val="2"/>
    </font>
    <font>
      <b/>
      <sz val="12"/>
      <color rgb="FFFF0000"/>
      <name val="Arial"/>
      <family val="2"/>
    </font>
    <font>
      <sz val="11"/>
      <name val="Times New Roman"/>
      <family val="1"/>
    </font>
    <font>
      <sz val="8"/>
      <name val="Arial"/>
      <family val="2"/>
    </font>
    <font>
      <b/>
      <sz val="10"/>
      <name val="Arial"/>
    </font>
    <font>
      <sz val="9"/>
      <color theme="1"/>
      <name val="Arial"/>
      <family val="2"/>
    </font>
    <font>
      <b/>
      <sz val="9"/>
      <color theme="1"/>
      <name val="Arial"/>
      <family val="2"/>
    </font>
    <font>
      <sz val="9"/>
      <color theme="1"/>
      <name val="Cambria"/>
      <family val="2"/>
      <scheme val="major"/>
    </font>
    <font>
      <b/>
      <sz val="9"/>
      <color theme="1"/>
      <name val="Cambria"/>
      <family val="2"/>
      <scheme val="major"/>
    </font>
    <font>
      <b/>
      <sz val="9"/>
      <color theme="1"/>
      <name val="Cambria"/>
      <family val="1"/>
      <scheme val="major"/>
    </font>
    <font>
      <sz val="9"/>
      <color theme="1"/>
      <name val="Times New Roman"/>
      <family val="1"/>
    </font>
    <font>
      <sz val="12"/>
      <color theme="1"/>
      <name val="Times New Roman"/>
      <family val="1"/>
    </font>
    <font>
      <sz val="10"/>
      <color theme="1"/>
      <name val="Times New Roman"/>
      <family val="1"/>
    </font>
    <font>
      <sz val="12"/>
      <color theme="1"/>
      <name val="Calibri"/>
      <family val="2"/>
      <scheme val="minor"/>
    </font>
    <font>
      <sz val="13"/>
      <color theme="1"/>
      <name val="Calibri"/>
      <family val="2"/>
      <scheme val="minor"/>
    </font>
    <font>
      <sz val="9"/>
      <name val="Arial"/>
      <family val="2"/>
    </font>
    <font>
      <sz val="9"/>
      <name val="Cambria"/>
      <family val="2"/>
      <scheme val="major"/>
    </font>
    <font>
      <b/>
      <sz val="10"/>
      <color theme="0"/>
      <name val="Arial"/>
      <family val="2"/>
    </font>
    <font>
      <b/>
      <sz val="12"/>
      <color rgb="FF002060"/>
      <name val="Arial Black"/>
      <family val="2"/>
    </font>
    <font>
      <sz val="12"/>
      <color rgb="FFFF0000"/>
      <name val="Arial Black"/>
      <family val="2"/>
    </font>
    <font>
      <b/>
      <sz val="12"/>
      <color rgb="FFFF0000"/>
      <name val="Arial Black"/>
      <family val="2"/>
    </font>
    <font>
      <b/>
      <sz val="12"/>
      <name val="Arial Black"/>
      <family val="2"/>
    </font>
    <font>
      <sz val="12"/>
      <name val="Arial Black"/>
      <family val="2"/>
    </font>
    <font>
      <sz val="8"/>
      <name val="Times New Roman"/>
      <family val="1"/>
    </font>
    <font>
      <sz val="11"/>
      <name val="Calibri"/>
      <family val="2"/>
    </font>
    <font>
      <b/>
      <sz val="9"/>
      <color rgb="FFFF0000"/>
      <name val="Tahoma-Bold"/>
    </font>
    <font>
      <b/>
      <sz val="9"/>
      <name val="Cambria"/>
      <family val="2"/>
      <scheme val="major"/>
    </font>
    <font>
      <sz val="9"/>
      <color theme="1"/>
      <name val="Cambria"/>
      <family val="1"/>
      <scheme val="major"/>
    </font>
    <font>
      <b/>
      <sz val="9"/>
      <color theme="1"/>
      <name val="Times New Roman"/>
      <family val="1"/>
    </font>
    <font>
      <b/>
      <sz val="10"/>
      <color theme="1"/>
      <name val="Cambria"/>
      <family val="1"/>
      <scheme val="major"/>
    </font>
    <font>
      <b/>
      <sz val="10"/>
      <color theme="1"/>
      <name val="Times New Roman"/>
      <family val="1"/>
    </font>
    <font>
      <sz val="9"/>
      <name val="Times New Roman"/>
      <family val="1"/>
    </font>
    <font>
      <b/>
      <sz val="9"/>
      <name val="Times New Roman"/>
      <family val="1"/>
    </font>
    <font>
      <b/>
      <sz val="10"/>
      <name val="Cambria"/>
      <family val="1"/>
      <scheme val="major"/>
    </font>
    <font>
      <b/>
      <sz val="10"/>
      <color rgb="FFFF0000"/>
      <name val="Times New Roman"/>
      <family val="1"/>
    </font>
    <font>
      <b/>
      <sz val="9"/>
      <color rgb="FFFF0000"/>
      <name val="Arial"/>
      <family val="2"/>
    </font>
    <font>
      <b/>
      <sz val="9"/>
      <color rgb="FFFF0000"/>
      <name val="Cambria"/>
      <family val="1"/>
      <scheme val="major"/>
    </font>
    <font>
      <b/>
      <sz val="10"/>
      <color rgb="FFFF0000"/>
      <name val="Cambria"/>
      <family val="1"/>
      <scheme val="major"/>
    </font>
  </fonts>
  <fills count="9">
    <fill>
      <patternFill patternType="none"/>
    </fill>
    <fill>
      <patternFill patternType="gray125"/>
    </fill>
    <fill>
      <patternFill patternType="solid">
        <fgColor indexed="22"/>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0"/>
        <bgColor theme="9" tint="0.79998168889431442"/>
      </patternFill>
    </fill>
    <fill>
      <patternFill patternType="solid">
        <fgColor theme="0"/>
        <bgColor indexed="64"/>
      </patternFill>
    </fill>
    <fill>
      <patternFill patternType="solid">
        <fgColor theme="9"/>
        <bgColor theme="9" tint="0.79998168889431442"/>
      </patternFill>
    </fill>
    <fill>
      <patternFill patternType="solid">
        <fgColor rgb="FFFFFF00"/>
        <bgColor indexed="64"/>
      </patternFill>
    </fill>
  </fills>
  <borders count="133">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diagonal/>
    </border>
    <border>
      <left/>
      <right style="medium">
        <color indexed="64"/>
      </right>
      <top style="hair">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hair">
        <color auto="1"/>
      </bottom>
      <diagonal/>
    </border>
    <border>
      <left/>
      <right/>
      <top style="thin">
        <color indexed="64"/>
      </top>
      <bottom style="hair">
        <color auto="1"/>
      </bottom>
      <diagonal/>
    </border>
    <border>
      <left/>
      <right style="medium">
        <color indexed="64"/>
      </right>
      <top style="thin">
        <color indexed="64"/>
      </top>
      <bottom style="hair">
        <color auto="1"/>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9" tint="0.39997558519241921"/>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theme="9" tint="0.39997558519241921"/>
      </bottom>
      <diagonal/>
    </border>
    <border>
      <left style="thin">
        <color indexed="64"/>
      </left>
      <right style="medium">
        <color indexed="64"/>
      </right>
      <top style="thin">
        <color indexed="64"/>
      </top>
      <bottom/>
      <diagonal/>
    </border>
    <border>
      <left style="thin">
        <color indexed="64"/>
      </left>
      <right/>
      <top style="thin">
        <color indexed="64"/>
      </top>
      <bottom style="thin">
        <color theme="9" tint="0.39997558519241921"/>
      </bottom>
      <diagonal/>
    </border>
    <border>
      <left style="thin">
        <color indexed="64"/>
      </left>
      <right/>
      <top style="thin">
        <color theme="9" tint="0.39997558519241921"/>
      </top>
      <bottom style="thin">
        <color indexed="64"/>
      </bottom>
      <diagonal/>
    </border>
    <border>
      <left/>
      <right style="thin">
        <color indexed="64"/>
      </right>
      <top style="thin">
        <color theme="9" tint="0.39997558519241921"/>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style="hair">
        <color auto="1"/>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theme="9" tint="0.39997558519241921"/>
      </bottom>
      <diagonal/>
    </border>
    <border>
      <left style="thin">
        <color indexed="64"/>
      </left>
      <right style="medium">
        <color indexed="64"/>
      </right>
      <top style="medium">
        <color indexed="64"/>
      </top>
      <bottom style="thin">
        <color theme="9" tint="0.39997558519241921"/>
      </bottom>
      <diagonal/>
    </border>
    <border>
      <left/>
      <right style="thin">
        <color indexed="64"/>
      </right>
      <top style="medium">
        <color indexed="64"/>
      </top>
      <bottom style="thin">
        <color theme="9" tint="0.39997558519241921"/>
      </bottom>
      <diagonal/>
    </border>
    <border>
      <left style="thin">
        <color rgb="FF000000"/>
      </left>
      <right style="thin">
        <color indexed="64"/>
      </right>
      <top style="medium">
        <color indexed="64"/>
      </top>
      <bottom style="thin">
        <color theme="9" tint="0.39997558519241921"/>
      </bottom>
      <diagonal/>
    </border>
    <border>
      <left style="thin">
        <color rgb="FF000000"/>
      </left>
      <right style="thin">
        <color indexed="64"/>
      </right>
      <top style="thin">
        <color indexed="64"/>
      </top>
      <bottom style="medium">
        <color indexed="64"/>
      </bottom>
      <diagonal/>
    </border>
    <border>
      <left style="thin">
        <color indexed="64"/>
      </left>
      <right style="thin">
        <color rgb="FF000000"/>
      </right>
      <top style="thin">
        <color indexed="64"/>
      </top>
      <bottom style="medium">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medium">
        <color indexed="64"/>
      </top>
      <bottom style="thin">
        <color theme="9" tint="0.39997558519241921"/>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theme="9" tint="0.39997558519241921"/>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bottom style="thin">
        <color rgb="FF000000"/>
      </bottom>
      <diagonal/>
    </border>
    <border>
      <left style="thin">
        <color indexed="64"/>
      </left>
      <right style="thin">
        <color indexed="64"/>
      </right>
      <top/>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theme="1"/>
      </left>
      <right style="thin">
        <color theme="1"/>
      </right>
      <top style="thin">
        <color theme="1"/>
      </top>
      <bottom style="thin">
        <color theme="1"/>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theme="1"/>
      </top>
      <bottom style="thin">
        <color theme="1"/>
      </bottom>
      <diagonal/>
    </border>
    <border>
      <left style="thin">
        <color indexed="64"/>
      </left>
      <right/>
      <top style="hair">
        <color auto="1"/>
      </top>
      <bottom style="hair">
        <color auto="1"/>
      </bottom>
      <diagonal/>
    </border>
    <border>
      <left style="thin">
        <color theme="1"/>
      </left>
      <right/>
      <top style="medium">
        <color indexed="64"/>
      </top>
      <bottom style="thin">
        <color indexed="64"/>
      </bottom>
      <diagonal/>
    </border>
    <border>
      <left/>
      <right style="thin">
        <color theme="1"/>
      </right>
      <top style="medium">
        <color indexed="64"/>
      </top>
      <bottom style="thin">
        <color indexed="64"/>
      </bottom>
      <diagonal/>
    </border>
    <border>
      <left/>
      <right style="thin">
        <color indexed="64"/>
      </right>
      <top style="hair">
        <color auto="1"/>
      </top>
      <bottom style="hair">
        <color auto="1"/>
      </bottom>
      <diagonal/>
    </border>
    <border>
      <left/>
      <right/>
      <top style="hair">
        <color auto="1"/>
      </top>
      <bottom style="thin">
        <color indexed="64"/>
      </bottom>
      <diagonal/>
    </border>
    <border>
      <left style="medium">
        <color indexed="64"/>
      </left>
      <right/>
      <top style="hair">
        <color auto="1"/>
      </top>
      <bottom style="thin">
        <color indexed="64"/>
      </bottom>
      <diagonal/>
    </border>
    <border>
      <left/>
      <right style="medium">
        <color indexed="64"/>
      </right>
      <top style="hair">
        <color auto="1"/>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theme="1"/>
      </bottom>
      <diagonal/>
    </border>
    <border>
      <left/>
      <right/>
      <top style="thin">
        <color indexed="64"/>
      </top>
      <bottom style="thin">
        <color theme="1"/>
      </bottom>
      <diagonal/>
    </border>
    <border>
      <left/>
      <right style="medium">
        <color indexed="64"/>
      </right>
      <top style="thin">
        <color indexed="64"/>
      </top>
      <bottom style="thin">
        <color theme="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medium">
        <color indexed="64"/>
      </left>
      <right style="thin">
        <color indexed="64"/>
      </right>
      <top style="thin">
        <color theme="9" tint="0.39997558519241921"/>
      </top>
      <bottom style="thin">
        <color indexed="64"/>
      </bottom>
      <diagonal/>
    </border>
    <border>
      <left style="medium">
        <color indexed="64"/>
      </left>
      <right style="thin">
        <color indexed="64"/>
      </right>
      <top style="thin">
        <color indexed="64"/>
      </top>
      <bottom style="thin">
        <color theme="9" tint="0.39997558519241921"/>
      </bottom>
      <diagonal/>
    </border>
    <border>
      <left style="thin">
        <color indexed="64"/>
      </left>
      <right style="medium">
        <color indexed="64"/>
      </right>
      <top style="thin">
        <color theme="9" tint="0.39997558519241921"/>
      </top>
      <bottom style="thin">
        <color indexed="64"/>
      </bottom>
      <diagonal/>
    </border>
    <border>
      <left style="thin">
        <color indexed="64"/>
      </left>
      <right style="thin">
        <color indexed="64"/>
      </right>
      <top style="thin">
        <color theme="9" tint="0.39997558519241921"/>
      </top>
      <bottom style="thin">
        <color indexed="64"/>
      </bottom>
      <diagonal/>
    </border>
    <border>
      <left style="medium">
        <color indexed="64"/>
      </left>
      <right style="medium">
        <color indexed="64"/>
      </right>
      <top style="medium">
        <color indexed="64"/>
      </top>
      <bottom style="thin">
        <color theme="9" tint="0.39997558519241921"/>
      </bottom>
      <diagonal/>
    </border>
    <border>
      <left style="medium">
        <color indexed="64"/>
      </left>
      <right/>
      <top style="thin">
        <color theme="9" tint="0.39997558519241921"/>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hair">
        <color auto="1"/>
      </top>
      <bottom style="thin">
        <color indexed="64"/>
      </bottom>
      <diagonal/>
    </border>
    <border>
      <left/>
      <right style="thin">
        <color indexed="64"/>
      </right>
      <top style="hair">
        <color auto="1"/>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medium">
        <color indexed="64"/>
      </right>
      <top style="thin">
        <color indexed="64"/>
      </top>
      <bottom style="thin">
        <color rgb="FF000000"/>
      </bottom>
      <diagonal/>
    </border>
    <border>
      <left style="medium">
        <color indexed="64"/>
      </left>
      <right style="thin">
        <color indexed="64"/>
      </right>
      <top style="thin">
        <color indexed="64"/>
      </top>
      <bottom style="thin">
        <color rgb="FF000000"/>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10" fillId="0" borderId="0"/>
    <xf numFmtId="44" fontId="19" fillId="0" borderId="0" applyFont="0" applyFill="0" applyBorder="0" applyAlignment="0" applyProtection="0"/>
    <xf numFmtId="44" fontId="23" fillId="0" borderId="0" applyFont="0" applyFill="0" applyBorder="0" applyAlignment="0" applyProtection="0"/>
  </cellStyleXfs>
  <cellXfs count="1359">
    <xf numFmtId="0" fontId="0" fillId="0" borderId="0" xfId="0"/>
    <xf numFmtId="2" fontId="12" fillId="0" borderId="2" xfId="0" applyNumberFormat="1" applyFont="1" applyBorder="1" applyAlignment="1">
      <alignment horizontal="center"/>
    </xf>
    <xf numFmtId="2" fontId="12" fillId="0" borderId="3" xfId="0" applyNumberFormat="1" applyFont="1" applyBorder="1" applyAlignment="1">
      <alignment horizontal="center"/>
    </xf>
    <xf numFmtId="0" fontId="0" fillId="0" borderId="0" xfId="0" applyBorder="1"/>
    <xf numFmtId="0" fontId="13" fillId="0" borderId="1" xfId="0" applyFont="1" applyBorder="1" applyAlignment="1">
      <alignment horizontal="center"/>
    </xf>
    <xf numFmtId="0" fontId="13" fillId="0" borderId="2"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2" fontId="13" fillId="0" borderId="14" xfId="0" applyNumberFormat="1" applyFont="1" applyBorder="1" applyAlignment="1">
      <alignment vertical="center"/>
    </xf>
    <xf numFmtId="0" fontId="14" fillId="0" borderId="14" xfId="0" applyFont="1" applyBorder="1" applyAlignment="1">
      <alignment vertical="center"/>
    </xf>
    <xf numFmtId="0" fontId="13" fillId="0" borderId="15" xfId="0" applyFont="1" applyBorder="1" applyAlignment="1">
      <alignment vertical="center"/>
    </xf>
    <xf numFmtId="0" fontId="0" fillId="0" borderId="2" xfId="0" applyBorder="1"/>
    <xf numFmtId="0" fontId="0" fillId="0" borderId="14" xfId="0" applyBorder="1"/>
    <xf numFmtId="0" fontId="0" fillId="0" borderId="15" xfId="0" applyBorder="1"/>
    <xf numFmtId="0" fontId="11" fillId="2" borderId="9" xfId="0" applyFont="1" applyFill="1" applyBorder="1" applyAlignment="1"/>
    <xf numFmtId="0" fontId="11" fillId="2" borderId="8" xfId="0" applyFont="1" applyFill="1" applyBorder="1" applyAlignment="1"/>
    <xf numFmtId="0" fontId="12" fillId="0" borderId="30" xfId="0" applyFont="1" applyBorder="1" applyAlignment="1">
      <alignment horizontal="center" vertical="center"/>
    </xf>
    <xf numFmtId="0" fontId="12" fillId="0" borderId="17" xfId="0" applyFont="1" applyBorder="1" applyAlignment="1">
      <alignment horizontal="center" vertical="center"/>
    </xf>
    <xf numFmtId="0" fontId="12" fillId="0" borderId="31" xfId="0" applyFont="1" applyBorder="1" applyAlignment="1">
      <alignment horizontal="center" vertical="center"/>
    </xf>
    <xf numFmtId="0" fontId="12" fillId="0" borderId="2" xfId="0" applyFont="1" applyFill="1" applyBorder="1" applyAlignment="1">
      <alignment horizontal="center" vertical="center" wrapText="1"/>
    </xf>
    <xf numFmtId="2" fontId="12" fillId="0" borderId="1" xfId="0" applyNumberFormat="1" applyFont="1" applyBorder="1" applyAlignment="1">
      <alignment horizontal="center"/>
    </xf>
    <xf numFmtId="0" fontId="12" fillId="0" borderId="13" xfId="0" applyFont="1" applyFill="1" applyBorder="1" applyAlignment="1">
      <alignment horizontal="center" vertical="center" wrapText="1"/>
    </xf>
    <xf numFmtId="0" fontId="0" fillId="0" borderId="13" xfId="0" applyBorder="1"/>
    <xf numFmtId="2" fontId="12" fillId="0" borderId="14" xfId="0" applyNumberFormat="1" applyFont="1" applyBorder="1" applyAlignment="1">
      <alignment horizontal="center"/>
    </xf>
    <xf numFmtId="0" fontId="12" fillId="0" borderId="14" xfId="0" applyFont="1" applyBorder="1" applyAlignment="1">
      <alignment horizontal="center"/>
    </xf>
    <xf numFmtId="2" fontId="12" fillId="0" borderId="33" xfId="0" applyNumberFormat="1" applyFont="1" applyBorder="1" applyAlignment="1">
      <alignment horizontal="center"/>
    </xf>
    <xf numFmtId="0" fontId="0" fillId="0" borderId="34" xfId="0" applyBorder="1"/>
    <xf numFmtId="0" fontId="0" fillId="0" borderId="35" xfId="0" applyBorder="1"/>
    <xf numFmtId="0" fontId="0" fillId="0" borderId="36" xfId="0" applyBorder="1"/>
    <xf numFmtId="0" fontId="0" fillId="2" borderId="8" xfId="0" applyFill="1" applyBorder="1"/>
    <xf numFmtId="0" fontId="12" fillId="2" borderId="8" xfId="0" applyFont="1" applyFill="1" applyBorder="1"/>
    <xf numFmtId="0" fontId="15" fillId="2" borderId="9" xfId="0" applyFont="1" applyFill="1" applyBorder="1"/>
    <xf numFmtId="0" fontId="12" fillId="2" borderId="32" xfId="0" applyFont="1" applyFill="1"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2" borderId="32" xfId="0" applyFill="1" applyBorder="1"/>
    <xf numFmtId="0" fontId="13" fillId="0" borderId="6" xfId="0" applyFont="1" applyBorder="1" applyAlignment="1">
      <alignment horizontal="center"/>
    </xf>
    <xf numFmtId="0" fontId="0" fillId="0" borderId="12" xfId="0" applyBorder="1"/>
    <xf numFmtId="0" fontId="19" fillId="0" borderId="0" xfId="0" applyFont="1"/>
    <xf numFmtId="0" fontId="12" fillId="0" borderId="2" xfId="0" applyFont="1" applyBorder="1" applyAlignment="1">
      <alignment horizontal="center"/>
    </xf>
    <xf numFmtId="0" fontId="19" fillId="0" borderId="2" xfId="0" applyFont="1" applyBorder="1"/>
    <xf numFmtId="49" fontId="12" fillId="0" borderId="1" xfId="0" applyNumberFormat="1" applyFont="1" applyBorder="1" applyAlignment="1">
      <alignment horizontal="center"/>
    </xf>
    <xf numFmtId="49" fontId="12" fillId="0" borderId="24" xfId="0" applyNumberFormat="1" applyFont="1" applyBorder="1" applyAlignment="1">
      <alignment horizontal="center"/>
    </xf>
    <xf numFmtId="0" fontId="12" fillId="0" borderId="1" xfId="0" applyNumberFormat="1" applyFont="1" applyBorder="1" applyAlignment="1">
      <alignment horizontal="center"/>
    </xf>
    <xf numFmtId="0" fontId="19" fillId="0" borderId="39" xfId="0" applyFont="1" applyBorder="1"/>
    <xf numFmtId="0" fontId="19" fillId="0" borderId="37" xfId="0" applyFont="1" applyBorder="1"/>
    <xf numFmtId="0" fontId="19" fillId="0" borderId="34" xfId="0" applyFont="1" applyBorder="1"/>
    <xf numFmtId="16" fontId="0" fillId="0" borderId="0" xfId="0" applyNumberFormat="1"/>
    <xf numFmtId="0" fontId="17" fillId="0" borderId="6" xfId="0" applyFont="1" applyBorder="1"/>
    <xf numFmtId="0" fontId="0" fillId="0" borderId="6" xfId="0" applyBorder="1"/>
    <xf numFmtId="0" fontId="0" fillId="0" borderId="6" xfId="0" applyFont="1" applyFill="1" applyBorder="1"/>
    <xf numFmtId="0" fontId="19" fillId="0" borderId="6" xfId="0" applyFont="1" applyBorder="1"/>
    <xf numFmtId="0" fontId="19" fillId="0" borderId="6" xfId="0" applyFont="1" applyFill="1" applyBorder="1"/>
    <xf numFmtId="0" fontId="0" fillId="0" borderId="3" xfId="0" applyBorder="1"/>
    <xf numFmtId="0" fontId="19" fillId="0" borderId="3" xfId="0" applyFont="1" applyBorder="1" applyAlignment="1"/>
    <xf numFmtId="0" fontId="19" fillId="0" borderId="3" xfId="0" applyFont="1" applyBorder="1"/>
    <xf numFmtId="164" fontId="0" fillId="0" borderId="3" xfId="0" applyNumberFormat="1" applyBorder="1"/>
    <xf numFmtId="165" fontId="0" fillId="0" borderId="3" xfId="0" applyNumberFormat="1" applyBorder="1"/>
    <xf numFmtId="0" fontId="17" fillId="0" borderId="48" xfId="0" applyFont="1" applyBorder="1"/>
    <xf numFmtId="0" fontId="17" fillId="0" borderId="31" xfId="0" applyFont="1" applyBorder="1"/>
    <xf numFmtId="0" fontId="19" fillId="0" borderId="49" xfId="0" applyFont="1" applyBorder="1"/>
    <xf numFmtId="0" fontId="0" fillId="0" borderId="22" xfId="0" applyBorder="1"/>
    <xf numFmtId="0" fontId="19" fillId="0" borderId="6" xfId="0" applyFont="1" applyBorder="1" applyAlignment="1">
      <alignment wrapText="1"/>
    </xf>
    <xf numFmtId="0" fontId="19" fillId="0" borderId="6" xfId="0" applyFont="1" applyBorder="1" applyAlignment="1">
      <alignment horizontal="right"/>
    </xf>
    <xf numFmtId="0" fontId="0" fillId="0" borderId="3" xfId="0" applyBorder="1" applyAlignment="1">
      <alignment wrapText="1"/>
    </xf>
    <xf numFmtId="0" fontId="19" fillId="0" borderId="49" xfId="0" applyFont="1" applyFill="1" applyBorder="1"/>
    <xf numFmtId="166" fontId="21" fillId="0" borderId="22" xfId="0" applyNumberFormat="1" applyFont="1" applyBorder="1"/>
    <xf numFmtId="0" fontId="22" fillId="0" borderId="14" xfId="0" applyFont="1" applyBorder="1" applyAlignment="1">
      <alignment vertical="center"/>
    </xf>
    <xf numFmtId="0" fontId="20" fillId="0" borderId="2" xfId="0" applyFont="1" applyBorder="1"/>
    <xf numFmtId="0" fontId="11" fillId="2" borderId="8" xfId="0" applyFont="1" applyFill="1" applyBorder="1" applyAlignment="1">
      <alignment horizontal="center"/>
    </xf>
    <xf numFmtId="0" fontId="11" fillId="2" borderId="32" xfId="0" applyFont="1" applyFill="1" applyBorder="1" applyAlignment="1">
      <alignment horizontal="center"/>
    </xf>
    <xf numFmtId="0" fontId="12" fillId="0" borderId="5" xfId="0" applyNumberFormat="1" applyFont="1" applyBorder="1" applyAlignment="1">
      <alignment vertical="center" wrapText="1"/>
    </xf>
    <xf numFmtId="0" fontId="20" fillId="3" borderId="2" xfId="0" applyFont="1" applyFill="1" applyBorder="1"/>
    <xf numFmtId="0" fontId="10" fillId="0" borderId="0" xfId="1"/>
    <xf numFmtId="0" fontId="10" fillId="0" borderId="15" xfId="1" applyBorder="1"/>
    <xf numFmtId="0" fontId="10" fillId="0" borderId="14" xfId="1" applyBorder="1"/>
    <xf numFmtId="2" fontId="12" fillId="0" borderId="33" xfId="1" applyNumberFormat="1" applyFont="1" applyBorder="1" applyAlignment="1">
      <alignment horizontal="center"/>
    </xf>
    <xf numFmtId="2" fontId="12" fillId="0" borderId="14" xfId="1" applyNumberFormat="1" applyFont="1" applyBorder="1" applyAlignment="1">
      <alignment horizontal="center"/>
    </xf>
    <xf numFmtId="0" fontId="12" fillId="0" borderId="14" xfId="1" applyFont="1" applyBorder="1" applyAlignment="1">
      <alignment horizontal="center"/>
    </xf>
    <xf numFmtId="49" fontId="12" fillId="0" borderId="24" xfId="1" applyNumberFormat="1" applyFont="1" applyBorder="1" applyAlignment="1">
      <alignment horizontal="center"/>
    </xf>
    <xf numFmtId="0" fontId="10" fillId="0" borderId="13" xfId="1" applyBorder="1"/>
    <xf numFmtId="0" fontId="10" fillId="0" borderId="2" xfId="1" applyBorder="1"/>
    <xf numFmtId="2" fontId="12" fillId="0" borderId="3" xfId="1" applyNumberFormat="1" applyFont="1" applyBorder="1" applyAlignment="1">
      <alignment horizontal="center"/>
    </xf>
    <xf numFmtId="2" fontId="12" fillId="0" borderId="2" xfId="1" applyNumberFormat="1" applyFont="1" applyBorder="1" applyAlignment="1">
      <alignment horizontal="center"/>
    </xf>
    <xf numFmtId="0" fontId="12" fillId="0" borderId="2" xfId="1" applyFont="1" applyBorder="1" applyAlignment="1">
      <alignment horizontal="center"/>
    </xf>
    <xf numFmtId="49" fontId="12" fillId="0" borderId="1" xfId="1" applyNumberFormat="1" applyFont="1" applyBorder="1" applyAlignment="1">
      <alignment horizontal="center"/>
    </xf>
    <xf numFmtId="0" fontId="19" fillId="0" borderId="2" xfId="1" applyFont="1" applyBorder="1"/>
    <xf numFmtId="0" fontId="12" fillId="0" borderId="5" xfId="1" applyNumberFormat="1" applyFont="1" applyBorder="1" applyAlignment="1">
      <alignment horizontal="center" vertical="center" wrapText="1"/>
    </xf>
    <xf numFmtId="0" fontId="19" fillId="0" borderId="0" xfId="1" applyFont="1"/>
    <xf numFmtId="0" fontId="12" fillId="0" borderId="13" xfId="1" applyFont="1" applyFill="1" applyBorder="1" applyAlignment="1">
      <alignment horizontal="center" vertical="center" wrapText="1"/>
    </xf>
    <xf numFmtId="0" fontId="12" fillId="0" borderId="2" xfId="1" applyFont="1" applyFill="1" applyBorder="1" applyAlignment="1">
      <alignment horizontal="center" vertical="center" wrapText="1"/>
    </xf>
    <xf numFmtId="0" fontId="12" fillId="0" borderId="31" xfId="1" applyFont="1" applyBorder="1" applyAlignment="1">
      <alignment horizontal="center" vertical="center"/>
    </xf>
    <xf numFmtId="0" fontId="12" fillId="0" borderId="17" xfId="1" applyFont="1" applyBorder="1" applyAlignment="1">
      <alignment horizontal="center" vertical="center"/>
    </xf>
    <xf numFmtId="0" fontId="12" fillId="0" borderId="30" xfId="1" applyFont="1" applyBorder="1" applyAlignment="1">
      <alignment horizontal="center" vertical="center"/>
    </xf>
    <xf numFmtId="0" fontId="11" fillId="2" borderId="32" xfId="1" applyFont="1" applyFill="1" applyBorder="1" applyAlignment="1">
      <alignment horizontal="center"/>
    </xf>
    <xf numFmtId="0" fontId="11" fillId="2" borderId="8" xfId="1" applyFont="1" applyFill="1" applyBorder="1" applyAlignment="1">
      <alignment horizontal="center"/>
    </xf>
    <xf numFmtId="0" fontId="11" fillId="2" borderId="8" xfId="1" applyFont="1" applyFill="1" applyBorder="1" applyAlignment="1"/>
    <xf numFmtId="0" fontId="11" fillId="2" borderId="9" xfId="1" applyFont="1" applyFill="1" applyBorder="1" applyAlignment="1"/>
    <xf numFmtId="0" fontId="10" fillId="0" borderId="40" xfId="1" applyBorder="1"/>
    <xf numFmtId="0" fontId="10" fillId="0" borderId="34" xfId="1" applyBorder="1"/>
    <xf numFmtId="166" fontId="28" fillId="0" borderId="33" xfId="1" applyNumberFormat="1" applyFont="1" applyBorder="1"/>
    <xf numFmtId="0" fontId="19" fillId="3" borderId="57" xfId="1" applyFont="1" applyFill="1" applyBorder="1"/>
    <xf numFmtId="0" fontId="29" fillId="0" borderId="22" xfId="1" applyNumberFormat="1" applyFont="1" applyBorder="1"/>
    <xf numFmtId="0" fontId="19" fillId="3" borderId="49" xfId="1" applyFont="1" applyFill="1" applyBorder="1"/>
    <xf numFmtId="0" fontId="10" fillId="0" borderId="39" xfId="1" applyBorder="1"/>
    <xf numFmtId="0" fontId="10" fillId="0" borderId="3" xfId="1" applyNumberFormat="1" applyBorder="1"/>
    <xf numFmtId="0" fontId="19" fillId="3" borderId="6" xfId="1" applyFont="1" applyFill="1" applyBorder="1"/>
    <xf numFmtId="0" fontId="19" fillId="0" borderId="3" xfId="1" applyNumberFormat="1" applyFont="1" applyBorder="1" applyAlignment="1"/>
    <xf numFmtId="0" fontId="19" fillId="0" borderId="3" xfId="1" applyNumberFormat="1" applyFont="1" applyBorder="1"/>
    <xf numFmtId="0" fontId="10" fillId="0" borderId="31" xfId="1" applyNumberFormat="1" applyBorder="1"/>
    <xf numFmtId="0" fontId="19" fillId="3" borderId="48" xfId="1" applyFont="1" applyFill="1" applyBorder="1" applyAlignment="1">
      <alignment wrapText="1"/>
    </xf>
    <xf numFmtId="0" fontId="25" fillId="0" borderId="58" xfId="1" applyNumberFormat="1" applyFont="1" applyBorder="1"/>
    <xf numFmtId="0" fontId="30" fillId="3" borderId="59" xfId="1" applyFont="1" applyFill="1" applyBorder="1" applyAlignment="1">
      <alignment horizontal="center" vertical="center"/>
    </xf>
    <xf numFmtId="0" fontId="24" fillId="0" borderId="3" xfId="1" applyFont="1" applyBorder="1"/>
    <xf numFmtId="0" fontId="19" fillId="0" borderId="1" xfId="1" applyFont="1" applyBorder="1"/>
    <xf numFmtId="0" fontId="19" fillId="3" borderId="60" xfId="1" applyFont="1" applyFill="1" applyBorder="1"/>
    <xf numFmtId="0" fontId="10" fillId="0" borderId="31" xfId="1" applyBorder="1"/>
    <xf numFmtId="0" fontId="19" fillId="0" borderId="30" xfId="1" applyFont="1" applyBorder="1"/>
    <xf numFmtId="0" fontId="10" fillId="0" borderId="22" xfId="1" applyNumberFormat="1" applyBorder="1"/>
    <xf numFmtId="0" fontId="25" fillId="0" borderId="58" xfId="1" applyFont="1" applyBorder="1"/>
    <xf numFmtId="0" fontId="17" fillId="0" borderId="59" xfId="1" applyFont="1" applyBorder="1"/>
    <xf numFmtId="0" fontId="19" fillId="3" borderId="48" xfId="1" applyFont="1" applyFill="1" applyBorder="1"/>
    <xf numFmtId="0" fontId="19" fillId="0" borderId="5" xfId="1" applyFont="1" applyBorder="1"/>
    <xf numFmtId="166" fontId="28" fillId="0" borderId="58" xfId="1" applyNumberFormat="1" applyFont="1" applyBorder="1"/>
    <xf numFmtId="0" fontId="30" fillId="3" borderId="59" xfId="1" applyFont="1" applyFill="1" applyBorder="1" applyAlignment="1">
      <alignment horizontal="center"/>
    </xf>
    <xf numFmtId="0" fontId="24" fillId="0" borderId="3" xfId="1" applyNumberFormat="1" applyFont="1" applyBorder="1"/>
    <xf numFmtId="166" fontId="28" fillId="0" borderId="22" xfId="1" applyNumberFormat="1" applyFont="1" applyBorder="1"/>
    <xf numFmtId="0" fontId="17" fillId="3" borderId="2" xfId="1" applyFont="1" applyFill="1" applyBorder="1"/>
    <xf numFmtId="166" fontId="29" fillId="0" borderId="22" xfId="1" applyNumberFormat="1" applyFont="1" applyBorder="1"/>
    <xf numFmtId="46" fontId="31" fillId="0" borderId="2" xfId="1" applyNumberFormat="1" applyFont="1" applyBorder="1"/>
    <xf numFmtId="0" fontId="17" fillId="0" borderId="2" xfId="1" applyFont="1" applyBorder="1"/>
    <xf numFmtId="166" fontId="29" fillId="0" borderId="33" xfId="1" applyNumberFormat="1" applyFont="1" applyBorder="1"/>
    <xf numFmtId="0" fontId="24" fillId="0" borderId="15" xfId="1" applyNumberFormat="1" applyFont="1" applyBorder="1"/>
    <xf numFmtId="0" fontId="19" fillId="0" borderId="24" xfId="1" applyFont="1" applyBorder="1"/>
    <xf numFmtId="0" fontId="29" fillId="0" borderId="3" xfId="1" applyNumberFormat="1" applyFont="1" applyBorder="1"/>
    <xf numFmtId="0" fontId="24" fillId="0" borderId="13" xfId="1" applyNumberFormat="1" applyFont="1" applyBorder="1"/>
    <xf numFmtId="0" fontId="10" fillId="0" borderId="13" xfId="1" applyNumberFormat="1" applyBorder="1"/>
    <xf numFmtId="0" fontId="19" fillId="0" borderId="13" xfId="1" applyNumberFormat="1" applyFont="1" applyBorder="1"/>
    <xf numFmtId="0" fontId="10" fillId="0" borderId="18" xfId="1" applyNumberFormat="1" applyBorder="1"/>
    <xf numFmtId="166" fontId="28" fillId="5" borderId="22" xfId="1" applyNumberFormat="1" applyFont="1" applyFill="1" applyBorder="1"/>
    <xf numFmtId="0" fontId="19" fillId="5" borderId="49" xfId="1" applyFont="1" applyFill="1" applyBorder="1"/>
    <xf numFmtId="0" fontId="19" fillId="0" borderId="13" xfId="1" applyNumberFormat="1" applyFont="1" applyBorder="1" applyAlignment="1"/>
    <xf numFmtId="0" fontId="10" fillId="0" borderId="58" xfId="1" applyNumberFormat="1" applyBorder="1"/>
    <xf numFmtId="0" fontId="30" fillId="0" borderId="59" xfId="1" applyFont="1" applyBorder="1" applyAlignment="1">
      <alignment horizontal="center"/>
    </xf>
    <xf numFmtId="0" fontId="10" fillId="0" borderId="3" xfId="1" applyNumberFormat="1" applyFont="1" applyBorder="1"/>
    <xf numFmtId="0" fontId="19" fillId="0" borderId="6" xfId="1" applyFont="1" applyBorder="1"/>
    <xf numFmtId="166" fontId="24" fillId="0" borderId="15" xfId="1" applyNumberFormat="1" applyFont="1" applyBorder="1"/>
    <xf numFmtId="0" fontId="10" fillId="5" borderId="31" xfId="1" applyNumberFormat="1" applyFont="1" applyFill="1" applyBorder="1"/>
    <xf numFmtId="0" fontId="19" fillId="5" borderId="48" xfId="1" applyFont="1" applyFill="1" applyBorder="1"/>
    <xf numFmtId="166" fontId="28" fillId="5" borderId="62" xfId="1" applyNumberFormat="1" applyFont="1" applyFill="1" applyBorder="1"/>
    <xf numFmtId="0" fontId="24" fillId="0" borderId="22" xfId="1" applyNumberFormat="1" applyFont="1" applyBorder="1"/>
    <xf numFmtId="0" fontId="10" fillId="5" borderId="63" xfId="1" applyNumberFormat="1" applyFont="1" applyFill="1" applyBorder="1"/>
    <xf numFmtId="0" fontId="19" fillId="5" borderId="64" xfId="1" applyFont="1" applyFill="1" applyBorder="1"/>
    <xf numFmtId="0" fontId="10" fillId="0" borderId="61" xfId="1" applyNumberFormat="1" applyFont="1" applyBorder="1"/>
    <xf numFmtId="0" fontId="10" fillId="0" borderId="65" xfId="1" applyNumberFormat="1" applyFont="1" applyBorder="1"/>
    <xf numFmtId="0" fontId="32" fillId="0" borderId="66" xfId="1" applyFont="1" applyBorder="1"/>
    <xf numFmtId="0" fontId="19" fillId="5" borderId="60" xfId="1" applyFont="1" applyFill="1" applyBorder="1"/>
    <xf numFmtId="0" fontId="10" fillId="0" borderId="67" xfId="1" applyNumberFormat="1" applyBorder="1"/>
    <xf numFmtId="0" fontId="30" fillId="0" borderId="68" xfId="1" applyFont="1" applyBorder="1" applyAlignment="1">
      <alignment horizontal="center"/>
    </xf>
    <xf numFmtId="0" fontId="19" fillId="0" borderId="62" xfId="1" applyNumberFormat="1" applyFont="1" applyBorder="1"/>
    <xf numFmtId="166" fontId="10" fillId="0" borderId="2" xfId="1" applyNumberFormat="1" applyBorder="1"/>
    <xf numFmtId="0" fontId="23" fillId="0" borderId="2" xfId="1" applyFont="1" applyBorder="1"/>
    <xf numFmtId="0" fontId="10" fillId="0" borderId="33" xfId="1" applyNumberFormat="1" applyBorder="1"/>
    <xf numFmtId="0" fontId="19" fillId="0" borderId="55" xfId="1" applyFont="1" applyBorder="1" applyAlignment="1">
      <alignment horizontal="left" vertical="center"/>
    </xf>
    <xf numFmtId="0" fontId="19" fillId="0" borderId="30" xfId="1" applyFont="1" applyBorder="1" applyAlignment="1">
      <alignment wrapText="1"/>
    </xf>
    <xf numFmtId="0" fontId="10" fillId="0" borderId="69" xfId="1" applyNumberFormat="1" applyBorder="1"/>
    <xf numFmtId="0" fontId="30" fillId="0" borderId="70" xfId="1" applyFont="1" applyBorder="1" applyAlignment="1">
      <alignment horizontal="center" vertical="center"/>
    </xf>
    <xf numFmtId="0" fontId="10" fillId="0" borderId="36" xfId="1" applyBorder="1"/>
    <xf numFmtId="0" fontId="30" fillId="0" borderId="66" xfId="1" applyFont="1" applyBorder="1" applyAlignment="1">
      <alignment horizontal="center"/>
    </xf>
    <xf numFmtId="0" fontId="10" fillId="0" borderId="65" xfId="1" applyBorder="1"/>
    <xf numFmtId="0" fontId="17" fillId="0" borderId="59" xfId="1" applyFont="1" applyBorder="1" applyAlignment="1">
      <alignment horizontal="center"/>
    </xf>
    <xf numFmtId="0" fontId="17" fillId="0" borderId="16" xfId="1" applyFont="1" applyBorder="1"/>
    <xf numFmtId="0" fontId="17" fillId="0" borderId="71" xfId="1" applyFont="1" applyBorder="1"/>
    <xf numFmtId="0" fontId="10" fillId="0" borderId="72" xfId="1" applyBorder="1"/>
    <xf numFmtId="0" fontId="17" fillId="4" borderId="29" xfId="1" applyFont="1" applyFill="1" applyBorder="1"/>
    <xf numFmtId="0" fontId="17" fillId="4" borderId="71" xfId="1" applyFont="1" applyFill="1" applyBorder="1"/>
    <xf numFmtId="0" fontId="17" fillId="0" borderId="29" xfId="1" applyFont="1" applyBorder="1"/>
    <xf numFmtId="0" fontId="17" fillId="0" borderId="23" xfId="1" applyFont="1" applyBorder="1"/>
    <xf numFmtId="0" fontId="10" fillId="2" borderId="73" xfId="1" applyFill="1" applyBorder="1"/>
    <xf numFmtId="0" fontId="10" fillId="2" borderId="74" xfId="1" applyFill="1" applyBorder="1"/>
    <xf numFmtId="0" fontId="15" fillId="2" borderId="75" xfId="1" applyFont="1" applyFill="1" applyBorder="1"/>
    <xf numFmtId="2" fontId="12" fillId="0" borderId="1" xfId="1" applyNumberFormat="1" applyFont="1" applyBorder="1" applyAlignment="1">
      <alignment horizontal="center"/>
    </xf>
    <xf numFmtId="0" fontId="19" fillId="0" borderId="34" xfId="1" applyFont="1" applyBorder="1"/>
    <xf numFmtId="0" fontId="13" fillId="0" borderId="2" xfId="1" applyFont="1" applyBorder="1" applyAlignment="1">
      <alignment horizontal="center"/>
    </xf>
    <xf numFmtId="0" fontId="13" fillId="0" borderId="6" xfId="1" applyFont="1" applyBorder="1" applyAlignment="1">
      <alignment horizontal="center"/>
    </xf>
    <xf numFmtId="0" fontId="13" fillId="0" borderId="1" xfId="1" applyFont="1" applyBorder="1" applyAlignment="1">
      <alignment horizontal="center"/>
    </xf>
    <xf numFmtId="0" fontId="13" fillId="0" borderId="15" xfId="1" applyFont="1" applyBorder="1" applyAlignment="1">
      <alignment vertical="center"/>
    </xf>
    <xf numFmtId="2" fontId="13" fillId="0" borderId="14" xfId="1" applyNumberFormat="1" applyFont="1" applyBorder="1" applyAlignment="1">
      <alignment vertical="center"/>
    </xf>
    <xf numFmtId="0" fontId="14" fillId="0" borderId="14" xfId="1" applyFont="1" applyBorder="1" applyAlignment="1">
      <alignment vertical="center"/>
    </xf>
    <xf numFmtId="0" fontId="12" fillId="0" borderId="18" xfId="1" applyFont="1" applyBorder="1" applyAlignment="1">
      <alignment horizontal="center"/>
    </xf>
    <xf numFmtId="0" fontId="12" fillId="0" borderId="17" xfId="1" applyFont="1" applyBorder="1" applyAlignment="1">
      <alignment horizontal="center"/>
    </xf>
    <xf numFmtId="0" fontId="19" fillId="0" borderId="2" xfId="1" applyFont="1" applyFill="1" applyBorder="1" applyAlignment="1">
      <alignment horizontal="center" vertical="center" wrapText="1"/>
    </xf>
    <xf numFmtId="0" fontId="19" fillId="2" borderId="8" xfId="1" applyFont="1" applyFill="1" applyBorder="1" applyAlignment="1">
      <alignment horizontal="center"/>
    </xf>
    <xf numFmtId="166" fontId="28" fillId="0" borderId="13" xfId="1" applyNumberFormat="1" applyFont="1" applyBorder="1"/>
    <xf numFmtId="0" fontId="19" fillId="0" borderId="59" xfId="1" applyFont="1" applyBorder="1" applyAlignment="1">
      <alignment horizontal="left" vertical="center"/>
    </xf>
    <xf numFmtId="166" fontId="28" fillId="0" borderId="69" xfId="1" applyNumberFormat="1" applyFont="1" applyBorder="1"/>
    <xf numFmtId="0" fontId="30" fillId="0" borderId="68" xfId="1" applyFont="1" applyBorder="1" applyAlignment="1">
      <alignment horizontal="center" wrapText="1"/>
    </xf>
    <xf numFmtId="166" fontId="28" fillId="0" borderId="15" xfId="1" applyNumberFormat="1" applyFont="1" applyBorder="1"/>
    <xf numFmtId="0" fontId="19" fillId="0" borderId="24" xfId="1" applyFont="1" applyBorder="1" applyAlignment="1">
      <alignment wrapText="1"/>
    </xf>
    <xf numFmtId="0" fontId="29" fillId="0" borderId="15" xfId="1" applyNumberFormat="1" applyFont="1" applyBorder="1"/>
    <xf numFmtId="166" fontId="28" fillId="0" borderId="61" xfId="1" applyNumberFormat="1" applyFont="1" applyBorder="1"/>
    <xf numFmtId="166" fontId="31" fillId="0" borderId="58" xfId="1" applyNumberFormat="1" applyFont="1" applyBorder="1"/>
    <xf numFmtId="0" fontId="19" fillId="0" borderId="59" xfId="1" applyFont="1" applyBorder="1"/>
    <xf numFmtId="0" fontId="19" fillId="0" borderId="68" xfId="1" applyFont="1" applyBorder="1" applyAlignment="1">
      <alignment horizontal="center"/>
    </xf>
    <xf numFmtId="0" fontId="10" fillId="0" borderId="2" xfId="1" applyNumberFormat="1" applyBorder="1"/>
    <xf numFmtId="0" fontId="19" fillId="0" borderId="2" xfId="1" applyFont="1" applyBorder="1" applyAlignment="1">
      <alignment horizontal="right"/>
    </xf>
    <xf numFmtId="0" fontId="29" fillId="0" borderId="31" xfId="1" applyNumberFormat="1" applyFont="1" applyBorder="1"/>
    <xf numFmtId="0" fontId="17" fillId="0" borderId="55" xfId="1" applyFont="1" applyBorder="1" applyAlignment="1">
      <alignment horizontal="left" vertical="center"/>
    </xf>
    <xf numFmtId="166" fontId="24" fillId="0" borderId="22" xfId="1" applyNumberFormat="1" applyFont="1" applyBorder="1"/>
    <xf numFmtId="0" fontId="19" fillId="0" borderId="5" xfId="1" applyFont="1" applyBorder="1" applyAlignment="1">
      <alignment wrapText="1"/>
    </xf>
    <xf numFmtId="167" fontId="33" fillId="3" borderId="13" xfId="1" applyNumberFormat="1" applyFont="1" applyFill="1" applyBorder="1"/>
    <xf numFmtId="0" fontId="20" fillId="3" borderId="2" xfId="1" applyFont="1" applyFill="1" applyBorder="1" applyAlignment="1">
      <alignment wrapText="1"/>
    </xf>
    <xf numFmtId="0" fontId="34" fillId="3" borderId="2" xfId="1" applyFont="1" applyFill="1" applyBorder="1"/>
    <xf numFmtId="0" fontId="20" fillId="3" borderId="2" xfId="1" applyFont="1" applyFill="1" applyBorder="1"/>
    <xf numFmtId="165" fontId="10" fillId="0" borderId="3" xfId="1" applyNumberFormat="1" applyBorder="1"/>
    <xf numFmtId="166" fontId="33" fillId="3" borderId="13" xfId="1" applyNumberFormat="1" applyFont="1" applyFill="1" applyBorder="1"/>
    <xf numFmtId="0" fontId="20" fillId="0" borderId="2" xfId="1" applyFont="1" applyBorder="1"/>
    <xf numFmtId="0" fontId="20" fillId="3" borderId="13" xfId="1" applyFont="1" applyFill="1" applyBorder="1"/>
    <xf numFmtId="0" fontId="20" fillId="0" borderId="13" xfId="1" applyFont="1" applyBorder="1"/>
    <xf numFmtId="0" fontId="27" fillId="0" borderId="2" xfId="1" applyFont="1" applyBorder="1" applyAlignment="1">
      <alignment wrapText="1"/>
    </xf>
    <xf numFmtId="0" fontId="35" fillId="0" borderId="13" xfId="1" applyNumberFormat="1" applyFont="1" applyBorder="1"/>
    <xf numFmtId="0" fontId="19" fillId="0" borderId="5" xfId="1" applyFont="1" applyBorder="1" applyAlignment="1">
      <alignment horizontal="right"/>
    </xf>
    <xf numFmtId="0" fontId="17" fillId="0" borderId="5" xfId="1" applyFont="1" applyBorder="1"/>
    <xf numFmtId="166" fontId="28" fillId="0" borderId="2" xfId="1" applyNumberFormat="1" applyFont="1" applyBorder="1"/>
    <xf numFmtId="0" fontId="20" fillId="0" borderId="13" xfId="1" applyNumberFormat="1" applyFont="1" applyBorder="1" applyAlignment="1">
      <alignment wrapText="1"/>
    </xf>
    <xf numFmtId="0" fontId="20" fillId="0" borderId="6" xfId="1" applyFont="1" applyBorder="1" applyAlignment="1">
      <alignment wrapText="1"/>
    </xf>
    <xf numFmtId="166" fontId="20" fillId="3" borderId="13" xfId="1" applyNumberFormat="1" applyFont="1" applyFill="1" applyBorder="1" applyAlignment="1">
      <alignment wrapText="1"/>
    </xf>
    <xf numFmtId="0" fontId="20" fillId="3" borderId="6" xfId="1" applyFont="1" applyFill="1" applyBorder="1" applyAlignment="1">
      <alignment wrapText="1"/>
    </xf>
    <xf numFmtId="0" fontId="20" fillId="0" borderId="13" xfId="1" applyFont="1" applyBorder="1" applyAlignment="1">
      <alignment wrapText="1"/>
    </xf>
    <xf numFmtId="0" fontId="20" fillId="3" borderId="6" xfId="1" applyFont="1" applyFill="1" applyBorder="1" applyAlignment="1">
      <alignment horizontal="left"/>
    </xf>
    <xf numFmtId="0" fontId="29" fillId="0" borderId="13" xfId="1" applyNumberFormat="1" applyFont="1" applyBorder="1"/>
    <xf numFmtId="0" fontId="20" fillId="0" borderId="78" xfId="1" applyFont="1" applyBorder="1"/>
    <xf numFmtId="0" fontId="27" fillId="0" borderId="79" xfId="1" applyFont="1" applyBorder="1"/>
    <xf numFmtId="0" fontId="17" fillId="0" borderId="2" xfId="1" applyFont="1" applyBorder="1" applyAlignment="1">
      <alignment horizontal="center" vertical="center"/>
    </xf>
    <xf numFmtId="0" fontId="17" fillId="0" borderId="1" xfId="1" applyFont="1" applyBorder="1"/>
    <xf numFmtId="0" fontId="20" fillId="3" borderId="77" xfId="1" applyFont="1" applyFill="1" applyBorder="1"/>
    <xf numFmtId="0" fontId="27" fillId="3" borderId="56" xfId="1" applyFont="1" applyFill="1" applyBorder="1" applyAlignment="1">
      <alignment horizontal="center"/>
    </xf>
    <xf numFmtId="0" fontId="19" fillId="0" borderId="2" xfId="1" applyFont="1" applyBorder="1" applyAlignment="1">
      <alignment wrapText="1"/>
    </xf>
    <xf numFmtId="0" fontId="20" fillId="3" borderId="18" xfId="1" applyFont="1" applyFill="1" applyBorder="1"/>
    <xf numFmtId="0" fontId="20" fillId="3" borderId="17" xfId="1" applyFont="1" applyFill="1" applyBorder="1"/>
    <xf numFmtId="0" fontId="20" fillId="3" borderId="58" xfId="1" applyFont="1" applyFill="1" applyBorder="1"/>
    <xf numFmtId="0" fontId="27" fillId="3" borderId="59" xfId="1" applyFont="1" applyFill="1" applyBorder="1"/>
    <xf numFmtId="0" fontId="20" fillId="3" borderId="61" xfId="1" applyNumberFormat="1" applyFont="1" applyFill="1" applyBorder="1"/>
    <xf numFmtId="0" fontId="20" fillId="3" borderId="4" xfId="1" applyFont="1" applyFill="1" applyBorder="1"/>
    <xf numFmtId="0" fontId="20" fillId="0" borderId="77" xfId="1" applyNumberFormat="1" applyFont="1" applyBorder="1"/>
    <xf numFmtId="0" fontId="20" fillId="3" borderId="77" xfId="1" applyNumberFormat="1" applyFont="1" applyFill="1" applyBorder="1"/>
    <xf numFmtId="0" fontId="20" fillId="3" borderId="16" xfId="1" applyNumberFormat="1" applyFont="1" applyFill="1" applyBorder="1"/>
    <xf numFmtId="0" fontId="36" fillId="3" borderId="7" xfId="1" applyFont="1" applyFill="1" applyBorder="1"/>
    <xf numFmtId="0" fontId="20" fillId="0" borderId="58" xfId="1" applyFont="1" applyBorder="1"/>
    <xf numFmtId="0" fontId="27" fillId="0" borderId="76" xfId="1" applyFont="1" applyBorder="1"/>
    <xf numFmtId="0" fontId="19" fillId="0" borderId="66" xfId="1" applyFont="1" applyBorder="1" applyAlignment="1">
      <alignment horizontal="center"/>
    </xf>
    <xf numFmtId="166" fontId="20" fillId="0" borderId="16" xfId="1" applyNumberFormat="1" applyFont="1" applyBorder="1"/>
    <xf numFmtId="0" fontId="27" fillId="3" borderId="79" xfId="1" applyFont="1" applyFill="1" applyBorder="1" applyAlignment="1">
      <alignment horizontal="center"/>
    </xf>
    <xf numFmtId="0" fontId="30" fillId="3" borderId="27" xfId="1" applyFont="1" applyFill="1" applyBorder="1" applyAlignment="1">
      <alignment horizontal="center" vertical="center"/>
    </xf>
    <xf numFmtId="0" fontId="19" fillId="0" borderId="1" xfId="1" applyFont="1" applyBorder="1" applyAlignment="1">
      <alignment horizontal="right"/>
    </xf>
    <xf numFmtId="0" fontId="17" fillId="0" borderId="6" xfId="1" applyFont="1" applyBorder="1"/>
    <xf numFmtId="0" fontId="19" fillId="0" borderId="66" xfId="1" applyFont="1" applyBorder="1" applyAlignment="1">
      <alignment horizontal="right"/>
    </xf>
    <xf numFmtId="0" fontId="19" fillId="5" borderId="60" xfId="1" applyFont="1" applyFill="1" applyBorder="1" applyAlignment="1">
      <alignment wrapText="1"/>
    </xf>
    <xf numFmtId="0" fontId="19" fillId="0" borderId="6" xfId="1" applyFont="1" applyBorder="1" applyAlignment="1">
      <alignment horizontal="right"/>
    </xf>
    <xf numFmtId="0" fontId="19" fillId="0" borderId="59" xfId="1" applyFont="1" applyBorder="1" applyAlignment="1">
      <alignment horizontal="right"/>
    </xf>
    <xf numFmtId="0" fontId="19" fillId="0" borderId="59" xfId="1" applyFont="1" applyBorder="1" applyAlignment="1">
      <alignment horizontal="center" wrapText="1"/>
    </xf>
    <xf numFmtId="0" fontId="19" fillId="3" borderId="0" xfId="1" applyFont="1" applyFill="1" applyBorder="1" applyAlignment="1">
      <alignment horizontal="center"/>
    </xf>
    <xf numFmtId="0" fontId="19" fillId="0" borderId="24" xfId="0" applyFont="1" applyBorder="1"/>
    <xf numFmtId="0" fontId="19" fillId="0" borderId="1" xfId="0" applyFont="1" applyBorder="1"/>
    <xf numFmtId="0" fontId="20" fillId="0" borderId="13" xfId="0" applyFont="1" applyBorder="1"/>
    <xf numFmtId="0" fontId="0" fillId="0" borderId="65" xfId="0" applyBorder="1"/>
    <xf numFmtId="0" fontId="17" fillId="0" borderId="59" xfId="0" applyFont="1" applyBorder="1"/>
    <xf numFmtId="0" fontId="19" fillId="0" borderId="1" xfId="0" applyFont="1" applyFill="1" applyBorder="1"/>
    <xf numFmtId="0" fontId="19" fillId="0" borderId="30" xfId="0" applyFont="1" applyBorder="1" applyAlignment="1">
      <alignment wrapText="1"/>
    </xf>
    <xf numFmtId="0" fontId="17" fillId="0" borderId="59" xfId="0" applyFont="1" applyBorder="1" applyAlignment="1">
      <alignment horizontal="center"/>
    </xf>
    <xf numFmtId="166" fontId="0" fillId="0" borderId="0" xfId="0" applyNumberFormat="1"/>
    <xf numFmtId="0" fontId="0" fillId="0" borderId="6" xfId="0" applyFont="1" applyBorder="1"/>
    <xf numFmtId="0" fontId="0" fillId="0" borderId="3" xfId="0" applyNumberFormat="1" applyBorder="1"/>
    <xf numFmtId="0" fontId="0" fillId="2" borderId="74" xfId="0" applyFill="1" applyBorder="1"/>
    <xf numFmtId="0" fontId="15" fillId="2" borderId="75" xfId="0" applyFont="1" applyFill="1" applyBorder="1"/>
    <xf numFmtId="0" fontId="0" fillId="0" borderId="50" xfId="0" applyBorder="1"/>
    <xf numFmtId="0" fontId="26" fillId="0" borderId="78" xfId="0" applyFont="1" applyBorder="1"/>
    <xf numFmtId="0" fontId="26" fillId="3" borderId="13" xfId="0" applyFont="1" applyFill="1" applyBorder="1"/>
    <xf numFmtId="0" fontId="26" fillId="0" borderId="13" xfId="0" applyFont="1" applyBorder="1" applyAlignment="1">
      <alignment wrapText="1"/>
    </xf>
    <xf numFmtId="166" fontId="20" fillId="3" borderId="13" xfId="0" applyNumberFormat="1" applyFont="1" applyFill="1" applyBorder="1" applyAlignment="1">
      <alignment wrapText="1"/>
    </xf>
    <xf numFmtId="0" fontId="26" fillId="0" borderId="13" xfId="0" applyNumberFormat="1" applyFont="1" applyBorder="1" applyAlignment="1">
      <alignment wrapText="1"/>
    </xf>
    <xf numFmtId="0" fontId="20" fillId="3" borderId="77" xfId="0" applyNumberFormat="1" applyFont="1" applyFill="1" applyBorder="1"/>
    <xf numFmtId="0" fontId="20" fillId="0" borderId="77" xfId="0" applyNumberFormat="1" applyFont="1" applyBorder="1"/>
    <xf numFmtId="0" fontId="11" fillId="2" borderId="53" xfId="0" applyFont="1" applyFill="1" applyBorder="1" applyAlignment="1">
      <alignment horizontal="center"/>
    </xf>
    <xf numFmtId="0" fontId="11" fillId="2" borderId="52" xfId="0" applyFont="1" applyFill="1" applyBorder="1" applyAlignment="1">
      <alignment horizontal="center"/>
    </xf>
    <xf numFmtId="0" fontId="11" fillId="2" borderId="52" xfId="0" applyFont="1" applyFill="1" applyBorder="1" applyAlignment="1"/>
    <xf numFmtId="0" fontId="11" fillId="2" borderId="51" xfId="0" applyFont="1" applyFill="1" applyBorder="1" applyAlignment="1"/>
    <xf numFmtId="166" fontId="20" fillId="0" borderId="82" xfId="0" applyNumberFormat="1" applyFont="1" applyBorder="1"/>
    <xf numFmtId="0" fontId="20" fillId="0" borderId="81" xfId="0" applyFont="1" applyBorder="1"/>
    <xf numFmtId="166" fontId="20" fillId="3" borderId="84" xfId="0" applyNumberFormat="1" applyFont="1" applyFill="1" applyBorder="1"/>
    <xf numFmtId="0" fontId="20" fillId="3" borderId="83" xfId="0" applyFont="1" applyFill="1" applyBorder="1"/>
    <xf numFmtId="0" fontId="20" fillId="0" borderId="84" xfId="0" applyNumberFormat="1" applyFont="1" applyBorder="1" applyAlignment="1">
      <alignment wrapText="1"/>
    </xf>
    <xf numFmtId="0" fontId="20" fillId="0" borderId="83" xfId="0" applyFont="1" applyBorder="1" applyAlignment="1">
      <alignment wrapText="1"/>
    </xf>
    <xf numFmtId="167" fontId="21" fillId="3" borderId="13" xfId="0" applyNumberFormat="1" applyFont="1" applyFill="1" applyBorder="1"/>
    <xf numFmtId="0" fontId="20" fillId="3" borderId="2" xfId="0" applyFont="1" applyFill="1" applyBorder="1" applyAlignment="1">
      <alignment wrapText="1"/>
    </xf>
    <xf numFmtId="166" fontId="33" fillId="3" borderId="13" xfId="0" applyNumberFormat="1" applyFont="1" applyFill="1" applyBorder="1"/>
    <xf numFmtId="0" fontId="20" fillId="3" borderId="13" xfId="0" applyFont="1" applyFill="1" applyBorder="1"/>
    <xf numFmtId="0" fontId="20" fillId="3" borderId="2" xfId="0" applyFont="1" applyFill="1" applyBorder="1" applyAlignment="1">
      <alignment horizontal="right"/>
    </xf>
    <xf numFmtId="0" fontId="27" fillId="0" borderId="2" xfId="0" applyFont="1" applyBorder="1" applyAlignment="1">
      <alignment wrapText="1"/>
    </xf>
    <xf numFmtId="0" fontId="20" fillId="3" borderId="3" xfId="0" applyFont="1" applyFill="1" applyBorder="1"/>
    <xf numFmtId="0" fontId="19" fillId="3" borderId="1" xfId="0" applyFont="1" applyFill="1" applyBorder="1"/>
    <xf numFmtId="0" fontId="20" fillId="0" borderId="2" xfId="0" applyFont="1" applyBorder="1" applyAlignment="1">
      <alignment horizontal="right"/>
    </xf>
    <xf numFmtId="166" fontId="21" fillId="3" borderId="13" xfId="0" applyNumberFormat="1" applyFont="1" applyFill="1" applyBorder="1"/>
    <xf numFmtId="0" fontId="21" fillId="0" borderId="3" xfId="0" applyFont="1" applyBorder="1"/>
    <xf numFmtId="0" fontId="20" fillId="0" borderId="2" xfId="0" applyFont="1" applyBorder="1" applyAlignment="1">
      <alignment wrapText="1"/>
    </xf>
    <xf numFmtId="165" fontId="0" fillId="0" borderId="2" xfId="0" applyNumberFormat="1" applyBorder="1"/>
    <xf numFmtId="164" fontId="0" fillId="0" borderId="2" xfId="0" applyNumberFormat="1" applyBorder="1"/>
    <xf numFmtId="0" fontId="20" fillId="3" borderId="2" xfId="0" applyFont="1" applyFill="1" applyBorder="1" applyAlignment="1">
      <alignment horizontal="left"/>
    </xf>
    <xf numFmtId="0" fontId="0" fillId="0" borderId="1" xfId="0" applyBorder="1"/>
    <xf numFmtId="0" fontId="27" fillId="0" borderId="85" xfId="0" applyFont="1" applyBorder="1"/>
    <xf numFmtId="0" fontId="26" fillId="3" borderId="77" xfId="0" applyFont="1" applyFill="1" applyBorder="1"/>
    <xf numFmtId="0" fontId="27" fillId="3" borderId="56" xfId="0" applyFont="1" applyFill="1" applyBorder="1" applyAlignment="1">
      <alignment horizontal="center"/>
    </xf>
    <xf numFmtId="0" fontId="19" fillId="0" borderId="2" xfId="0" applyFont="1" applyBorder="1" applyAlignment="1"/>
    <xf numFmtId="0" fontId="27" fillId="3" borderId="2" xfId="0" applyFont="1" applyFill="1" applyBorder="1"/>
    <xf numFmtId="0" fontId="20" fillId="3" borderId="13" xfId="0" applyNumberFormat="1" applyFont="1" applyFill="1" applyBorder="1"/>
    <xf numFmtId="0" fontId="20" fillId="3" borderId="16" xfId="0" applyNumberFormat="1" applyFont="1" applyFill="1" applyBorder="1"/>
    <xf numFmtId="0" fontId="36" fillId="3" borderId="7" xfId="0" applyFont="1" applyFill="1" applyBorder="1"/>
    <xf numFmtId="0" fontId="0" fillId="0" borderId="17" xfId="0" applyBorder="1"/>
    <xf numFmtId="0" fontId="0" fillId="0" borderId="31" xfId="0" applyNumberFormat="1" applyBorder="1"/>
    <xf numFmtId="0" fontId="20" fillId="0" borderId="58" xfId="0" applyFont="1" applyBorder="1"/>
    <xf numFmtId="0" fontId="27" fillId="0" borderId="76" xfId="0" applyFont="1" applyBorder="1"/>
    <xf numFmtId="0" fontId="20" fillId="0" borderId="6" xfId="0" applyFont="1" applyBorder="1"/>
    <xf numFmtId="0" fontId="0" fillId="0" borderId="58" xfId="0" applyBorder="1"/>
    <xf numFmtId="166" fontId="20" fillId="0" borderId="16" xfId="0" applyNumberFormat="1" applyFont="1" applyBorder="1"/>
    <xf numFmtId="0" fontId="27" fillId="3" borderId="80" xfId="0" applyFont="1" applyFill="1" applyBorder="1" applyAlignment="1">
      <alignment horizontal="center"/>
    </xf>
    <xf numFmtId="0" fontId="20" fillId="3" borderId="7" xfId="0" applyFont="1" applyFill="1" applyBorder="1"/>
    <xf numFmtId="0" fontId="27" fillId="3" borderId="7" xfId="0" applyFont="1" applyFill="1" applyBorder="1"/>
    <xf numFmtId="0" fontId="17" fillId="0" borderId="88" xfId="0" applyFont="1" applyBorder="1"/>
    <xf numFmtId="0" fontId="17" fillId="0" borderId="29" xfId="0" applyFont="1" applyBorder="1"/>
    <xf numFmtId="0" fontId="17" fillId="0" borderId="23" xfId="0" applyFont="1" applyBorder="1"/>
    <xf numFmtId="0" fontId="0" fillId="2" borderId="73" xfId="0" applyFill="1" applyBorder="1"/>
    <xf numFmtId="0" fontId="20" fillId="0" borderId="6" xfId="0" applyFont="1" applyBorder="1" applyAlignment="1">
      <alignment wrapText="1"/>
    </xf>
    <xf numFmtId="0" fontId="20" fillId="3" borderId="6" xfId="0" applyFont="1" applyFill="1" applyBorder="1" applyAlignment="1">
      <alignment wrapText="1"/>
    </xf>
    <xf numFmtId="0" fontId="17" fillId="0" borderId="25" xfId="0" applyFont="1" applyBorder="1"/>
    <xf numFmtId="2" fontId="12" fillId="0" borderId="2" xfId="0" applyNumberFormat="1" applyFont="1" applyBorder="1" applyAlignment="1">
      <alignment horizontal="center" wrapText="1"/>
    </xf>
    <xf numFmtId="0" fontId="19" fillId="0" borderId="84" xfId="0" applyNumberFormat="1" applyFont="1" applyBorder="1"/>
    <xf numFmtId="2" fontId="12" fillId="0" borderId="2" xfId="0" applyNumberFormat="1" applyFont="1" applyBorder="1" applyAlignment="1">
      <alignment horizontal="center" vertical="center" wrapText="1"/>
    </xf>
    <xf numFmtId="0" fontId="0" fillId="0" borderId="2" xfId="0" applyNumberFormat="1" applyBorder="1"/>
    <xf numFmtId="0" fontId="19" fillId="0" borderId="2" xfId="0" applyNumberFormat="1" applyFont="1" applyBorder="1"/>
    <xf numFmtId="0" fontId="19" fillId="0" borderId="2" xfId="0" applyNumberFormat="1" applyFont="1" applyBorder="1" applyAlignment="1"/>
    <xf numFmtId="0" fontId="21" fillId="0" borderId="2" xfId="0" applyNumberFormat="1" applyFont="1" applyBorder="1"/>
    <xf numFmtId="166" fontId="38" fillId="0" borderId="2" xfId="0" applyNumberFormat="1" applyFont="1" applyBorder="1"/>
    <xf numFmtId="0" fontId="22" fillId="0" borderId="14" xfId="1" applyFont="1" applyBorder="1" applyAlignment="1">
      <alignment vertical="center"/>
    </xf>
    <xf numFmtId="0" fontId="17" fillId="0" borderId="6" xfId="1" applyFont="1" applyBorder="1" applyAlignment="1">
      <alignment horizontal="center"/>
    </xf>
    <xf numFmtId="0" fontId="9" fillId="0" borderId="2" xfId="1" applyFont="1" applyBorder="1" applyAlignment="1">
      <alignment wrapText="1"/>
    </xf>
    <xf numFmtId="0" fontId="10" fillId="0" borderId="91" xfId="1" applyBorder="1"/>
    <xf numFmtId="0" fontId="25" fillId="0" borderId="90" xfId="1" applyFont="1" applyBorder="1" applyAlignment="1">
      <alignment horizontal="center" vertical="center"/>
    </xf>
    <xf numFmtId="0" fontId="9" fillId="0" borderId="34" xfId="1" applyFont="1" applyBorder="1"/>
    <xf numFmtId="0" fontId="25" fillId="0" borderId="89" xfId="1" applyFont="1" applyBorder="1" applyAlignment="1">
      <alignment horizontal="center"/>
    </xf>
    <xf numFmtId="166" fontId="33" fillId="3" borderId="61" xfId="1" applyNumberFormat="1" applyFont="1" applyFill="1" applyBorder="1"/>
    <xf numFmtId="9" fontId="25" fillId="0" borderId="89" xfId="1" applyNumberFormat="1" applyFont="1" applyBorder="1" applyAlignment="1">
      <alignment horizontal="center" vertical="center"/>
    </xf>
    <xf numFmtId="3" fontId="10" fillId="0" borderId="0" xfId="1" applyNumberFormat="1"/>
    <xf numFmtId="46" fontId="10" fillId="0" borderId="0" xfId="1" applyNumberFormat="1"/>
    <xf numFmtId="46" fontId="31" fillId="0" borderId="0" xfId="1" applyNumberFormat="1" applyFont="1"/>
    <xf numFmtId="0" fontId="10" fillId="0" borderId="54" xfId="1" applyNumberFormat="1" applyBorder="1"/>
    <xf numFmtId="0" fontId="19" fillId="0" borderId="0" xfId="1" applyFont="1" applyBorder="1" applyAlignment="1">
      <alignment horizontal="center"/>
    </xf>
    <xf numFmtId="166" fontId="17" fillId="0" borderId="92" xfId="0" applyNumberFormat="1" applyFont="1" applyBorder="1"/>
    <xf numFmtId="0" fontId="17" fillId="7" borderId="92" xfId="0" applyFont="1" applyFill="1" applyBorder="1"/>
    <xf numFmtId="0" fontId="17" fillId="7" borderId="92" xfId="0" applyFont="1" applyFill="1" applyBorder="1" applyAlignment="1">
      <alignment horizontal="center"/>
    </xf>
    <xf numFmtId="0" fontId="21" fillId="0" borderId="2" xfId="0" applyFont="1" applyBorder="1"/>
    <xf numFmtId="166" fontId="34" fillId="0" borderId="2" xfId="0" applyNumberFormat="1" applyFont="1" applyBorder="1"/>
    <xf numFmtId="0" fontId="0" fillId="0" borderId="17" xfId="0" applyNumberFormat="1" applyBorder="1"/>
    <xf numFmtId="0" fontId="17" fillId="0" borderId="58" xfId="0" applyNumberFormat="1" applyFont="1" applyBorder="1"/>
    <xf numFmtId="0" fontId="9" fillId="0" borderId="0" xfId="1" applyFont="1"/>
    <xf numFmtId="2" fontId="12" fillId="0" borderId="1" xfId="0" applyNumberFormat="1" applyFont="1" applyBorder="1" applyAlignment="1">
      <alignment horizontal="center" vertical="center"/>
    </xf>
    <xf numFmtId="2" fontId="12" fillId="0" borderId="2" xfId="0" applyNumberFormat="1" applyFont="1" applyBorder="1" applyAlignment="1">
      <alignment horizontal="center" vertical="center"/>
    </xf>
    <xf numFmtId="0" fontId="30" fillId="0" borderId="1" xfId="1" applyFont="1" applyBorder="1" applyAlignment="1">
      <alignment horizontal="center" vertical="center"/>
    </xf>
    <xf numFmtId="46" fontId="34" fillId="0" borderId="3" xfId="0" applyNumberFormat="1" applyFont="1" applyBorder="1"/>
    <xf numFmtId="0" fontId="19" fillId="0" borderId="2" xfId="0" applyFont="1" applyBorder="1" applyAlignment="1">
      <alignment horizontal="center" vertical="center" wrapText="1"/>
    </xf>
    <xf numFmtId="166" fontId="19" fillId="0" borderId="2" xfId="0" applyNumberFormat="1" applyFont="1" applyBorder="1" applyAlignment="1">
      <alignment horizontal="center" vertical="center" wrapText="1"/>
    </xf>
    <xf numFmtId="0" fontId="0" fillId="0" borderId="0" xfId="0" applyBorder="1" applyAlignment="1">
      <alignment wrapText="1"/>
    </xf>
    <xf numFmtId="0" fontId="12" fillId="0" borderId="2" xfId="0" applyNumberFormat="1" applyFont="1" applyBorder="1" applyAlignment="1">
      <alignment vertical="center" wrapText="1"/>
    </xf>
    <xf numFmtId="0" fontId="12" fillId="0" borderId="2" xfId="0" applyFont="1" applyBorder="1" applyAlignment="1">
      <alignment horizontal="center"/>
    </xf>
    <xf numFmtId="0" fontId="42" fillId="0" borderId="96" xfId="1" applyFont="1" applyBorder="1" applyAlignment="1">
      <alignment horizontal="center"/>
    </xf>
    <xf numFmtId="2" fontId="42" fillId="0" borderId="96" xfId="1" applyNumberFormat="1" applyFont="1" applyBorder="1" applyAlignment="1">
      <alignment horizontal="center" vertical="center"/>
    </xf>
    <xf numFmtId="0" fontId="42" fillId="0" borderId="96" xfId="1" applyFont="1" applyBorder="1"/>
    <xf numFmtId="0" fontId="42" fillId="0" borderId="96" xfId="1" applyFont="1" applyBorder="1" applyAlignment="1"/>
    <xf numFmtId="0" fontId="42" fillId="0" borderId="96" xfId="1" applyFont="1" applyBorder="1" applyAlignment="1">
      <alignment horizontal="center" vertical="center" wrapText="1"/>
    </xf>
    <xf numFmtId="0" fontId="43" fillId="0" borderId="96" xfId="1" applyFont="1" applyBorder="1" applyAlignment="1">
      <alignment horizontal="center" vertical="center"/>
    </xf>
    <xf numFmtId="0" fontId="43" fillId="0" borderId="96" xfId="1" applyFont="1" applyBorder="1" applyAlignment="1">
      <alignment horizontal="center" vertical="center" wrapText="1"/>
    </xf>
    <xf numFmtId="46" fontId="0" fillId="0" borderId="3" xfId="0" applyNumberFormat="1" applyBorder="1"/>
    <xf numFmtId="0" fontId="42" fillId="0" borderId="96" xfId="1" applyFont="1" applyBorder="1" applyAlignment="1">
      <alignment horizontal="center" wrapText="1"/>
    </xf>
    <xf numFmtId="166" fontId="0" fillId="0" borderId="34" xfId="0" applyNumberFormat="1" applyBorder="1"/>
    <xf numFmtId="0" fontId="0" fillId="0" borderId="40" xfId="0" applyBorder="1" applyAlignment="1">
      <alignment wrapText="1"/>
    </xf>
    <xf numFmtId="0" fontId="47" fillId="0" borderId="2" xfId="1" applyFont="1" applyBorder="1" applyAlignment="1">
      <alignment horizontal="center"/>
    </xf>
    <xf numFmtId="0" fontId="44" fillId="0" borderId="2" xfId="1" applyFont="1" applyBorder="1" applyAlignment="1">
      <alignment horizontal="center" vertical="center"/>
    </xf>
    <xf numFmtId="2" fontId="44" fillId="0" borderId="2" xfId="1" applyNumberFormat="1" applyFont="1" applyBorder="1" applyAlignment="1">
      <alignment horizontal="center" vertical="center"/>
    </xf>
    <xf numFmtId="0" fontId="44" fillId="0" borderId="2" xfId="1" applyFont="1" applyBorder="1" applyAlignment="1">
      <alignment horizontal="center" vertical="center" wrapText="1"/>
    </xf>
    <xf numFmtId="0" fontId="45" fillId="0" borderId="2" xfId="1" applyFont="1" applyBorder="1" applyAlignment="1">
      <alignment horizontal="center" wrapText="1"/>
    </xf>
    <xf numFmtId="0" fontId="44" fillId="0" borderId="2" xfId="1" applyFont="1" applyBorder="1"/>
    <xf numFmtId="49" fontId="44" fillId="0" borderId="2" xfId="1" applyNumberFormat="1" applyFont="1" applyBorder="1" applyAlignment="1">
      <alignment horizontal="center" vertical="center"/>
    </xf>
    <xf numFmtId="166" fontId="45" fillId="0" borderId="2" xfId="1" applyNumberFormat="1" applyFont="1" applyBorder="1" applyAlignment="1">
      <alignment horizontal="center"/>
    </xf>
    <xf numFmtId="0" fontId="44" fillId="0" borderId="2" xfId="1" applyFont="1" applyBorder="1" applyAlignment="1">
      <alignment horizontal="center"/>
    </xf>
    <xf numFmtId="44" fontId="44" fillId="0" borderId="2" xfId="2" applyFont="1" applyFill="1" applyBorder="1" applyAlignment="1">
      <alignment horizontal="center" vertical="center"/>
    </xf>
    <xf numFmtId="44" fontId="44" fillId="0" borderId="2" xfId="2" applyFont="1" applyBorder="1" applyAlignment="1">
      <alignment horizontal="center" vertical="center"/>
    </xf>
    <xf numFmtId="0" fontId="0" fillId="0" borderId="13" xfId="0" applyBorder="1" applyAlignment="1">
      <alignment wrapText="1"/>
    </xf>
    <xf numFmtId="0" fontId="0" fillId="0" borderId="2" xfId="0" applyBorder="1" applyAlignment="1">
      <alignment horizontal="center" vertical="center"/>
    </xf>
    <xf numFmtId="2" fontId="12" fillId="0" borderId="4" xfId="0" applyNumberFormat="1" applyFont="1" applyBorder="1" applyAlignment="1">
      <alignment vertical="center" wrapText="1"/>
    </xf>
    <xf numFmtId="0" fontId="20" fillId="0" borderId="13" xfId="0" applyFont="1" applyBorder="1" applyAlignment="1">
      <alignment wrapText="1"/>
    </xf>
    <xf numFmtId="44" fontId="0" fillId="0" borderId="7" xfId="3" applyFont="1" applyFill="1" applyBorder="1" applyAlignment="1">
      <alignment horizontal="center" vertical="center"/>
    </xf>
    <xf numFmtId="44" fontId="0" fillId="0" borderId="0" xfId="0" applyNumberFormat="1"/>
    <xf numFmtId="44" fontId="12" fillId="0" borderId="3" xfId="3" applyFont="1" applyBorder="1" applyAlignment="1">
      <alignment horizontal="center"/>
    </xf>
    <xf numFmtId="44" fontId="0" fillId="0" borderId="2" xfId="3" applyFont="1" applyFill="1" applyBorder="1" applyAlignment="1">
      <alignment horizontal="center" vertical="center"/>
    </xf>
    <xf numFmtId="46" fontId="0" fillId="0" borderId="0" xfId="0" applyNumberFormat="1"/>
    <xf numFmtId="0" fontId="8" fillId="0" borderId="34" xfId="1" applyFont="1" applyBorder="1"/>
    <xf numFmtId="0" fontId="0" fillId="0" borderId="5" xfId="0" applyFont="1" applyFill="1" applyBorder="1" applyAlignment="1">
      <alignment horizontal="center" vertical="center"/>
    </xf>
    <xf numFmtId="44" fontId="0" fillId="0" borderId="4" xfId="3" applyFont="1" applyFill="1" applyBorder="1" applyAlignment="1">
      <alignment horizontal="center" vertical="center"/>
    </xf>
    <xf numFmtId="0" fontId="0" fillId="0" borderId="61" xfId="0" applyFill="1" applyBorder="1" applyAlignment="1">
      <alignment horizontal="center" vertical="center"/>
    </xf>
    <xf numFmtId="0" fontId="12" fillId="0" borderId="2" xfId="3" applyNumberFormat="1" applyFont="1" applyBorder="1" applyAlignment="1">
      <alignment horizontal="center"/>
    </xf>
    <xf numFmtId="0" fontId="0" fillId="0" borderId="4" xfId="3" applyNumberFormat="1" applyFont="1" applyFill="1" applyBorder="1" applyAlignment="1">
      <alignment horizontal="center" vertical="center"/>
    </xf>
    <xf numFmtId="0" fontId="48" fillId="0" borderId="96" xfId="1" applyFont="1" applyBorder="1" applyAlignment="1">
      <alignment horizontal="center" vertical="center"/>
    </xf>
    <xf numFmtId="2" fontId="49" fillId="0" borderId="96" xfId="1" applyNumberFormat="1" applyFont="1" applyBorder="1" applyAlignment="1">
      <alignment horizontal="center" vertical="center"/>
    </xf>
    <xf numFmtId="2" fontId="49" fillId="0" borderId="96" xfId="1" applyNumberFormat="1" applyFont="1" applyBorder="1" applyAlignment="1">
      <alignment horizontal="center"/>
    </xf>
    <xf numFmtId="0" fontId="20" fillId="0" borderId="96" xfId="1" applyFont="1" applyBorder="1"/>
    <xf numFmtId="0" fontId="20" fillId="0" borderId="96" xfId="1" applyFont="1" applyBorder="1" applyAlignment="1">
      <alignment horizontal="center" vertical="center"/>
    </xf>
    <xf numFmtId="0" fontId="20" fillId="0" borderId="96" xfId="1" applyFont="1" applyBorder="1" applyAlignment="1">
      <alignment horizontal="center"/>
    </xf>
    <xf numFmtId="49" fontId="49" fillId="0" borderId="96" xfId="1" applyNumberFormat="1" applyFont="1" applyBorder="1" applyAlignment="1">
      <alignment horizontal="center"/>
    </xf>
    <xf numFmtId="0" fontId="49" fillId="0" borderId="96" xfId="1" applyFont="1" applyBorder="1" applyAlignment="1">
      <alignment horizontal="center"/>
    </xf>
    <xf numFmtId="44" fontId="50" fillId="0" borderId="96" xfId="2" applyFont="1" applyFill="1" applyBorder="1" applyAlignment="1">
      <alignment vertical="center"/>
    </xf>
    <xf numFmtId="2" fontId="49" fillId="0" borderId="99" xfId="1" applyNumberFormat="1" applyFont="1" applyBorder="1" applyAlignment="1">
      <alignment horizontal="center" vertical="center"/>
    </xf>
    <xf numFmtId="44" fontId="20" fillId="0" borderId="96" xfId="1" applyNumberFormat="1" applyFont="1" applyBorder="1" applyAlignment="1">
      <alignment horizontal="center"/>
    </xf>
    <xf numFmtId="0" fontId="17" fillId="0" borderId="89" xfId="0" applyFont="1" applyBorder="1"/>
    <xf numFmtId="0" fontId="0" fillId="0" borderId="30" xfId="0" applyBorder="1"/>
    <xf numFmtId="0" fontId="0" fillId="0" borderId="18" xfId="0" applyBorder="1"/>
    <xf numFmtId="0" fontId="0" fillId="0" borderId="5" xfId="0" applyBorder="1"/>
    <xf numFmtId="0" fontId="0" fillId="0" borderId="61" xfId="0" applyBorder="1"/>
    <xf numFmtId="0" fontId="19" fillId="0" borderId="1" xfId="0" applyFont="1" applyBorder="1" applyAlignment="1">
      <alignment wrapText="1"/>
    </xf>
    <xf numFmtId="0" fontId="0" fillId="0" borderId="24" xfId="0" applyBorder="1"/>
    <xf numFmtId="46" fontId="34" fillId="0" borderId="15" xfId="0" applyNumberFormat="1" applyFont="1" applyBorder="1"/>
    <xf numFmtId="0" fontId="20" fillId="3" borderId="13" xfId="0" applyFont="1" applyFill="1" applyBorder="1" applyAlignment="1">
      <alignment wrapText="1"/>
    </xf>
    <xf numFmtId="0" fontId="0" fillId="0" borderId="1" xfId="0" applyFont="1" applyFill="1" applyBorder="1" applyAlignment="1">
      <alignment horizontal="center" vertical="center"/>
    </xf>
    <xf numFmtId="0" fontId="0" fillId="0" borderId="2" xfId="0" applyFill="1" applyBorder="1" applyAlignment="1">
      <alignment horizontal="center" vertical="center"/>
    </xf>
    <xf numFmtId="0" fontId="27" fillId="0" borderId="76" xfId="0" applyFont="1" applyBorder="1" applyAlignment="1">
      <alignment wrapText="1"/>
    </xf>
    <xf numFmtId="0" fontId="20" fillId="0" borderId="58" xfId="0" applyFont="1" applyBorder="1" applyAlignment="1">
      <alignment wrapText="1"/>
    </xf>
    <xf numFmtId="0" fontId="36" fillId="3" borderId="7" xfId="0" applyFont="1" applyFill="1" applyBorder="1" applyAlignment="1">
      <alignment wrapText="1"/>
    </xf>
    <xf numFmtId="0" fontId="20" fillId="3" borderId="16" xfId="0" applyNumberFormat="1" applyFont="1" applyFill="1" applyBorder="1" applyAlignment="1">
      <alignment wrapText="1"/>
    </xf>
    <xf numFmtId="0" fontId="20" fillId="3" borderId="77" xfId="0" applyNumberFormat="1" applyFont="1" applyFill="1" applyBorder="1" applyAlignment="1">
      <alignment wrapText="1"/>
    </xf>
    <xf numFmtId="0" fontId="20" fillId="0" borderId="77" xfId="0" applyNumberFormat="1" applyFont="1" applyBorder="1" applyAlignment="1">
      <alignment wrapText="1"/>
    </xf>
    <xf numFmtId="0" fontId="20" fillId="3" borderId="4" xfId="0" applyFont="1" applyFill="1" applyBorder="1" applyAlignment="1">
      <alignment wrapText="1"/>
    </xf>
    <xf numFmtId="0" fontId="20" fillId="3" borderId="61" xfId="0" applyNumberFormat="1" applyFont="1" applyFill="1" applyBorder="1" applyAlignment="1">
      <alignment wrapText="1"/>
    </xf>
    <xf numFmtId="0" fontId="27" fillId="3" borderId="59" xfId="0" applyFont="1" applyFill="1" applyBorder="1" applyAlignment="1">
      <alignment wrapText="1"/>
    </xf>
    <xf numFmtId="0" fontId="26" fillId="3" borderId="58" xfId="0" applyFont="1" applyFill="1" applyBorder="1" applyAlignment="1">
      <alignment wrapText="1"/>
    </xf>
    <xf numFmtId="0" fontId="20" fillId="3" borderId="17" xfId="0" applyFont="1" applyFill="1" applyBorder="1" applyAlignment="1">
      <alignment wrapText="1"/>
    </xf>
    <xf numFmtId="0" fontId="20" fillId="3" borderId="18" xfId="0" applyFont="1" applyFill="1" applyBorder="1" applyAlignment="1">
      <alignment wrapText="1"/>
    </xf>
    <xf numFmtId="0" fontId="27" fillId="3" borderId="56" xfId="0" applyFont="1" applyFill="1" applyBorder="1" applyAlignment="1">
      <alignment horizontal="center" wrapText="1"/>
    </xf>
    <xf numFmtId="0" fontId="26" fillId="3" borderId="77" xfId="0" applyFont="1" applyFill="1" applyBorder="1" applyAlignment="1">
      <alignment wrapText="1"/>
    </xf>
    <xf numFmtId="0" fontId="27" fillId="0" borderId="79" xfId="0" applyFont="1" applyBorder="1" applyAlignment="1">
      <alignment wrapText="1"/>
    </xf>
    <xf numFmtId="0" fontId="26" fillId="0" borderId="78" xfId="0" applyFont="1" applyBorder="1" applyAlignment="1">
      <alignment wrapText="1"/>
    </xf>
    <xf numFmtId="0" fontId="20" fillId="3" borderId="6" xfId="0" applyFont="1" applyFill="1" applyBorder="1" applyAlignment="1">
      <alignment horizontal="left" wrapText="1"/>
    </xf>
    <xf numFmtId="0" fontId="26" fillId="3" borderId="13" xfId="0" applyFont="1" applyFill="1" applyBorder="1" applyAlignment="1">
      <alignment wrapText="1"/>
    </xf>
    <xf numFmtId="166" fontId="33" fillId="3" borderId="13" xfId="0" applyNumberFormat="1" applyFont="1" applyFill="1" applyBorder="1" applyAlignment="1">
      <alignment wrapText="1"/>
    </xf>
    <xf numFmtId="0" fontId="0" fillId="0" borderId="50" xfId="0" applyBorder="1" applyAlignment="1">
      <alignment wrapText="1"/>
    </xf>
    <xf numFmtId="166" fontId="33" fillId="0" borderId="2" xfId="0" applyNumberFormat="1" applyFont="1" applyBorder="1" applyAlignment="1">
      <alignment wrapText="1"/>
    </xf>
    <xf numFmtId="0" fontId="0" fillId="0" borderId="34" xfId="0" applyBorder="1" applyAlignment="1">
      <alignment wrapText="1"/>
    </xf>
    <xf numFmtId="0" fontId="20" fillId="3" borderId="2" xfId="0" applyFont="1" applyFill="1" applyBorder="1" applyAlignment="1">
      <alignment horizontal="right" wrapText="1"/>
    </xf>
    <xf numFmtId="167" fontId="21" fillId="3" borderId="13" xfId="0" applyNumberFormat="1" applyFont="1" applyFill="1" applyBorder="1" applyAlignment="1">
      <alignment wrapText="1"/>
    </xf>
    <xf numFmtId="0" fontId="19" fillId="0" borderId="6" xfId="0" applyFont="1" applyBorder="1" applyAlignment="1">
      <alignment horizontal="center" vertical="center" wrapText="1"/>
    </xf>
    <xf numFmtId="0" fontId="17" fillId="6" borderId="17" xfId="0" applyFont="1" applyFill="1" applyBorder="1" applyAlignment="1">
      <alignment horizontal="center" vertical="center" wrapText="1"/>
    </xf>
    <xf numFmtId="0" fontId="17" fillId="0" borderId="2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 xfId="0" applyFont="1" applyFill="1" applyBorder="1" applyAlignment="1">
      <alignment horizontal="center" vertical="center" wrapText="1"/>
    </xf>
    <xf numFmtId="0" fontId="19" fillId="0" borderId="24"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3" xfId="0" applyNumberFormat="1" applyFont="1" applyBorder="1" applyAlignment="1">
      <alignment horizontal="center" vertical="center" wrapText="1"/>
    </xf>
    <xf numFmtId="0" fontId="19" fillId="0" borderId="15" xfId="0" applyNumberFormat="1" applyFont="1" applyBorder="1" applyAlignment="1">
      <alignment horizontal="center" vertical="center" wrapText="1"/>
    </xf>
    <xf numFmtId="166" fontId="19" fillId="0" borderId="13" xfId="0" applyNumberFormat="1" applyFont="1" applyBorder="1" applyAlignment="1">
      <alignment horizontal="center" vertical="center" wrapText="1"/>
    </xf>
    <xf numFmtId="164" fontId="19" fillId="0" borderId="3" xfId="0" applyNumberFormat="1" applyFont="1" applyBorder="1" applyAlignment="1">
      <alignment horizontal="center" vertical="center" wrapText="1"/>
    </xf>
    <xf numFmtId="0" fontId="17" fillId="6" borderId="31" xfId="0" applyFont="1" applyFill="1" applyBorder="1" applyAlignment="1">
      <alignment horizontal="center" vertical="center" wrapText="1"/>
    </xf>
    <xf numFmtId="166" fontId="19" fillId="0" borderId="16" xfId="0" applyNumberFormat="1" applyFont="1" applyBorder="1" applyAlignment="1">
      <alignment horizontal="center" vertical="center" wrapText="1"/>
    </xf>
    <xf numFmtId="166" fontId="19" fillId="0" borderId="3" xfId="0" applyNumberFormat="1" applyFont="1" applyBorder="1" applyAlignment="1">
      <alignment horizontal="center" vertical="center" wrapText="1"/>
    </xf>
    <xf numFmtId="0" fontId="19" fillId="0" borderId="29" xfId="0" applyFont="1" applyBorder="1" applyAlignment="1">
      <alignment horizontal="center" vertical="center" wrapText="1"/>
    </xf>
    <xf numFmtId="0" fontId="19" fillId="0" borderId="55" xfId="0" applyFont="1" applyBorder="1" applyAlignment="1">
      <alignment horizontal="center" vertical="center" wrapText="1"/>
    </xf>
    <xf numFmtId="166" fontId="19" fillId="0" borderId="93" xfId="0" applyNumberFormat="1" applyFont="1" applyBorder="1" applyAlignment="1">
      <alignment horizontal="center" vertical="center" wrapText="1"/>
    </xf>
    <xf numFmtId="21" fontId="19" fillId="0" borderId="13" xfId="0" applyNumberFormat="1" applyFont="1" applyBorder="1" applyAlignment="1">
      <alignment horizontal="center" vertical="center" wrapText="1"/>
    </xf>
    <xf numFmtId="167" fontId="19" fillId="0" borderId="15" xfId="0" applyNumberFormat="1" applyFont="1" applyBorder="1" applyAlignment="1">
      <alignment horizontal="center" vertical="center" wrapText="1"/>
    </xf>
    <xf numFmtId="0" fontId="19" fillId="0" borderId="30" xfId="0" applyFont="1" applyBorder="1" applyAlignment="1">
      <alignment horizontal="center" vertical="center" wrapText="1"/>
    </xf>
    <xf numFmtId="0" fontId="19" fillId="0" borderId="18" xfId="0" applyFont="1" applyBorder="1" applyAlignment="1">
      <alignment horizontal="center" vertical="center" wrapText="1"/>
    </xf>
    <xf numFmtId="0" fontId="17" fillId="0" borderId="59" xfId="0" applyFont="1" applyBorder="1" applyAlignment="1">
      <alignment horizontal="center" vertical="center" wrapText="1"/>
    </xf>
    <xf numFmtId="0" fontId="19" fillId="0" borderId="58" xfId="0" applyFont="1" applyBorder="1" applyAlignment="1">
      <alignment horizontal="center" vertical="center" wrapText="1"/>
    </xf>
    <xf numFmtId="0" fontId="17" fillId="0" borderId="5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1" xfId="0" applyFont="1" applyBorder="1" applyAlignment="1">
      <alignment horizontal="center" vertical="center" wrapText="1"/>
    </xf>
    <xf numFmtId="0" fontId="21" fillId="0" borderId="61" xfId="0" applyFont="1" applyBorder="1" applyAlignment="1">
      <alignment horizontal="center" vertical="center" wrapText="1"/>
    </xf>
    <xf numFmtId="166" fontId="34" fillId="0" borderId="15" xfId="0" applyNumberFormat="1" applyFont="1" applyBorder="1" applyAlignment="1">
      <alignment horizontal="center" vertical="center" wrapText="1"/>
    </xf>
    <xf numFmtId="166" fontId="34" fillId="0" borderId="33" xfId="0" applyNumberFormat="1" applyFont="1" applyBorder="1" applyAlignment="1">
      <alignment horizontal="center" vertical="center" wrapText="1"/>
    </xf>
    <xf numFmtId="0" fontId="17" fillId="0" borderId="30" xfId="0" applyFont="1" applyBorder="1" applyAlignment="1">
      <alignment horizontal="center" vertical="center" wrapText="1"/>
    </xf>
    <xf numFmtId="46" fontId="34" fillId="0" borderId="15" xfId="0" applyNumberFormat="1" applyFont="1" applyBorder="1" applyAlignment="1">
      <alignment horizontal="center" vertical="center" wrapText="1"/>
    </xf>
    <xf numFmtId="166" fontId="33" fillId="0" borderId="15" xfId="0" applyNumberFormat="1" applyFont="1" applyBorder="1" applyAlignment="1">
      <alignment horizontal="center" vertical="center" wrapText="1"/>
    </xf>
    <xf numFmtId="0" fontId="0" fillId="0" borderId="2" xfId="0" applyFont="1" applyFill="1" applyBorder="1" applyAlignment="1">
      <alignment horizontal="center" vertical="center"/>
    </xf>
    <xf numFmtId="44" fontId="44" fillId="0" borderId="2" xfId="3" applyFont="1" applyBorder="1" applyAlignment="1">
      <alignment horizontal="center"/>
    </xf>
    <xf numFmtId="0" fontId="11" fillId="2" borderId="43" xfId="0" applyFont="1" applyFill="1" applyBorder="1" applyAlignment="1"/>
    <xf numFmtId="0" fontId="11" fillId="2" borderId="20" xfId="0" applyFont="1" applyFill="1" applyBorder="1" applyAlignment="1"/>
    <xf numFmtId="0" fontId="12" fillId="0" borderId="2" xfId="0" applyFont="1" applyBorder="1" applyAlignment="1">
      <alignment horizontal="center"/>
    </xf>
    <xf numFmtId="0" fontId="44" fillId="0" borderId="2" xfId="1" applyFont="1" applyBorder="1" applyAlignment="1">
      <alignment horizontal="center" vertical="center" wrapText="1"/>
    </xf>
    <xf numFmtId="0" fontId="44" fillId="0" borderId="2" xfId="1" applyFont="1" applyBorder="1" applyAlignment="1">
      <alignment horizontal="center"/>
    </xf>
    <xf numFmtId="0" fontId="44" fillId="0" borderId="2" xfId="1" applyFont="1" applyBorder="1" applyAlignment="1">
      <alignment horizontal="center" vertical="center"/>
    </xf>
    <xf numFmtId="0" fontId="12" fillId="0" borderId="17" xfId="0" applyFont="1" applyBorder="1" applyAlignment="1">
      <alignment horizontal="center" wrapText="1"/>
    </xf>
    <xf numFmtId="0" fontId="12" fillId="0" borderId="18" xfId="0" applyFont="1" applyBorder="1" applyAlignment="1">
      <alignment horizontal="center" wrapText="1"/>
    </xf>
    <xf numFmtId="0" fontId="0" fillId="0" borderId="0" xfId="0" applyAlignment="1">
      <alignment wrapText="1"/>
    </xf>
    <xf numFmtId="2" fontId="13" fillId="0" borderId="14" xfId="0" applyNumberFormat="1" applyFont="1" applyBorder="1" applyAlignment="1">
      <alignment vertical="center" wrapText="1"/>
    </xf>
    <xf numFmtId="0" fontId="22" fillId="0" borderId="14" xfId="0" applyFont="1" applyBorder="1" applyAlignment="1">
      <alignment vertical="center" wrapText="1"/>
    </xf>
    <xf numFmtId="0" fontId="13" fillId="0" borderId="15" xfId="0" applyFont="1" applyBorder="1" applyAlignment="1">
      <alignment vertical="center" wrapText="1"/>
    </xf>
    <xf numFmtId="0" fontId="12" fillId="0" borderId="30"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6" xfId="0" applyFont="1" applyBorder="1" applyAlignment="1">
      <alignment horizontal="center" vertical="center" wrapText="1"/>
    </xf>
    <xf numFmtId="2" fontId="12" fillId="0" borderId="14" xfId="0" applyNumberFormat="1" applyFont="1" applyBorder="1" applyAlignment="1">
      <alignment horizontal="center" vertical="center" wrapText="1"/>
    </xf>
    <xf numFmtId="0" fontId="12" fillId="0" borderId="14" xfId="0" applyFont="1" applyBorder="1" applyAlignment="1">
      <alignment horizontal="center" vertical="center" wrapText="1"/>
    </xf>
    <xf numFmtId="2" fontId="12" fillId="0" borderId="33" xfId="0" applyNumberFormat="1" applyFont="1" applyBorder="1" applyAlignment="1">
      <alignment horizontal="center" vertical="center" wrapText="1"/>
    </xf>
    <xf numFmtId="0" fontId="12" fillId="0" borderId="2" xfId="1" applyFont="1" applyBorder="1" applyAlignment="1">
      <alignment horizontal="center"/>
    </xf>
    <xf numFmtId="0" fontId="44" fillId="0" borderId="2" xfId="1" applyFont="1" applyBorder="1" applyAlignment="1">
      <alignment horizontal="center" vertical="center" wrapText="1"/>
    </xf>
    <xf numFmtId="0" fontId="44" fillId="0" borderId="2" xfId="1" applyFont="1" applyBorder="1" applyAlignment="1">
      <alignment horizontal="center"/>
    </xf>
    <xf numFmtId="0" fontId="44" fillId="0" borderId="2" xfId="1" applyFont="1" applyBorder="1" applyAlignment="1">
      <alignment horizontal="center" vertical="center"/>
    </xf>
    <xf numFmtId="0" fontId="19" fillId="0" borderId="36" xfId="0" applyFont="1" applyBorder="1"/>
    <xf numFmtId="0" fontId="41" fillId="0" borderId="17" xfId="0" applyFont="1" applyBorder="1"/>
    <xf numFmtId="0" fontId="27" fillId="0" borderId="83" xfId="0" applyFont="1" applyBorder="1" applyAlignment="1">
      <alignment wrapText="1"/>
    </xf>
    <xf numFmtId="0" fontId="20" fillId="0" borderId="84" xfId="0" applyFont="1" applyBorder="1"/>
    <xf numFmtId="0" fontId="20" fillId="3" borderId="84" xfId="0" applyFont="1" applyFill="1" applyBorder="1"/>
    <xf numFmtId="166" fontId="33" fillId="3" borderId="84" xfId="0" applyNumberFormat="1" applyFont="1" applyFill="1" applyBorder="1"/>
    <xf numFmtId="0" fontId="20" fillId="3" borderId="83" xfId="0" applyFont="1" applyFill="1" applyBorder="1" applyAlignment="1">
      <alignment wrapText="1"/>
    </xf>
    <xf numFmtId="167" fontId="21" fillId="3" borderId="84" xfId="0" applyNumberFormat="1" applyFont="1" applyFill="1" applyBorder="1"/>
    <xf numFmtId="166" fontId="34" fillId="0" borderId="22" xfId="0" applyNumberFormat="1" applyFont="1" applyBorder="1"/>
    <xf numFmtId="0" fontId="20" fillId="0" borderId="3" xfId="0" applyFont="1" applyBorder="1"/>
    <xf numFmtId="0" fontId="0" fillId="0" borderId="6" xfId="1" applyFont="1" applyBorder="1"/>
    <xf numFmtId="0" fontId="19" fillId="3" borderId="6" xfId="1" applyFont="1" applyFill="1" applyBorder="1" applyAlignment="1">
      <alignment wrapText="1"/>
    </xf>
    <xf numFmtId="0" fontId="10" fillId="0" borderId="38" xfId="1" applyBorder="1"/>
    <xf numFmtId="46" fontId="31" fillId="0" borderId="16" xfId="1" applyNumberFormat="1" applyFont="1" applyBorder="1"/>
    <xf numFmtId="0" fontId="23" fillId="3" borderId="1" xfId="1" applyFont="1" applyFill="1" applyBorder="1"/>
    <xf numFmtId="0" fontId="10" fillId="3" borderId="13" xfId="1" applyNumberFormat="1" applyFont="1" applyFill="1" applyBorder="1"/>
    <xf numFmtId="46" fontId="31" fillId="0" borderId="13" xfId="1" applyNumberFormat="1" applyFont="1" applyBorder="1"/>
    <xf numFmtId="0" fontId="17" fillId="3" borderId="24" xfId="1" applyFont="1" applyFill="1" applyBorder="1"/>
    <xf numFmtId="46" fontId="10" fillId="3" borderId="15" xfId="1" applyNumberFormat="1" applyFont="1" applyFill="1" applyBorder="1"/>
    <xf numFmtId="0" fontId="0" fillId="0" borderId="30" xfId="1" applyFont="1" applyBorder="1"/>
    <xf numFmtId="0" fontId="0" fillId="0" borderId="5" xfId="1" applyFont="1" applyBorder="1"/>
    <xf numFmtId="0" fontId="0" fillId="0" borderId="1" xfId="1" applyFont="1" applyBorder="1"/>
    <xf numFmtId="0" fontId="0" fillId="0" borderId="24" xfId="1" applyFont="1" applyBorder="1"/>
    <xf numFmtId="0" fontId="10" fillId="0" borderId="3" xfId="1" applyBorder="1"/>
    <xf numFmtId="0" fontId="0" fillId="0" borderId="49" xfId="1" applyFont="1" applyBorder="1"/>
    <xf numFmtId="0" fontId="10" fillId="0" borderId="22" xfId="1" applyBorder="1"/>
    <xf numFmtId="0" fontId="24" fillId="0" borderId="22" xfId="1" applyFont="1" applyBorder="1"/>
    <xf numFmtId="0" fontId="19" fillId="0" borderId="48" xfId="1" applyFont="1" applyBorder="1"/>
    <xf numFmtId="0" fontId="10" fillId="0" borderId="58" xfId="1" applyBorder="1"/>
    <xf numFmtId="0" fontId="19" fillId="0" borderId="35" xfId="1" applyFont="1" applyBorder="1"/>
    <xf numFmtId="0" fontId="19" fillId="0" borderId="36" xfId="1" applyFont="1" applyBorder="1"/>
    <xf numFmtId="0" fontId="17" fillId="0" borderId="17" xfId="1" applyFont="1" applyBorder="1"/>
    <xf numFmtId="0" fontId="17" fillId="0" borderId="27" xfId="1" applyFont="1" applyBorder="1"/>
    <xf numFmtId="0" fontId="17" fillId="0" borderId="107" xfId="1" applyFont="1" applyBorder="1"/>
    <xf numFmtId="0" fontId="30" fillId="0" borderId="59" xfId="1" applyFont="1" applyBorder="1" applyAlignment="1">
      <alignment horizontal="center" vertical="center"/>
    </xf>
    <xf numFmtId="0" fontId="23" fillId="0" borderId="4" xfId="1" applyFont="1" applyBorder="1"/>
    <xf numFmtId="0" fontId="19" fillId="0" borderId="4" xfId="1" applyFont="1" applyBorder="1" applyAlignment="1">
      <alignment horizontal="right"/>
    </xf>
    <xf numFmtId="166" fontId="10" fillId="0" borderId="22" xfId="1" applyNumberFormat="1" applyBorder="1"/>
    <xf numFmtId="0" fontId="10" fillId="0" borderId="65" xfId="1" applyNumberFormat="1" applyBorder="1"/>
    <xf numFmtId="0" fontId="10" fillId="0" borderId="22" xfId="1" applyNumberFormat="1" applyFont="1" applyBorder="1"/>
    <xf numFmtId="166" fontId="24" fillId="0" borderId="33" xfId="1" applyNumberFormat="1" applyFont="1" applyBorder="1"/>
    <xf numFmtId="0" fontId="0" fillId="0" borderId="108" xfId="0" applyBorder="1"/>
    <xf numFmtId="0" fontId="19" fillId="0" borderId="23" xfId="0" applyFont="1" applyBorder="1"/>
    <xf numFmtId="0" fontId="0" fillId="0" borderId="16" xfId="0" applyBorder="1"/>
    <xf numFmtId="0" fontId="19" fillId="0" borderId="13" xfId="0" applyFont="1" applyBorder="1" applyAlignment="1"/>
    <xf numFmtId="0" fontId="19" fillId="0" borderId="13" xfId="0" applyFont="1" applyBorder="1"/>
    <xf numFmtId="164" fontId="0" fillId="0" borderId="13" xfId="0" applyNumberFormat="1" applyBorder="1"/>
    <xf numFmtId="165" fontId="0" fillId="0" borderId="13" xfId="0" applyNumberFormat="1" applyBorder="1"/>
    <xf numFmtId="166" fontId="21" fillId="0" borderId="15" xfId="0" applyNumberFormat="1" applyFont="1" applyBorder="1"/>
    <xf numFmtId="0" fontId="0" fillId="0" borderId="23" xfId="1" applyFont="1" applyBorder="1"/>
    <xf numFmtId="0" fontId="10" fillId="0" borderId="16" xfId="1" applyNumberFormat="1" applyBorder="1"/>
    <xf numFmtId="0" fontId="17" fillId="3" borderId="23" xfId="1" applyNumberFormat="1" applyFont="1" applyFill="1" applyBorder="1" applyAlignment="1"/>
    <xf numFmtId="46" fontId="31" fillId="3" borderId="16" xfId="1" applyNumberFormat="1" applyFont="1" applyFill="1" applyBorder="1" applyAlignment="1"/>
    <xf numFmtId="0" fontId="19" fillId="3" borderId="1" xfId="1" applyNumberFormat="1" applyFont="1" applyFill="1" applyBorder="1" applyAlignment="1"/>
    <xf numFmtId="0" fontId="6" fillId="3" borderId="13" xfId="1" applyNumberFormat="1" applyFont="1" applyFill="1" applyBorder="1" applyAlignment="1"/>
    <xf numFmtId="0" fontId="17" fillId="3" borderId="1" xfId="1" applyNumberFormat="1" applyFont="1" applyFill="1" applyBorder="1" applyAlignment="1"/>
    <xf numFmtId="46" fontId="31" fillId="3" borderId="13" xfId="1" applyNumberFormat="1" applyFont="1" applyFill="1" applyBorder="1" applyAlignment="1"/>
    <xf numFmtId="0" fontId="19" fillId="3" borderId="24" xfId="1" applyNumberFormat="1" applyFont="1" applyFill="1" applyBorder="1" applyAlignment="1"/>
    <xf numFmtId="46" fontId="6" fillId="3" borderId="15" xfId="1" applyNumberFormat="1" applyFont="1" applyFill="1" applyBorder="1" applyAlignment="1"/>
    <xf numFmtId="46" fontId="0" fillId="0" borderId="109" xfId="0" applyNumberFormat="1" applyBorder="1"/>
    <xf numFmtId="0" fontId="17" fillId="0" borderId="108" xfId="0" applyFont="1" applyBorder="1" applyAlignment="1">
      <alignment horizontal="center" vertical="center"/>
    </xf>
    <xf numFmtId="0" fontId="19" fillId="0" borderId="23" xfId="1" applyFont="1" applyBorder="1"/>
    <xf numFmtId="0" fontId="19" fillId="0" borderId="1" xfId="0" applyFont="1" applyFill="1" applyBorder="1" applyAlignment="1">
      <alignment horizontal="center" vertical="center"/>
    </xf>
    <xf numFmtId="0" fontId="0" fillId="0" borderId="0" xfId="0" applyNumberFormat="1"/>
    <xf numFmtId="0" fontId="20" fillId="3" borderId="77" xfId="0" applyFont="1" applyFill="1" applyBorder="1"/>
    <xf numFmtId="0" fontId="20" fillId="0" borderId="78" xfId="0" applyFont="1" applyBorder="1"/>
    <xf numFmtId="0" fontId="20" fillId="0" borderId="13" xfId="0" applyNumberFormat="1" applyFont="1" applyBorder="1" applyAlignment="1">
      <alignment wrapText="1"/>
    </xf>
    <xf numFmtId="0" fontId="0" fillId="0" borderId="4" xfId="0" applyBorder="1"/>
    <xf numFmtId="0" fontId="17" fillId="0" borderId="2" xfId="0" applyFont="1" applyBorder="1"/>
    <xf numFmtId="0" fontId="27" fillId="0" borderId="2" xfId="0" applyFont="1" applyBorder="1"/>
    <xf numFmtId="0" fontId="17" fillId="0" borderId="59" xfId="0" applyFont="1" applyBorder="1" applyAlignment="1">
      <alignment horizontal="center" vertical="center"/>
    </xf>
    <xf numFmtId="0" fontId="17" fillId="0" borderId="86" xfId="0" applyFont="1" applyBorder="1"/>
    <xf numFmtId="0" fontId="0" fillId="0" borderId="30" xfId="0" applyFont="1" applyBorder="1"/>
    <xf numFmtId="46" fontId="33" fillId="0" borderId="3" xfId="0" applyNumberFormat="1" applyFont="1" applyBorder="1"/>
    <xf numFmtId="0" fontId="17" fillId="0" borderId="6" xfId="0" applyFont="1" applyBorder="1" applyAlignment="1">
      <alignment horizontal="center" vertical="center"/>
    </xf>
    <xf numFmtId="0" fontId="19" fillId="0" borderId="5" xfId="0" applyFont="1" applyBorder="1"/>
    <xf numFmtId="0" fontId="21" fillId="0" borderId="18" xfId="0" applyFont="1" applyBorder="1"/>
    <xf numFmtId="46" fontId="0" fillId="0" borderId="2" xfId="0" applyNumberFormat="1" applyBorder="1"/>
    <xf numFmtId="0" fontId="20" fillId="3" borderId="3" xfId="0" applyFont="1" applyFill="1" applyBorder="1" applyAlignment="1">
      <alignment wrapText="1"/>
    </xf>
    <xf numFmtId="0" fontId="20" fillId="0" borderId="3" xfId="0" applyFont="1" applyBorder="1" applyAlignment="1">
      <alignment wrapText="1"/>
    </xf>
    <xf numFmtId="0" fontId="5" fillId="0" borderId="65" xfId="1" applyNumberFormat="1" applyFont="1" applyBorder="1"/>
    <xf numFmtId="0" fontId="5" fillId="0" borderId="61" xfId="1" applyNumberFormat="1" applyFont="1" applyBorder="1"/>
    <xf numFmtId="0" fontId="5" fillId="0" borderId="54" xfId="1" applyNumberFormat="1" applyFont="1" applyBorder="1"/>
    <xf numFmtId="0" fontId="0" fillId="3" borderId="55" xfId="1" applyFont="1" applyFill="1" applyBorder="1"/>
    <xf numFmtId="0" fontId="34" fillId="3" borderId="54" xfId="1" applyNumberFormat="1" applyFont="1" applyFill="1" applyBorder="1"/>
    <xf numFmtId="0" fontId="5" fillId="0" borderId="2" xfId="1" applyFont="1" applyBorder="1"/>
    <xf numFmtId="0" fontId="19" fillId="0" borderId="1" xfId="1" applyNumberFormat="1" applyFont="1" applyBorder="1" applyAlignment="1">
      <alignment wrapText="1"/>
    </xf>
    <xf numFmtId="0" fontId="5" fillId="0" borderId="13" xfId="1" applyNumberFormat="1" applyFont="1" applyBorder="1" applyAlignment="1"/>
    <xf numFmtId="0" fontId="19" fillId="3" borderId="1" xfId="1" applyNumberFormat="1" applyFont="1" applyFill="1" applyBorder="1" applyAlignment="1">
      <alignment horizontal="right"/>
    </xf>
    <xf numFmtId="0" fontId="5" fillId="3" borderId="13" xfId="1" applyNumberFormat="1" applyFont="1" applyFill="1" applyBorder="1" applyAlignment="1"/>
    <xf numFmtId="0" fontId="19" fillId="0" borderId="1" xfId="1" applyNumberFormat="1" applyFont="1" applyBorder="1" applyAlignment="1">
      <alignment horizontal="right"/>
    </xf>
    <xf numFmtId="0" fontId="19" fillId="0" borderId="24" xfId="1" applyNumberFormat="1" applyFont="1" applyBorder="1" applyAlignment="1"/>
    <xf numFmtId="0" fontId="5" fillId="0" borderId="15" xfId="1" applyNumberFormat="1" applyFont="1" applyBorder="1" applyAlignment="1"/>
    <xf numFmtId="0" fontId="19" fillId="0" borderId="75" xfId="0" applyFont="1" applyBorder="1" applyAlignment="1">
      <alignment horizontal="center" vertical="center" wrapText="1"/>
    </xf>
    <xf numFmtId="0" fontId="19" fillId="0" borderId="74" xfId="0" applyFont="1" applyBorder="1" applyAlignment="1">
      <alignment horizontal="center" vertical="center" wrapText="1"/>
    </xf>
    <xf numFmtId="6" fontId="12" fillId="0" borderId="14" xfId="0" applyNumberFormat="1" applyFont="1" applyBorder="1" applyAlignment="1">
      <alignment horizontal="right"/>
    </xf>
    <xf numFmtId="0" fontId="19" fillId="0" borderId="14" xfId="0" applyFont="1" applyBorder="1" applyAlignment="1">
      <alignment horizontal="center"/>
    </xf>
    <xf numFmtId="0" fontId="0" fillId="0" borderId="15" xfId="0" applyBorder="1" applyAlignment="1">
      <alignment horizontal="center"/>
    </xf>
    <xf numFmtId="0" fontId="19" fillId="0" borderId="14" xfId="0" applyFont="1" applyBorder="1" applyAlignment="1">
      <alignment horizontal="center" vertical="center" wrapText="1"/>
    </xf>
    <xf numFmtId="0" fontId="52" fillId="0" borderId="14" xfId="0" applyFont="1" applyBorder="1" applyAlignment="1">
      <alignment horizontal="center" vertical="center" wrapText="1"/>
    </xf>
    <xf numFmtId="6" fontId="12" fillId="0" borderId="14" xfId="0" applyNumberFormat="1" applyFont="1" applyBorder="1" applyAlignment="1">
      <alignment horizontal="center" vertical="center" wrapText="1"/>
    </xf>
    <xf numFmtId="0" fontId="0" fillId="0" borderId="15" xfId="0" applyBorder="1" applyAlignment="1">
      <alignment horizontal="center" vertical="center" wrapText="1"/>
    </xf>
    <xf numFmtId="0" fontId="17" fillId="0" borderId="6" xfId="0" applyFont="1" applyFill="1" applyBorder="1"/>
    <xf numFmtId="0" fontId="19" fillId="0" borderId="66" xfId="1" applyFont="1" applyBorder="1" applyAlignment="1">
      <alignment horizontal="left"/>
    </xf>
    <xf numFmtId="0" fontId="4" fillId="0" borderId="31" xfId="1" applyNumberFormat="1" applyFont="1" applyBorder="1"/>
    <xf numFmtId="0" fontId="19" fillId="3" borderId="2" xfId="1" applyFont="1" applyFill="1" applyBorder="1"/>
    <xf numFmtId="0" fontId="28" fillId="0" borderId="2" xfId="1" applyNumberFormat="1" applyFont="1" applyBorder="1"/>
    <xf numFmtId="46" fontId="28" fillId="0" borderId="2" xfId="1" applyNumberFormat="1" applyFont="1" applyBorder="1"/>
    <xf numFmtId="0" fontId="10" fillId="0" borderId="2" xfId="1" applyBorder="1" applyAlignment="1">
      <alignment horizontal="center" vertical="center"/>
    </xf>
    <xf numFmtId="0" fontId="10" fillId="0" borderId="2" xfId="1" applyBorder="1" applyAlignment="1">
      <alignment horizontal="center" vertical="center" wrapText="1"/>
    </xf>
    <xf numFmtId="0" fontId="12" fillId="0" borderId="2" xfId="3" applyNumberFormat="1" applyFont="1" applyBorder="1" applyAlignment="1">
      <alignment horizontal="center" vertical="center"/>
    </xf>
    <xf numFmtId="0" fontId="19" fillId="0" borderId="2" xfId="1" applyFont="1" applyBorder="1" applyAlignment="1">
      <alignment horizontal="center" vertical="center"/>
    </xf>
    <xf numFmtId="166" fontId="33" fillId="3" borderId="50" xfId="1" applyNumberFormat="1" applyFont="1" applyFill="1" applyBorder="1"/>
    <xf numFmtId="0" fontId="0" fillId="3" borderId="0" xfId="1" applyFont="1" applyFill="1" applyBorder="1"/>
    <xf numFmtId="0" fontId="20" fillId="3" borderId="13" xfId="1" applyNumberFormat="1" applyFont="1" applyFill="1" applyBorder="1"/>
    <xf numFmtId="0" fontId="12" fillId="0" borderId="70" xfId="1" applyFont="1" applyBorder="1" applyAlignment="1">
      <alignment horizontal="center" vertical="center"/>
    </xf>
    <xf numFmtId="0" fontId="12" fillId="0" borderId="93" xfId="1" applyFont="1" applyBorder="1" applyAlignment="1">
      <alignment horizontal="center" vertical="center"/>
    </xf>
    <xf numFmtId="0" fontId="12" fillId="0" borderId="54" xfId="1" applyFont="1" applyBorder="1" applyAlignment="1">
      <alignment horizontal="center" vertical="center"/>
    </xf>
    <xf numFmtId="0" fontId="12" fillId="0" borderId="4" xfId="1" applyFont="1" applyFill="1" applyBorder="1" applyAlignment="1">
      <alignment horizontal="center" vertical="center" wrapText="1"/>
    </xf>
    <xf numFmtId="0" fontId="19" fillId="0" borderId="4" xfId="1" applyFont="1" applyFill="1" applyBorder="1" applyAlignment="1">
      <alignment horizontal="center" vertical="center" wrapText="1"/>
    </xf>
    <xf numFmtId="0" fontId="12" fillId="0" borderId="61" xfId="1" applyFont="1" applyFill="1" applyBorder="1" applyAlignment="1">
      <alignment horizontal="center" vertical="center" wrapText="1"/>
    </xf>
    <xf numFmtId="0" fontId="12" fillId="0" borderId="2" xfId="1" applyNumberFormat="1" applyFont="1" applyBorder="1" applyAlignment="1">
      <alignment horizontal="center" vertical="center" wrapText="1"/>
    </xf>
    <xf numFmtId="2" fontId="12" fillId="0" borderId="2" xfId="1" applyNumberFormat="1" applyFont="1" applyBorder="1" applyAlignment="1">
      <alignment horizontal="center" vertical="center"/>
    </xf>
    <xf numFmtId="0" fontId="0" fillId="0" borderId="2" xfId="3" applyNumberFormat="1" applyFont="1" applyFill="1" applyBorder="1" applyAlignment="1">
      <alignment horizontal="center" vertical="center"/>
    </xf>
    <xf numFmtId="0" fontId="0" fillId="8" borderId="89"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89" xfId="0" applyFill="1" applyBorder="1" applyAlignment="1">
      <alignment horizontal="center" wrapText="1"/>
    </xf>
    <xf numFmtId="0" fontId="0" fillId="8" borderId="113" xfId="0" applyFill="1" applyBorder="1" applyAlignment="1">
      <alignment horizontal="center" vertical="center" wrapText="1"/>
    </xf>
    <xf numFmtId="0" fontId="0" fillId="8" borderId="113" xfId="0" applyFill="1" applyBorder="1"/>
    <xf numFmtId="0" fontId="0" fillId="8" borderId="114" xfId="0" applyFill="1" applyBorder="1" applyAlignment="1">
      <alignment horizontal="center" vertical="center" wrapText="1"/>
    </xf>
    <xf numFmtId="0" fontId="0" fillId="0" borderId="4" xfId="0" applyBorder="1" applyAlignment="1">
      <alignment horizontal="center"/>
    </xf>
    <xf numFmtId="0" fontId="12" fillId="0" borderId="2" xfId="0" applyFont="1" applyBorder="1" applyAlignment="1">
      <alignment horizontal="center"/>
    </xf>
    <xf numFmtId="0" fontId="12" fillId="0" borderId="2" xfId="1" applyFont="1" applyBorder="1" applyAlignment="1">
      <alignment horizontal="center"/>
    </xf>
    <xf numFmtId="0" fontId="12" fillId="0" borderId="3" xfId="0" applyFont="1" applyBorder="1" applyAlignment="1">
      <alignment horizontal="center"/>
    </xf>
    <xf numFmtId="0" fontId="0" fillId="0" borderId="2" xfId="0" applyBorder="1" applyAlignment="1">
      <alignment horizontal="center" vertical="center"/>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2" fontId="12" fillId="0" borderId="9" xfId="0" applyNumberFormat="1"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wrapText="1"/>
    </xf>
    <xf numFmtId="2" fontId="12" fillId="0" borderId="6" xfId="0" applyNumberFormat="1" applyFont="1" applyBorder="1" applyAlignment="1">
      <alignment horizontal="center" vertical="center"/>
    </xf>
    <xf numFmtId="0" fontId="0" fillId="0" borderId="2" xfId="0" applyBorder="1" applyAlignment="1">
      <alignment horizontal="center"/>
    </xf>
    <xf numFmtId="0" fontId="19" fillId="0" borderId="1" xfId="0" applyFont="1" applyBorder="1" applyAlignment="1">
      <alignment horizontal="center" vertical="center"/>
    </xf>
    <xf numFmtId="0" fontId="19" fillId="0" borderId="2" xfId="0" applyFont="1" applyBorder="1" applyAlignment="1">
      <alignment horizontal="center"/>
    </xf>
    <xf numFmtId="2" fontId="0" fillId="0" borderId="2" xfId="0" applyNumberFormat="1" applyBorder="1" applyAlignment="1">
      <alignment horizontal="center"/>
    </xf>
    <xf numFmtId="0" fontId="12" fillId="0" borderId="2" xfId="0" applyFont="1" applyBorder="1" applyAlignment="1">
      <alignment horizontal="center"/>
    </xf>
    <xf numFmtId="0" fontId="0" fillId="0" borderId="2" xfId="0" applyBorder="1" applyAlignment="1">
      <alignment horizontal="center" vertical="center"/>
    </xf>
    <xf numFmtId="0" fontId="19" fillId="3" borderId="1" xfId="1" applyNumberFormat="1" applyFont="1" applyFill="1" applyBorder="1" applyAlignment="1">
      <alignment wrapText="1"/>
    </xf>
    <xf numFmtId="0" fontId="19" fillId="3" borderId="1" xfId="1" applyNumberFormat="1" applyFont="1" applyFill="1" applyBorder="1" applyAlignment="1">
      <alignment horizontal="center" vertical="center" wrapText="1"/>
    </xf>
    <xf numFmtId="0" fontId="3" fillId="3" borderId="2" xfId="1" applyNumberFormat="1" applyFont="1" applyFill="1" applyBorder="1" applyAlignment="1">
      <alignment horizontal="center" vertical="center" wrapText="1"/>
    </xf>
    <xf numFmtId="0" fontId="20"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0" fillId="3" borderId="1"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3" borderId="2" xfId="0" applyFont="1" applyFill="1" applyBorder="1" applyAlignment="1">
      <alignment horizontal="center" vertical="center" wrapText="1"/>
    </xf>
    <xf numFmtId="164" fontId="26" fillId="3" borderId="2" xfId="0" applyNumberFormat="1" applyFont="1" applyFill="1" applyBorder="1" applyAlignment="1">
      <alignment horizontal="center" vertical="center" wrapText="1"/>
    </xf>
    <xf numFmtId="165" fontId="26" fillId="0" borderId="2" xfId="0" applyNumberFormat="1" applyFont="1" applyBorder="1" applyAlignment="1">
      <alignment horizontal="center" vertical="center" wrapText="1"/>
    </xf>
    <xf numFmtId="0" fontId="20" fillId="0" borderId="24" xfId="0" applyFont="1" applyBorder="1" applyAlignment="1">
      <alignment horizontal="center" vertical="center" wrapText="1"/>
    </xf>
    <xf numFmtId="166" fontId="21" fillId="0" borderId="14" xfId="0" applyNumberFormat="1" applyFont="1" applyBorder="1" applyAlignment="1">
      <alignment horizontal="center" vertical="center" wrapText="1"/>
    </xf>
    <xf numFmtId="0" fontId="0" fillId="0" borderId="34" xfId="0" applyBorder="1" applyAlignment="1">
      <alignment horizontal="center" vertical="center" wrapText="1"/>
    </xf>
    <xf numFmtId="0" fontId="19" fillId="0" borderId="30" xfId="1" applyFont="1" applyBorder="1" applyAlignment="1">
      <alignment horizontal="center" vertical="center" wrapText="1"/>
    </xf>
    <xf numFmtId="0" fontId="0" fillId="0" borderId="36" xfId="0" applyBorder="1" applyAlignment="1">
      <alignment horizontal="center" vertical="center" wrapText="1"/>
    </xf>
    <xf numFmtId="0" fontId="54" fillId="4" borderId="115" xfId="0" applyFont="1" applyFill="1" applyBorder="1" applyAlignment="1">
      <alignment horizontal="center" vertical="center" wrapText="1"/>
    </xf>
    <xf numFmtId="0" fontId="54" fillId="4" borderId="116" xfId="0" applyFont="1" applyFill="1" applyBorder="1" applyAlignment="1">
      <alignment horizontal="center" vertical="center" wrapText="1"/>
    </xf>
    <xf numFmtId="0" fontId="10" fillId="0" borderId="65" xfId="1" applyBorder="1" applyAlignment="1">
      <alignment horizontal="center" vertical="center" wrapText="1"/>
    </xf>
    <xf numFmtId="0" fontId="27" fillId="3" borderId="121" xfId="0" applyFont="1" applyFill="1" applyBorder="1" applyAlignment="1">
      <alignment horizontal="center" vertical="center" wrapText="1"/>
    </xf>
    <xf numFmtId="0" fontId="26" fillId="3" borderId="87" xfId="0" applyFont="1" applyFill="1" applyBorder="1" applyAlignment="1">
      <alignment horizontal="center" vertical="center" wrapText="1"/>
    </xf>
    <xf numFmtId="0" fontId="19" fillId="0" borderId="1" xfId="1" applyFont="1" applyBorder="1" applyAlignment="1">
      <alignment horizontal="center" vertical="center" wrapText="1"/>
    </xf>
    <xf numFmtId="0" fontId="10" fillId="0" borderId="3" xfId="1" applyNumberFormat="1" applyBorder="1" applyAlignment="1">
      <alignment horizontal="center" vertical="center" wrapText="1"/>
    </xf>
    <xf numFmtId="0" fontId="19" fillId="0" borderId="5" xfId="1" applyFont="1" applyBorder="1" applyAlignment="1">
      <alignment horizontal="center" vertical="center" wrapText="1"/>
    </xf>
    <xf numFmtId="0" fontId="17" fillId="0" borderId="59" xfId="1" applyFont="1" applyBorder="1" applyAlignment="1">
      <alignment horizontal="center" vertical="center" wrapText="1"/>
    </xf>
    <xf numFmtId="2" fontId="10" fillId="0" borderId="31" xfId="1" applyNumberFormat="1" applyBorder="1" applyAlignment="1">
      <alignment horizontal="center" vertical="center" wrapText="1"/>
    </xf>
    <xf numFmtId="0" fontId="24" fillId="0" borderId="22" xfId="1" applyNumberFormat="1" applyFont="1" applyBorder="1" applyAlignment="1">
      <alignment horizontal="center" vertical="center" wrapText="1"/>
    </xf>
    <xf numFmtId="0" fontId="19" fillId="0" borderId="70" xfId="1" applyFont="1" applyBorder="1" applyAlignment="1">
      <alignment horizontal="center" vertical="center" wrapText="1"/>
    </xf>
    <xf numFmtId="0" fontId="10" fillId="0" borderId="54" xfId="1" applyNumberFormat="1" applyBorder="1" applyAlignment="1">
      <alignment horizontal="center" vertical="center" wrapText="1"/>
    </xf>
    <xf numFmtId="166" fontId="28" fillId="0" borderId="76" xfId="1" applyNumberFormat="1" applyFont="1" applyBorder="1" applyAlignment="1"/>
    <xf numFmtId="0" fontId="3" fillId="3" borderId="120" xfId="1" applyNumberFormat="1" applyFont="1" applyFill="1" applyBorder="1" applyAlignment="1"/>
    <xf numFmtId="0" fontId="3" fillId="0" borderId="56" xfId="1" applyNumberFormat="1" applyFont="1" applyBorder="1" applyAlignment="1"/>
    <xf numFmtId="166" fontId="28" fillId="3" borderId="14" xfId="1" applyNumberFormat="1" applyFont="1" applyFill="1" applyBorder="1" applyAlignment="1"/>
    <xf numFmtId="0" fontId="25" fillId="0" borderId="76" xfId="1" applyNumberFormat="1" applyFont="1" applyBorder="1" applyAlignment="1"/>
    <xf numFmtId="0" fontId="17" fillId="0" borderId="24" xfId="1" applyFont="1" applyBorder="1" applyAlignment="1">
      <alignment horizontal="center" vertical="center" wrapText="1"/>
    </xf>
    <xf numFmtId="0" fontId="17" fillId="0" borderId="55" xfId="0" applyFont="1" applyBorder="1" applyAlignment="1">
      <alignment horizontal="center" vertical="center" wrapText="1"/>
    </xf>
    <xf numFmtId="0" fontId="17" fillId="0" borderId="54" xfId="0" applyFont="1" applyBorder="1" applyAlignment="1">
      <alignment horizontal="center" vertical="center" wrapText="1"/>
    </xf>
    <xf numFmtId="0" fontId="27" fillId="3" borderId="90" xfId="0" applyFont="1" applyFill="1" applyBorder="1" applyAlignment="1">
      <alignment horizontal="center" vertical="center" wrapText="1"/>
    </xf>
    <xf numFmtId="0" fontId="19" fillId="0" borderId="2" xfId="1" applyFont="1" applyBorder="1" applyAlignment="1">
      <alignment horizontal="center" vertical="center" wrapText="1"/>
    </xf>
    <xf numFmtId="2" fontId="26" fillId="0" borderId="31" xfId="0" applyNumberFormat="1" applyFont="1" applyBorder="1" applyAlignment="1">
      <alignment horizontal="center" vertical="center" wrapText="1"/>
    </xf>
    <xf numFmtId="2" fontId="26" fillId="0" borderId="3" xfId="0" applyNumberFormat="1" applyFont="1" applyBorder="1" applyAlignment="1">
      <alignment horizontal="center" vertical="center" wrapText="1"/>
    </xf>
    <xf numFmtId="0" fontId="26" fillId="3" borderId="3" xfId="0" applyFont="1" applyFill="1" applyBorder="1" applyAlignment="1">
      <alignment horizontal="center" vertical="center" wrapText="1"/>
    </xf>
    <xf numFmtId="0" fontId="10" fillId="0" borderId="65" xfId="1" applyNumberFormat="1" applyBorder="1" applyAlignment="1">
      <alignment horizontal="center" vertical="center" wrapText="1"/>
    </xf>
    <xf numFmtId="0" fontId="10" fillId="0" borderId="31" xfId="1" applyNumberFormat="1" applyBorder="1" applyAlignment="1">
      <alignment horizontal="center" vertical="center" wrapText="1"/>
    </xf>
    <xf numFmtId="0" fontId="24" fillId="0" borderId="3" xfId="1" applyNumberFormat="1" applyFont="1" applyBorder="1" applyAlignment="1">
      <alignment horizontal="center" vertical="center" wrapText="1"/>
    </xf>
    <xf numFmtId="0" fontId="28" fillId="0" borderId="33" xfId="1" applyNumberFormat="1" applyFont="1" applyBorder="1" applyAlignment="1">
      <alignment horizontal="center" vertical="center" wrapText="1"/>
    </xf>
    <xf numFmtId="0" fontId="25" fillId="0" borderId="65" xfId="1" applyNumberFormat="1" applyFont="1" applyBorder="1"/>
    <xf numFmtId="0" fontId="25" fillId="0" borderId="65" xfId="1" applyFont="1" applyBorder="1"/>
    <xf numFmtId="0" fontId="30" fillId="3" borderId="66" xfId="1" applyNumberFormat="1" applyFont="1" applyFill="1" applyBorder="1" applyAlignment="1">
      <alignment horizontal="center"/>
    </xf>
    <xf numFmtId="0" fontId="19" fillId="3" borderId="64" xfId="1" applyNumberFormat="1" applyFont="1" applyFill="1" applyBorder="1" applyAlignment="1"/>
    <xf numFmtId="0" fontId="19" fillId="3" borderId="60" xfId="1" applyNumberFormat="1" applyFont="1" applyFill="1" applyBorder="1" applyAlignment="1"/>
    <xf numFmtId="0" fontId="30" fillId="3" borderId="66" xfId="1" applyNumberFormat="1" applyFont="1" applyFill="1" applyBorder="1" applyAlignment="1">
      <alignment horizontal="center" vertical="center"/>
    </xf>
    <xf numFmtId="0" fontId="30" fillId="3" borderId="59" xfId="1" applyNumberFormat="1" applyFont="1" applyFill="1" applyBorder="1" applyAlignment="1">
      <alignment horizontal="center"/>
    </xf>
    <xf numFmtId="0" fontId="3" fillId="3" borderId="58" xfId="1" applyNumberFormat="1" applyFont="1" applyFill="1" applyBorder="1" applyAlignment="1"/>
    <xf numFmtId="0" fontId="3" fillId="0" borderId="122" xfId="1" applyNumberFormat="1" applyFont="1" applyBorder="1" applyAlignment="1"/>
    <xf numFmtId="0" fontId="3" fillId="0" borderId="119" xfId="1" applyNumberFormat="1" applyFont="1" applyBorder="1" applyAlignment="1"/>
    <xf numFmtId="0" fontId="3" fillId="3" borderId="13" xfId="1" applyNumberFormat="1" applyFont="1" applyFill="1" applyBorder="1" applyAlignment="1"/>
    <xf numFmtId="0" fontId="19" fillId="5" borderId="118" xfId="1" applyNumberFormat="1" applyFont="1" applyFill="1" applyBorder="1" applyAlignment="1"/>
    <xf numFmtId="166" fontId="28" fillId="5" borderId="77" xfId="1" applyNumberFormat="1" applyFont="1" applyFill="1" applyBorder="1" applyAlignment="1"/>
    <xf numFmtId="0" fontId="32" fillId="3" borderId="59" xfId="1" applyNumberFormat="1" applyFont="1" applyFill="1" applyBorder="1" applyAlignment="1"/>
    <xf numFmtId="0" fontId="19" fillId="5" borderId="117" xfId="1" applyNumberFormat="1" applyFont="1" applyFill="1" applyBorder="1" applyAlignment="1"/>
    <xf numFmtId="0" fontId="3" fillId="5" borderId="119" xfId="1" applyNumberFormat="1" applyFont="1" applyFill="1" applyBorder="1" applyAlignment="1"/>
    <xf numFmtId="0" fontId="19" fillId="3" borderId="77" xfId="1" applyNumberFormat="1" applyFont="1" applyFill="1" applyBorder="1" applyAlignment="1"/>
    <xf numFmtId="0" fontId="17" fillId="3" borderId="59" xfId="1" applyNumberFormat="1" applyFont="1" applyFill="1" applyBorder="1" applyAlignment="1"/>
    <xf numFmtId="0" fontId="25" fillId="3" borderId="58" xfId="1" applyNumberFormat="1" applyFont="1" applyFill="1" applyBorder="1" applyAlignment="1"/>
    <xf numFmtId="0" fontId="19" fillId="3" borderId="117" xfId="1" applyNumberFormat="1" applyFont="1" applyFill="1" applyBorder="1" applyAlignment="1">
      <alignment wrapText="1"/>
    </xf>
    <xf numFmtId="166" fontId="29" fillId="3" borderId="15" xfId="1" applyNumberFormat="1" applyFont="1" applyFill="1" applyBorder="1" applyAlignment="1"/>
    <xf numFmtId="0" fontId="29" fillId="0" borderId="13" xfId="1" applyNumberFormat="1" applyFont="1" applyBorder="1" applyAlignment="1"/>
    <xf numFmtId="0" fontId="19" fillId="3" borderId="118" xfId="1" applyNumberFormat="1" applyFont="1" applyFill="1" applyBorder="1" applyAlignment="1"/>
    <xf numFmtId="166" fontId="29" fillId="0" borderId="77" xfId="1" applyNumberFormat="1" applyFont="1" applyBorder="1" applyAlignment="1"/>
    <xf numFmtId="166" fontId="28" fillId="3" borderId="15" xfId="1" applyNumberFormat="1" applyFont="1" applyFill="1" applyBorder="1" applyAlignment="1"/>
    <xf numFmtId="0" fontId="19" fillId="3" borderId="23" xfId="1" applyNumberFormat="1" applyFont="1" applyFill="1" applyBorder="1" applyAlignment="1">
      <alignment wrapText="1"/>
    </xf>
    <xf numFmtId="0" fontId="3" fillId="3" borderId="16" xfId="1" applyNumberFormat="1" applyFont="1" applyFill="1" applyBorder="1" applyAlignment="1"/>
    <xf numFmtId="0" fontId="19" fillId="3" borderId="13" xfId="1" applyNumberFormat="1" applyFont="1" applyFill="1" applyBorder="1" applyAlignment="1"/>
    <xf numFmtId="0" fontId="3" fillId="0" borderId="13" xfId="1" applyNumberFormat="1" applyFont="1" applyBorder="1" applyAlignment="1"/>
    <xf numFmtId="0" fontId="29" fillId="3" borderId="77" xfId="1" applyNumberFormat="1" applyFont="1" applyFill="1" applyBorder="1" applyAlignment="1"/>
    <xf numFmtId="166" fontId="28" fillId="0" borderId="15" xfId="1" applyNumberFormat="1" applyFont="1" applyBorder="1" applyAlignment="1"/>
    <xf numFmtId="166" fontId="31" fillId="3" borderId="16" xfId="1" applyNumberFormat="1" applyFont="1" applyFill="1" applyBorder="1" applyAlignment="1"/>
    <xf numFmtId="0" fontId="17" fillId="3" borderId="24" xfId="1" applyNumberFormat="1" applyFont="1" applyFill="1" applyBorder="1" applyAlignment="1"/>
    <xf numFmtId="46" fontId="3" fillId="3" borderId="15" xfId="1" applyNumberFormat="1" applyFont="1" applyFill="1" applyBorder="1" applyAlignment="1"/>
    <xf numFmtId="44" fontId="12" fillId="0" borderId="3" xfId="2" applyFont="1" applyBorder="1" applyAlignment="1">
      <alignment horizontal="center"/>
    </xf>
    <xf numFmtId="0" fontId="55" fillId="0" borderId="2" xfId="0" applyFont="1" applyBorder="1" applyAlignment="1">
      <alignment horizontal="center" vertical="center" wrapText="1"/>
    </xf>
    <xf numFmtId="49" fontId="19" fillId="0" borderId="2" xfId="0" applyNumberFormat="1" applyFont="1" applyBorder="1" applyAlignment="1">
      <alignment horizontal="center" vertical="center"/>
    </xf>
    <xf numFmtId="0" fontId="56" fillId="0" borderId="8" xfId="0" applyFont="1" applyBorder="1" applyAlignment="1">
      <alignment horizontal="center" vertical="center" wrapText="1"/>
    </xf>
    <xf numFmtId="46" fontId="57" fillId="0" borderId="4" xfId="0" applyNumberFormat="1" applyFont="1" applyBorder="1" applyAlignment="1">
      <alignment horizontal="center" vertical="center" wrapText="1"/>
    </xf>
    <xf numFmtId="0" fontId="58" fillId="0" borderId="1" xfId="0" applyFont="1" applyBorder="1" applyAlignment="1">
      <alignment horizontal="center" vertical="center" wrapText="1"/>
    </xf>
    <xf numFmtId="0" fontId="59" fillId="0" borderId="9" xfId="0" applyFont="1" applyBorder="1" applyAlignment="1">
      <alignment horizontal="center" vertical="center" wrapText="1"/>
    </xf>
    <xf numFmtId="0" fontId="58" fillId="0" borderId="5" xfId="0" applyFont="1" applyBorder="1" applyAlignment="1">
      <alignment vertical="center" wrapText="1"/>
    </xf>
    <xf numFmtId="49" fontId="12" fillId="0" borderId="9" xfId="0" applyNumberFormat="1" applyFont="1" applyBorder="1" applyAlignment="1">
      <alignment horizontal="center"/>
    </xf>
    <xf numFmtId="0" fontId="12" fillId="0" borderId="2" xfId="0" applyNumberFormat="1" applyFont="1" applyBorder="1" applyAlignment="1">
      <alignment horizontal="center"/>
    </xf>
    <xf numFmtId="44" fontId="0" fillId="0" borderId="2" xfId="2" applyFont="1" applyFill="1" applyBorder="1" applyAlignment="1">
      <alignment vertical="center"/>
    </xf>
    <xf numFmtId="2" fontId="12" fillId="0" borderId="8" xfId="0" applyNumberFormat="1" applyFont="1" applyBorder="1" applyAlignment="1">
      <alignment horizontal="center"/>
    </xf>
    <xf numFmtId="44" fontId="0" fillId="0" borderId="2" xfId="2" applyFont="1" applyBorder="1" applyAlignment="1">
      <alignment horizontal="center" vertical="center"/>
    </xf>
    <xf numFmtId="44" fontId="0" fillId="0" borderId="17" xfId="3" applyFont="1" applyBorder="1" applyAlignment="1">
      <alignment horizontal="center" vertical="center"/>
    </xf>
    <xf numFmtId="0" fontId="60" fillId="0" borderId="2" xfId="0" applyFont="1" applyBorder="1" applyAlignment="1">
      <alignment horizontal="center"/>
    </xf>
    <xf numFmtId="0" fontId="19" fillId="0" borderId="2" xfId="0" applyFont="1" applyBorder="1" applyAlignment="1">
      <alignment vertical="center"/>
    </xf>
    <xf numFmtId="2" fontId="19" fillId="0" borderId="2" xfId="0" applyNumberFormat="1" applyFont="1" applyBorder="1" applyAlignment="1">
      <alignment horizontal="center"/>
    </xf>
    <xf numFmtId="2" fontId="38" fillId="0" borderId="2" xfId="0" applyNumberFormat="1" applyFont="1" applyBorder="1" applyAlignment="1">
      <alignment horizontal="center"/>
    </xf>
    <xf numFmtId="49" fontId="19" fillId="0" borderId="2" xfId="0" applyNumberFormat="1" applyFont="1" applyBorder="1" applyAlignment="1">
      <alignment horizontal="center"/>
    </xf>
    <xf numFmtId="0" fontId="0" fillId="0" borderId="2" xfId="0" applyFont="1" applyBorder="1" applyAlignment="1">
      <alignment horizontal="center"/>
    </xf>
    <xf numFmtId="49" fontId="0" fillId="0" borderId="2" xfId="0" applyNumberFormat="1" applyFont="1" applyFill="1" applyBorder="1" applyAlignment="1">
      <alignment horizontal="center"/>
    </xf>
    <xf numFmtId="0" fontId="0" fillId="0" borderId="2" xfId="0" applyFont="1" applyFill="1" applyBorder="1" applyAlignment="1">
      <alignment horizontal="center"/>
    </xf>
    <xf numFmtId="0" fontId="0" fillId="0" borderId="2" xfId="0" applyFill="1" applyBorder="1" applyAlignment="1">
      <alignment horizontal="center"/>
    </xf>
    <xf numFmtId="0" fontId="0" fillId="0" borderId="4" xfId="0" applyFont="1" applyFill="1" applyBorder="1" applyAlignment="1">
      <alignment horizontal="center"/>
    </xf>
    <xf numFmtId="166" fontId="34" fillId="0" borderId="4" xfId="0" applyNumberFormat="1" applyFont="1" applyFill="1" applyBorder="1" applyAlignment="1">
      <alignment horizontal="center"/>
    </xf>
    <xf numFmtId="0" fontId="11" fillId="2" borderId="9" xfId="0" applyFont="1" applyFill="1" applyBorder="1"/>
    <xf numFmtId="0" fontId="11" fillId="2" borderId="8" xfId="0" applyFont="1" applyFill="1" applyBorder="1"/>
    <xf numFmtId="0" fontId="11" fillId="2" borderId="32" xfId="0" applyFont="1" applyFill="1" applyBorder="1" applyAlignment="1"/>
    <xf numFmtId="49" fontId="12" fillId="0" borderId="3" xfId="0" applyNumberFormat="1" applyFont="1" applyBorder="1" applyAlignment="1">
      <alignment horizontal="center"/>
    </xf>
    <xf numFmtId="44" fontId="0" fillId="0" borderId="2" xfId="2" applyFont="1" applyFill="1" applyBorder="1" applyAlignment="1">
      <alignment horizontal="center"/>
    </xf>
    <xf numFmtId="0" fontId="0" fillId="0" borderId="13" xfId="0" applyBorder="1" applyAlignment="1">
      <alignment horizontal="center"/>
    </xf>
    <xf numFmtId="0" fontId="19" fillId="0" borderId="13" xfId="0" applyFont="1" applyBorder="1" applyAlignment="1">
      <alignment horizontal="center"/>
    </xf>
    <xf numFmtId="0" fontId="0" fillId="0" borderId="4" xfId="0" applyFont="1" applyBorder="1" applyAlignment="1">
      <alignment horizontal="center"/>
    </xf>
    <xf numFmtId="0" fontId="17" fillId="5" borderId="76" xfId="0" applyFont="1" applyFill="1" applyBorder="1" applyAlignment="1">
      <alignment horizontal="center" wrapText="1"/>
    </xf>
    <xf numFmtId="0" fontId="19" fillId="5" borderId="76" xfId="0" applyFont="1" applyFill="1" applyBorder="1" applyAlignment="1">
      <alignment wrapText="1"/>
    </xf>
    <xf numFmtId="0" fontId="19" fillId="6" borderId="120" xfId="0" applyFont="1" applyFill="1" applyBorder="1" applyAlignment="1">
      <alignment wrapText="1"/>
    </xf>
    <xf numFmtId="166" fontId="19" fillId="6" borderId="120" xfId="0" applyNumberFormat="1" applyFont="1" applyFill="1" applyBorder="1" applyAlignment="1">
      <alignment wrapText="1"/>
    </xf>
    <xf numFmtId="0" fontId="19" fillId="5" borderId="14" xfId="0" applyFont="1" applyFill="1" applyBorder="1" applyAlignment="1">
      <alignment wrapText="1"/>
    </xf>
    <xf numFmtId="166" fontId="19" fillId="5" borderId="14" xfId="0" applyNumberFormat="1" applyFont="1" applyFill="1" applyBorder="1" applyAlignment="1">
      <alignment wrapText="1"/>
    </xf>
    <xf numFmtId="46" fontId="34" fillId="0" borderId="2" xfId="0" applyNumberFormat="1" applyFont="1" applyBorder="1" applyAlignment="1">
      <alignment wrapText="1"/>
    </xf>
    <xf numFmtId="0" fontId="20" fillId="5" borderId="1" xfId="0" applyFont="1" applyFill="1" applyBorder="1"/>
    <xf numFmtId="0" fontId="26" fillId="5" borderId="13" xfId="0" applyFont="1" applyFill="1" applyBorder="1"/>
    <xf numFmtId="0" fontId="20" fillId="6" borderId="1" xfId="0" applyFont="1" applyFill="1" applyBorder="1"/>
    <xf numFmtId="0" fontId="26" fillId="6" borderId="13" xfId="0" applyFont="1" applyFill="1" applyBorder="1"/>
    <xf numFmtId="0" fontId="26" fillId="5" borderId="1" xfId="0" applyFont="1" applyFill="1" applyBorder="1"/>
    <xf numFmtId="0" fontId="60" fillId="0" borderId="1" xfId="0" applyFont="1" applyBorder="1" applyAlignment="1">
      <alignment horizontal="center"/>
    </xf>
    <xf numFmtId="0" fontId="40" fillId="0" borderId="1" xfId="0" applyFont="1" applyBorder="1" applyAlignment="1">
      <alignment horizontal="center" vertical="center" wrapText="1"/>
    </xf>
    <xf numFmtId="0" fontId="19" fillId="0" borderId="3" xfId="0" applyFont="1" applyBorder="1" applyAlignment="1">
      <alignment horizontal="center"/>
    </xf>
    <xf numFmtId="0" fontId="19" fillId="0" borderId="45" xfId="0" applyFont="1" applyBorder="1" applyAlignment="1"/>
    <xf numFmtId="0" fontId="19" fillId="0" borderId="74" xfId="0" applyFont="1" applyBorder="1" applyAlignment="1"/>
    <xf numFmtId="0" fontId="19" fillId="0" borderId="46" xfId="0" applyFont="1" applyBorder="1" applyAlignment="1"/>
    <xf numFmtId="0" fontId="19" fillId="0" borderId="50" xfId="0" applyFont="1" applyBorder="1" applyAlignment="1"/>
    <xf numFmtId="0" fontId="19" fillId="0" borderId="34" xfId="0" applyFont="1" applyBorder="1" applyAlignment="1"/>
    <xf numFmtId="0" fontId="19" fillId="0" borderId="34" xfId="0" applyFont="1" applyBorder="1" applyAlignment="1">
      <alignment horizontal="left"/>
    </xf>
    <xf numFmtId="0" fontId="0" fillId="0" borderId="4" xfId="0" applyBorder="1" applyAlignment="1">
      <alignment horizontal="center"/>
    </xf>
    <xf numFmtId="0" fontId="12" fillId="0" borderId="2" xfId="0" applyFont="1" applyBorder="1" applyAlignment="1">
      <alignment horizontal="center"/>
    </xf>
    <xf numFmtId="0" fontId="19"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2" fontId="12" fillId="0" borderId="2" xfId="0" applyNumberFormat="1" applyFont="1" applyBorder="1" applyAlignment="1">
      <alignment horizontal="center" vertical="center" wrapText="1"/>
    </xf>
    <xf numFmtId="0" fontId="19" fillId="0" borderId="32" xfId="0" applyFont="1" applyBorder="1" applyAlignment="1">
      <alignment horizontal="center"/>
    </xf>
    <xf numFmtId="0" fontId="11" fillId="2" borderId="52" xfId="0" applyFont="1" applyFill="1" applyBorder="1" applyAlignment="1">
      <alignment horizontal="center"/>
    </xf>
    <xf numFmtId="0" fontId="11" fillId="2" borderId="53" xfId="0" applyFont="1" applyFill="1" applyBorder="1" applyAlignment="1">
      <alignment horizontal="center"/>
    </xf>
    <xf numFmtId="0" fontId="12" fillId="0" borderId="2" xfId="0" applyFont="1" applyBorder="1" applyAlignment="1">
      <alignment horizontal="center" wrapText="1"/>
    </xf>
    <xf numFmtId="0" fontId="20" fillId="0" borderId="2" xfId="0" applyNumberFormat="1" applyFont="1" applyBorder="1" applyAlignment="1">
      <alignment wrapText="1"/>
    </xf>
    <xf numFmtId="0" fontId="20" fillId="3" borderId="2" xfId="0" applyNumberFormat="1" applyFont="1" applyFill="1" applyBorder="1" applyAlignment="1">
      <alignment wrapText="1"/>
    </xf>
    <xf numFmtId="0" fontId="27" fillId="0" borderId="59" xfId="0" applyFont="1" applyBorder="1"/>
    <xf numFmtId="0" fontId="19" fillId="3" borderId="5" xfId="0" applyFont="1" applyFill="1" applyBorder="1"/>
    <xf numFmtId="0" fontId="20" fillId="3" borderId="22" xfId="0" applyFont="1" applyFill="1" applyBorder="1"/>
    <xf numFmtId="166" fontId="27" fillId="0" borderId="58" xfId="0" applyNumberFormat="1" applyFont="1" applyBorder="1"/>
    <xf numFmtId="2" fontId="12" fillId="0" borderId="5" xfId="0" applyNumberFormat="1" applyFont="1" applyBorder="1" applyAlignment="1">
      <alignment horizontal="center"/>
    </xf>
    <xf numFmtId="2" fontId="12" fillId="0" borderId="4" xfId="0" applyNumberFormat="1" applyFont="1" applyBorder="1" applyAlignment="1">
      <alignment horizontal="center"/>
    </xf>
    <xf numFmtId="0" fontId="15" fillId="2" borderId="43" xfId="0" applyFont="1" applyFill="1" applyBorder="1"/>
    <xf numFmtId="0" fontId="0" fillId="2" borderId="20" xfId="0" applyFill="1" applyBorder="1"/>
    <xf numFmtId="0" fontId="0" fillId="2" borderId="44" xfId="0" applyFill="1" applyBorder="1"/>
    <xf numFmtId="0" fontId="19" fillId="0" borderId="30" xfId="0" applyFont="1" applyBorder="1"/>
    <xf numFmtId="166" fontId="20" fillId="3" borderId="2" xfId="0" applyNumberFormat="1" applyFont="1" applyFill="1" applyBorder="1" applyAlignment="1">
      <alignment wrapText="1"/>
    </xf>
    <xf numFmtId="166" fontId="20" fillId="0" borderId="2" xfId="0" applyNumberFormat="1" applyFont="1" applyBorder="1" applyAlignment="1">
      <alignment wrapText="1"/>
    </xf>
    <xf numFmtId="0" fontId="17" fillId="0" borderId="0" xfId="0" applyFont="1"/>
    <xf numFmtId="46" fontId="20" fillId="3" borderId="2" xfId="0" applyNumberFormat="1" applyFont="1" applyFill="1" applyBorder="1" applyAlignment="1">
      <alignment wrapText="1"/>
    </xf>
    <xf numFmtId="166" fontId="34" fillId="0" borderId="2" xfId="0" applyNumberFormat="1" applyFont="1" applyBorder="1" applyAlignment="1">
      <alignment wrapText="1"/>
    </xf>
    <xf numFmtId="0" fontId="13" fillId="0" borderId="2" xfId="0" applyFont="1" applyBorder="1" applyAlignment="1">
      <alignment horizontal="center" vertical="center"/>
    </xf>
    <xf numFmtId="0" fontId="12" fillId="0" borderId="7" xfId="0" applyFont="1" applyBorder="1" applyAlignment="1">
      <alignment horizontal="center"/>
    </xf>
    <xf numFmtId="0" fontId="12" fillId="0" borderId="16" xfId="0" applyFont="1" applyBorder="1" applyAlignment="1">
      <alignment horizontal="center"/>
    </xf>
    <xf numFmtId="0" fontId="13" fillId="0" borderId="1" xfId="0" applyFont="1" applyBorder="1" applyAlignment="1">
      <alignment horizontal="center" vertical="center"/>
    </xf>
    <xf numFmtId="0" fontId="15" fillId="2" borderId="10" xfId="0" applyFont="1" applyFill="1" applyBorder="1"/>
    <xf numFmtId="0" fontId="0" fillId="2" borderId="11" xfId="0" applyFill="1" applyBorder="1"/>
    <xf numFmtId="0" fontId="0" fillId="2" borderId="19" xfId="0" applyFill="1" applyBorder="1"/>
    <xf numFmtId="0" fontId="19" fillId="0" borderId="2" xfId="0" applyFont="1" applyFill="1" applyBorder="1" applyAlignment="1">
      <alignment horizontal="center" vertical="center"/>
    </xf>
    <xf numFmtId="2" fontId="13" fillId="0" borderId="14" xfId="0" applyNumberFormat="1" applyFont="1" applyBorder="1" applyAlignment="1">
      <alignment horizontal="center" vertical="center"/>
    </xf>
    <xf numFmtId="0" fontId="39" fillId="0" borderId="15" xfId="0" applyFont="1" applyBorder="1" applyAlignment="1">
      <alignment horizontal="center" vertical="center"/>
    </xf>
    <xf numFmtId="0" fontId="57" fillId="0" borderId="5" xfId="0" applyFont="1" applyBorder="1" applyAlignment="1">
      <alignment vertical="center" wrapText="1"/>
    </xf>
    <xf numFmtId="166" fontId="57" fillId="0" borderId="4" xfId="0" applyNumberFormat="1" applyFont="1" applyBorder="1" applyAlignment="1">
      <alignment horizontal="center" vertical="center" wrapText="1"/>
    </xf>
    <xf numFmtId="0" fontId="56" fillId="0" borderId="9" xfId="0" applyFont="1" applyBorder="1" applyAlignment="1">
      <alignment horizontal="center" vertical="center" wrapText="1"/>
    </xf>
    <xf numFmtId="0" fontId="0" fillId="0" borderId="3" xfId="0" applyBorder="1" applyAlignment="1">
      <alignment horizontal="center"/>
    </xf>
    <xf numFmtId="166" fontId="21" fillId="0" borderId="2" xfId="0" applyNumberFormat="1" applyFont="1" applyBorder="1" applyAlignment="1">
      <alignment horizontal="center" vertical="center"/>
    </xf>
    <xf numFmtId="0" fontId="21" fillId="0" borderId="8" xfId="0" applyFont="1" applyBorder="1" applyAlignment="1">
      <alignment horizontal="center"/>
    </xf>
    <xf numFmtId="0" fontId="12" fillId="0" borderId="2" xfId="0" applyFont="1" applyBorder="1" applyAlignment="1">
      <alignment horizontal="center"/>
    </xf>
    <xf numFmtId="0" fontId="44" fillId="0" borderId="2" xfId="1" applyFont="1" applyBorder="1" applyAlignment="1">
      <alignment horizontal="center" vertical="center" wrapText="1"/>
    </xf>
    <xf numFmtId="0" fontId="44" fillId="0" borderId="2" xfId="1" applyFont="1" applyBorder="1" applyAlignment="1">
      <alignment horizontal="center" vertical="center"/>
    </xf>
    <xf numFmtId="0" fontId="53" fillId="0" borderId="30" xfId="1" applyFont="1" applyBorder="1" applyAlignment="1">
      <alignment horizontal="center" vertical="center"/>
    </xf>
    <xf numFmtId="0" fontId="53" fillId="0" borderId="17" xfId="1" applyFont="1" applyBorder="1" applyAlignment="1">
      <alignment horizontal="center" vertical="center"/>
    </xf>
    <xf numFmtId="2" fontId="53" fillId="0" borderId="17" xfId="1" applyNumberFormat="1" applyFont="1" applyBorder="1" applyAlignment="1">
      <alignment horizontal="center" vertical="center"/>
    </xf>
    <xf numFmtId="0" fontId="53" fillId="0" borderId="31" xfId="1" applyFont="1" applyBorder="1" applyAlignment="1">
      <alignment horizontal="center" vertical="center"/>
    </xf>
    <xf numFmtId="0" fontId="53" fillId="0" borderId="2" xfId="1" applyFont="1" applyBorder="1" applyAlignment="1">
      <alignment horizontal="center" vertical="center" wrapText="1"/>
    </xf>
    <xf numFmtId="0" fontId="53" fillId="0" borderId="13" xfId="1" applyFont="1" applyBorder="1" applyAlignment="1">
      <alignment horizontal="center" vertical="center" wrapText="1"/>
    </xf>
    <xf numFmtId="0" fontId="44" fillId="0" borderId="2" xfId="0" applyFont="1" applyBorder="1" applyAlignment="1">
      <alignment horizontal="center" vertical="center" wrapText="1"/>
    </xf>
    <xf numFmtId="0" fontId="44" fillId="0" borderId="2" xfId="0" applyFont="1" applyBorder="1" applyAlignment="1">
      <alignment horizontal="center" vertical="center"/>
    </xf>
    <xf numFmtId="44" fontId="44" fillId="0" borderId="2" xfId="3" applyFont="1" applyBorder="1" applyAlignment="1">
      <alignment horizontal="center" vertical="center"/>
    </xf>
    <xf numFmtId="168" fontId="53" fillId="0" borderId="0" xfId="1" applyNumberFormat="1" applyFont="1" applyAlignment="1">
      <alignment horizontal="center" vertical="center"/>
    </xf>
    <xf numFmtId="0" fontId="53" fillId="0" borderId="2" xfId="1" applyFont="1" applyBorder="1" applyAlignment="1">
      <alignment horizontal="center" vertical="center"/>
    </xf>
    <xf numFmtId="0" fontId="53" fillId="0" borderId="2" xfId="1" applyFont="1" applyBorder="1"/>
    <xf numFmtId="0" fontId="63" fillId="2" borderId="51" xfId="1" applyFont="1" applyFill="1" applyBorder="1"/>
    <xf numFmtId="0" fontId="63" fillId="2" borderId="52" xfId="1" applyFont="1" applyFill="1" applyBorder="1"/>
    <xf numFmtId="2" fontId="63" fillId="2" borderId="52" xfId="1" applyNumberFormat="1" applyFont="1" applyFill="1" applyBorder="1"/>
    <xf numFmtId="0" fontId="17" fillId="0" borderId="71" xfId="0" applyFont="1" applyBorder="1" applyAlignment="1">
      <alignment horizontal="center" vertical="center" wrapText="1"/>
    </xf>
    <xf numFmtId="0" fontId="19" fillId="0" borderId="57" xfId="0" applyFont="1" applyBorder="1" applyAlignment="1">
      <alignment horizontal="center" vertical="center" wrapText="1"/>
    </xf>
    <xf numFmtId="0" fontId="17" fillId="5" borderId="66" xfId="0" applyFont="1" applyFill="1" applyBorder="1" applyAlignment="1">
      <alignment horizontal="center" wrapText="1"/>
    </xf>
    <xf numFmtId="0" fontId="19" fillId="6" borderId="64" xfId="0" applyFont="1" applyFill="1" applyBorder="1" applyAlignment="1">
      <alignment wrapText="1"/>
    </xf>
    <xf numFmtId="0" fontId="19" fillId="5" borderId="57" xfId="0" applyFont="1" applyFill="1" applyBorder="1" applyAlignment="1">
      <alignment wrapText="1"/>
    </xf>
    <xf numFmtId="164" fontId="19" fillId="0" borderId="13" xfId="0" applyNumberFormat="1" applyFont="1" applyBorder="1" applyAlignment="1">
      <alignment horizontal="center" vertical="center" wrapText="1"/>
    </xf>
    <xf numFmtId="166" fontId="33" fillId="0" borderId="13" xfId="0" applyNumberFormat="1" applyFont="1" applyBorder="1" applyAlignment="1">
      <alignment horizontal="center" vertical="center" wrapText="1"/>
    </xf>
    <xf numFmtId="0" fontId="17" fillId="0" borderId="3" xfId="0" applyFont="1" applyBorder="1" applyAlignment="1">
      <alignment horizontal="center"/>
    </xf>
    <xf numFmtId="0" fontId="17" fillId="0" borderId="3" xfId="0" applyFont="1" applyBorder="1" applyAlignment="1">
      <alignment horizontal="center" wrapText="1"/>
    </xf>
    <xf numFmtId="0" fontId="2" fillId="3" borderId="2" xfId="1" applyNumberFormat="1" applyFont="1" applyFill="1" applyBorder="1"/>
    <xf numFmtId="46" fontId="2" fillId="3" borderId="2" xfId="1" applyNumberFormat="1" applyFont="1" applyFill="1" applyBorder="1"/>
    <xf numFmtId="44" fontId="0" fillId="0" borderId="2" xfId="2" applyFont="1" applyFill="1" applyBorder="1" applyAlignment="1">
      <alignment horizontal="center" vertical="center"/>
    </xf>
    <xf numFmtId="169" fontId="0" fillId="0" borderId="2" xfId="2" applyNumberFormat="1" applyFont="1" applyFill="1" applyBorder="1" applyAlignment="1">
      <alignment horizontal="center" vertical="center"/>
    </xf>
    <xf numFmtId="0" fontId="0" fillId="0" borderId="14" xfId="0" applyBorder="1" applyAlignment="1">
      <alignment horizontal="center"/>
    </xf>
    <xf numFmtId="0" fontId="19" fillId="0" borderId="1" xfId="0" applyFont="1" applyBorder="1" applyAlignment="1">
      <alignment horizontal="center"/>
    </xf>
    <xf numFmtId="2" fontId="12" fillId="0" borderId="9" xfId="0" applyNumberFormat="1" applyFont="1" applyBorder="1" applyAlignment="1">
      <alignment horizontal="center"/>
    </xf>
    <xf numFmtId="2" fontId="12" fillId="0" borderId="10" xfId="0" applyNumberFormat="1" applyFont="1" applyBorder="1" applyAlignment="1">
      <alignment horizontal="center"/>
    </xf>
    <xf numFmtId="0" fontId="17" fillId="0" borderId="9" xfId="0" applyFont="1" applyBorder="1" applyAlignment="1">
      <alignment horizontal="center"/>
    </xf>
    <xf numFmtId="166" fontId="17" fillId="0" borderId="23" xfId="0" applyNumberFormat="1" applyFont="1" applyBorder="1" applyAlignment="1">
      <alignment horizontal="center" vertical="center"/>
    </xf>
    <xf numFmtId="166" fontId="19" fillId="0" borderId="16" xfId="0" applyNumberFormat="1" applyFont="1" applyBorder="1" applyAlignment="1">
      <alignment horizontal="center" vertical="center"/>
    </xf>
    <xf numFmtId="0" fontId="19" fillId="0" borderId="13" xfId="0" applyFont="1" applyBorder="1" applyAlignment="1">
      <alignment horizontal="center" vertical="center"/>
    </xf>
    <xf numFmtId="0" fontId="19" fillId="0" borderId="1" xfId="0" applyFont="1" applyFill="1" applyBorder="1" applyAlignment="1">
      <alignment horizontal="center"/>
    </xf>
    <xf numFmtId="0" fontId="19" fillId="0" borderId="13" xfId="0" applyNumberFormat="1" applyFont="1" applyBorder="1" applyAlignment="1">
      <alignment horizontal="center" vertical="center"/>
    </xf>
    <xf numFmtId="0" fontId="0" fillId="0" borderId="24" xfId="0" applyFont="1" applyBorder="1"/>
    <xf numFmtId="0" fontId="0" fillId="0" borderId="15" xfId="0" applyNumberFormat="1" applyBorder="1"/>
    <xf numFmtId="166" fontId="17" fillId="0" borderId="13" xfId="0" applyNumberFormat="1" applyFont="1" applyBorder="1" applyAlignment="1">
      <alignment horizontal="center" vertical="center"/>
    </xf>
    <xf numFmtId="0" fontId="17" fillId="0" borderId="1" xfId="0" applyFont="1" applyFill="1" applyBorder="1" applyAlignment="1">
      <alignment horizontal="center" vertical="center"/>
    </xf>
    <xf numFmtId="169" fontId="12" fillId="0" borderId="14" xfId="0" applyNumberFormat="1" applyFont="1" applyBorder="1" applyAlignment="1">
      <alignment horizontal="center"/>
    </xf>
    <xf numFmtId="2" fontId="12" fillId="0" borderId="2" xfId="0" applyNumberFormat="1" applyFont="1" applyFill="1" applyBorder="1" applyAlignment="1">
      <alignment horizontal="center"/>
    </xf>
    <xf numFmtId="0" fontId="12" fillId="0" borderId="2" xfId="0" applyFont="1" applyFill="1" applyBorder="1" applyAlignment="1">
      <alignment horizontal="center"/>
    </xf>
    <xf numFmtId="0" fontId="42" fillId="0" borderId="96" xfId="1" applyFont="1" applyBorder="1" applyAlignment="1">
      <alignment horizontal="left" vertical="top" wrapText="1"/>
    </xf>
    <xf numFmtId="0" fontId="12" fillId="0" borderId="2" xfId="0" applyFont="1" applyBorder="1" applyAlignment="1">
      <alignment horizontal="center" vertical="center"/>
    </xf>
    <xf numFmtId="0" fontId="20" fillId="5" borderId="6" xfId="0" applyFont="1" applyFill="1" applyBorder="1" applyAlignment="1">
      <alignment wrapText="1"/>
    </xf>
    <xf numFmtId="0" fontId="20" fillId="5" borderId="2" xfId="0" applyFont="1" applyFill="1" applyBorder="1" applyAlignment="1">
      <alignment wrapText="1"/>
    </xf>
    <xf numFmtId="0" fontId="20" fillId="5" borderId="2" xfId="0" applyFont="1" applyFill="1" applyBorder="1" applyAlignment="1">
      <alignment horizontal="right" wrapText="1"/>
    </xf>
    <xf numFmtId="0" fontId="20" fillId="5" borderId="123" xfId="0" applyFont="1" applyFill="1" applyBorder="1" applyAlignment="1">
      <alignment wrapText="1"/>
    </xf>
    <xf numFmtId="166" fontId="33" fillId="5" borderId="123" xfId="0" applyNumberFormat="1" applyFont="1" applyFill="1" applyBorder="1" applyAlignment="1">
      <alignment wrapText="1"/>
    </xf>
    <xf numFmtId="44" fontId="0" fillId="0" borderId="2" xfId="3" applyFont="1" applyFill="1" applyBorder="1" applyAlignment="1">
      <alignment horizontal="center" vertical="center" wrapText="1"/>
    </xf>
    <xf numFmtId="0" fontId="20" fillId="5" borderId="17" xfId="0" applyFont="1" applyFill="1" applyBorder="1" applyAlignment="1">
      <alignment wrapText="1"/>
    </xf>
    <xf numFmtId="0" fontId="20" fillId="5" borderId="4" xfId="0" applyFont="1" applyFill="1" applyBorder="1" applyAlignment="1">
      <alignment wrapText="1"/>
    </xf>
    <xf numFmtId="0" fontId="17" fillId="0" borderId="92" xfId="0" applyFont="1" applyBorder="1"/>
    <xf numFmtId="0" fontId="20" fillId="5" borderId="2" xfId="0" applyFont="1" applyFill="1" applyBorder="1" applyAlignment="1">
      <alignment horizontal="center" wrapText="1"/>
    </xf>
    <xf numFmtId="166" fontId="34" fillId="5" borderId="2" xfId="0" applyNumberFormat="1" applyFont="1" applyFill="1" applyBorder="1" applyAlignment="1">
      <alignment wrapText="1"/>
    </xf>
    <xf numFmtId="0" fontId="19" fillId="0" borderId="6" xfId="1" applyFont="1" applyBorder="1" applyAlignment="1">
      <alignment horizontal="center" wrapText="1"/>
    </xf>
    <xf numFmtId="0" fontId="19" fillId="0" borderId="6" xfId="0" applyFont="1" applyFill="1" applyBorder="1" applyAlignment="1">
      <alignment horizontal="center" vertical="center" wrapText="1"/>
    </xf>
    <xf numFmtId="0" fontId="12" fillId="0" borderId="2" xfId="0" applyFont="1" applyBorder="1" applyAlignment="1">
      <alignment horizontal="center"/>
    </xf>
    <xf numFmtId="0" fontId="44" fillId="0" borderId="2" xfId="1" applyFont="1" applyBorder="1" applyAlignment="1">
      <alignment horizontal="center" vertical="center" wrapText="1"/>
    </xf>
    <xf numFmtId="0" fontId="45" fillId="0" borderId="2" xfId="1" applyFont="1" applyBorder="1" applyAlignment="1">
      <alignment horizontal="center" vertical="center" wrapText="1"/>
    </xf>
    <xf numFmtId="0" fontId="44" fillId="0" borderId="2" xfId="1" applyFont="1" applyBorder="1" applyAlignment="1">
      <alignment horizontal="center"/>
    </xf>
    <xf numFmtId="0" fontId="44" fillId="0" borderId="2" xfId="1" applyFont="1" applyBorder="1" applyAlignment="1">
      <alignment horizontal="center" vertical="center"/>
    </xf>
    <xf numFmtId="0" fontId="17" fillId="5" borderId="2" xfId="0" applyFont="1" applyFill="1" applyBorder="1" applyAlignment="1">
      <alignment horizontal="center" vertical="center" wrapText="1"/>
    </xf>
    <xf numFmtId="166" fontId="33" fillId="5" borderId="2" xfId="0" applyNumberFormat="1" applyFont="1" applyFill="1" applyBorder="1" applyAlignment="1">
      <alignment horizontal="center" vertical="center" wrapText="1"/>
    </xf>
    <xf numFmtId="0" fontId="44" fillId="0" borderId="2" xfId="1" applyFont="1" applyBorder="1" applyAlignment="1">
      <alignment vertical="center" wrapText="1"/>
    </xf>
    <xf numFmtId="169" fontId="0" fillId="0" borderId="2" xfId="2" applyNumberFormat="1" applyFont="1" applyFill="1" applyBorder="1" applyAlignment="1">
      <alignment horizontal="center"/>
    </xf>
    <xf numFmtId="0" fontId="46" fillId="0" borderId="2" xfId="1" applyFont="1" applyBorder="1" applyAlignment="1">
      <alignment horizontal="center" vertical="center" wrapText="1"/>
    </xf>
    <xf numFmtId="0" fontId="64" fillId="0" borderId="2" xfId="1" applyFont="1" applyBorder="1" applyAlignment="1">
      <alignment horizontal="center" wrapText="1"/>
    </xf>
    <xf numFmtId="0" fontId="65" fillId="0" borderId="2" xfId="1" applyFont="1" applyBorder="1" applyAlignment="1">
      <alignment horizontal="center" vertical="center" wrapText="1"/>
    </xf>
    <xf numFmtId="0" fontId="47" fillId="0" borderId="2" xfId="1" applyFont="1" applyBorder="1" applyAlignment="1">
      <alignment vertical="center" wrapText="1"/>
    </xf>
    <xf numFmtId="0" fontId="47" fillId="0" borderId="2" xfId="1" applyFont="1" applyBorder="1" applyAlignment="1">
      <alignment horizontal="center" wrapText="1"/>
    </xf>
    <xf numFmtId="0" fontId="65" fillId="0" borderId="2" xfId="1" applyFont="1" applyBorder="1" applyAlignment="1">
      <alignment horizontal="center" wrapText="1"/>
    </xf>
    <xf numFmtId="0" fontId="47" fillId="0" borderId="2" xfId="1" applyFont="1" applyBorder="1" applyAlignment="1">
      <alignment horizontal="center" vertical="center"/>
    </xf>
    <xf numFmtId="0" fontId="47" fillId="0" borderId="2" xfId="1" applyNumberFormat="1" applyFont="1" applyBorder="1" applyAlignment="1">
      <alignment horizontal="center" vertical="center"/>
    </xf>
    <xf numFmtId="0" fontId="47" fillId="0" borderId="2" xfId="1" applyFont="1" applyBorder="1"/>
    <xf numFmtId="0" fontId="47" fillId="0" borderId="2" xfId="1" applyFont="1" applyBorder="1" applyAlignment="1">
      <alignment horizontal="center" vertical="center" wrapText="1"/>
    </xf>
    <xf numFmtId="49" fontId="47" fillId="0" borderId="2" xfId="1" applyNumberFormat="1" applyFont="1" applyBorder="1" applyAlignment="1">
      <alignment horizontal="center" vertical="center"/>
    </xf>
    <xf numFmtId="166" fontId="65" fillId="0" borderId="2" xfId="1" applyNumberFormat="1" applyFont="1" applyBorder="1" applyAlignment="1">
      <alignment horizontal="center"/>
    </xf>
    <xf numFmtId="0" fontId="47" fillId="0" borderId="2" xfId="1" applyFont="1" applyBorder="1" applyAlignment="1"/>
    <xf numFmtId="0" fontId="47" fillId="0" borderId="2" xfId="1" applyFont="1" applyBorder="1" applyAlignment="1">
      <alignment vertical="center"/>
    </xf>
    <xf numFmtId="0" fontId="65" fillId="0" borderId="2" xfId="1" applyFont="1" applyBorder="1" applyAlignment="1">
      <alignment vertical="center" wrapText="1"/>
    </xf>
    <xf numFmtId="0" fontId="65" fillId="0" borderId="2" xfId="1" applyFont="1" applyBorder="1" applyAlignment="1">
      <alignment horizontal="center" vertical="center"/>
    </xf>
    <xf numFmtId="46" fontId="47" fillId="0" borderId="2" xfId="1" applyNumberFormat="1" applyFont="1" applyBorder="1" applyAlignment="1">
      <alignment horizontal="center" vertical="center"/>
    </xf>
    <xf numFmtId="46" fontId="65" fillId="0" borderId="2" xfId="1" applyNumberFormat="1" applyFont="1" applyBorder="1" applyAlignment="1">
      <alignment horizontal="center" vertical="center"/>
    </xf>
    <xf numFmtId="0" fontId="44" fillId="0" borderId="2" xfId="1" applyFont="1" applyBorder="1" applyAlignment="1"/>
    <xf numFmtId="0" fontId="44" fillId="0" borderId="2" xfId="1" applyFont="1" applyBorder="1" applyAlignment="1">
      <alignment vertical="center"/>
    </xf>
    <xf numFmtId="0" fontId="45" fillId="0" borderId="2" xfId="1" applyFont="1" applyBorder="1" applyAlignment="1">
      <alignment vertical="center" wrapText="1"/>
    </xf>
    <xf numFmtId="0" fontId="64" fillId="0" borderId="2" xfId="1" applyFont="1" applyBorder="1" applyAlignment="1">
      <alignment horizontal="left" wrapText="1"/>
    </xf>
    <xf numFmtId="0" fontId="46" fillId="0" borderId="2" xfId="1" applyFont="1" applyBorder="1" applyAlignment="1">
      <alignment horizontal="center" vertical="center"/>
    </xf>
    <xf numFmtId="0" fontId="46" fillId="0" borderId="2" xfId="1" applyFont="1" applyBorder="1" applyAlignment="1">
      <alignment horizontal="left" vertical="center" wrapText="1"/>
    </xf>
    <xf numFmtId="0" fontId="46" fillId="0" borderId="2" xfId="1" applyFont="1" applyBorder="1" applyAlignment="1">
      <alignment horizontal="left" wrapText="1"/>
    </xf>
    <xf numFmtId="0" fontId="44" fillId="0" borderId="93" xfId="1" applyFont="1" applyFill="1" applyBorder="1" applyAlignment="1">
      <alignment vertical="center" wrapText="1"/>
    </xf>
    <xf numFmtId="0" fontId="44" fillId="0" borderId="2" xfId="1" applyFont="1" applyBorder="1" applyAlignment="1">
      <alignment horizontal="left" vertical="center"/>
    </xf>
    <xf numFmtId="0" fontId="46" fillId="0" borderId="2" xfId="1" applyFont="1" applyBorder="1" applyAlignment="1"/>
    <xf numFmtId="0" fontId="64" fillId="0" borderId="2" xfId="1" applyFont="1" applyBorder="1" applyAlignment="1">
      <alignment horizontal="center" vertical="center"/>
    </xf>
    <xf numFmtId="0" fontId="46" fillId="0" borderId="2" xfId="1" applyNumberFormat="1" applyFont="1" applyBorder="1" applyAlignment="1">
      <alignment horizontal="center" vertical="center"/>
    </xf>
    <xf numFmtId="46" fontId="64" fillId="0" borderId="2" xfId="1" applyNumberFormat="1" applyFont="1" applyBorder="1" applyAlignment="1">
      <alignment horizontal="center" wrapText="1"/>
    </xf>
    <xf numFmtId="2" fontId="13" fillId="0" borderId="14" xfId="0" applyNumberFormat="1" applyFont="1" applyBorder="1" applyAlignment="1">
      <alignment horizontal="center" vertical="center" wrapText="1"/>
    </xf>
    <xf numFmtId="46" fontId="66" fillId="0" borderId="2" xfId="1" applyNumberFormat="1" applyFont="1" applyBorder="1" applyAlignment="1">
      <alignment horizontal="center" wrapText="1"/>
    </xf>
    <xf numFmtId="0" fontId="64" fillId="0" borderId="2" xfId="1" applyNumberFormat="1" applyFont="1" applyBorder="1" applyAlignment="1">
      <alignment horizontal="center" wrapText="1"/>
    </xf>
    <xf numFmtId="0" fontId="46" fillId="0" borderId="2" xfId="1" applyNumberFormat="1" applyFont="1" applyBorder="1" applyAlignment="1">
      <alignment horizontal="center" vertical="center" wrapText="1"/>
    </xf>
    <xf numFmtId="0" fontId="46" fillId="0" borderId="2" xfId="1" applyNumberFormat="1" applyFont="1" applyBorder="1" applyAlignment="1">
      <alignment horizontal="center"/>
    </xf>
    <xf numFmtId="0" fontId="64" fillId="0" borderId="2" xfId="1" applyNumberFormat="1" applyFont="1" applyBorder="1" applyAlignment="1">
      <alignment horizontal="center" vertical="center" wrapText="1"/>
    </xf>
    <xf numFmtId="0" fontId="64" fillId="0" borderId="2" xfId="1" applyNumberFormat="1" applyFont="1" applyBorder="1" applyAlignment="1">
      <alignment horizontal="center" vertical="center"/>
    </xf>
    <xf numFmtId="0" fontId="64" fillId="0" borderId="2" xfId="1" applyNumberFormat="1" applyFont="1" applyBorder="1" applyAlignment="1">
      <alignment horizontal="center"/>
    </xf>
    <xf numFmtId="0" fontId="64" fillId="0" borderId="2" xfId="1" applyNumberFormat="1" applyFont="1" applyBorder="1" applyAlignment="1">
      <alignment horizontal="left" wrapText="1"/>
    </xf>
    <xf numFmtId="0" fontId="64" fillId="0" borderId="2" xfId="1" applyNumberFormat="1" applyFont="1" applyBorder="1" applyAlignment="1">
      <alignment horizontal="left" vertical="center"/>
    </xf>
    <xf numFmtId="0" fontId="64" fillId="0" borderId="2" xfId="1" applyNumberFormat="1" applyFont="1" applyBorder="1" applyAlignment="1">
      <alignment horizontal="left" vertical="center" wrapText="1"/>
    </xf>
    <xf numFmtId="0" fontId="64" fillId="0" borderId="2" xfId="1" applyNumberFormat="1" applyFont="1" applyBorder="1" applyAlignment="1">
      <alignment horizontal="left"/>
    </xf>
    <xf numFmtId="46" fontId="64" fillId="0" borderId="2" xfId="1" applyNumberFormat="1" applyFont="1" applyBorder="1" applyAlignment="1">
      <alignment horizontal="center" vertical="center"/>
    </xf>
    <xf numFmtId="0" fontId="64" fillId="0" borderId="2" xfId="1" applyNumberFormat="1" applyFont="1" applyBorder="1" applyAlignment="1">
      <alignment horizontal="right" vertical="center"/>
    </xf>
    <xf numFmtId="0" fontId="19" fillId="0" borderId="2" xfId="0" applyFont="1" applyBorder="1" applyAlignment="1">
      <alignment horizontal="right"/>
    </xf>
    <xf numFmtId="0" fontId="64" fillId="0" borderId="2" xfId="1" applyNumberFormat="1" applyFont="1" applyFill="1" applyBorder="1" applyAlignment="1">
      <alignment horizontal="right" vertical="center"/>
    </xf>
    <xf numFmtId="46" fontId="46" fillId="0" borderId="2" xfId="1" applyNumberFormat="1" applyFont="1" applyBorder="1" applyAlignment="1">
      <alignment horizontal="center"/>
    </xf>
    <xf numFmtId="46" fontId="17" fillId="0" borderId="2" xfId="0" applyNumberFormat="1" applyFont="1" applyBorder="1"/>
    <xf numFmtId="46" fontId="46" fillId="0" borderId="2" xfId="1" applyNumberFormat="1" applyFont="1" applyBorder="1" applyAlignment="1">
      <alignment horizontal="center" vertical="center"/>
    </xf>
    <xf numFmtId="0" fontId="25" fillId="0" borderId="23" xfId="0" applyFont="1" applyBorder="1"/>
    <xf numFmtId="0" fontId="1" fillId="0" borderId="16" xfId="0" applyFont="1" applyBorder="1" applyAlignment="1">
      <alignment horizontal="center"/>
    </xf>
    <xf numFmtId="0" fontId="1" fillId="0" borderId="1" xfId="0" applyFont="1" applyBorder="1"/>
    <xf numFmtId="0" fontId="1" fillId="0" borderId="13" xfId="0" applyFont="1" applyBorder="1" applyAlignment="1">
      <alignment horizontal="center"/>
    </xf>
    <xf numFmtId="166" fontId="1" fillId="0" borderId="13" xfId="0" applyNumberFormat="1" applyFont="1" applyBorder="1"/>
    <xf numFmtId="0" fontId="10" fillId="0" borderId="50" xfId="1" applyBorder="1"/>
    <xf numFmtId="0" fontId="30" fillId="0" borderId="24" xfId="0" applyFont="1" applyBorder="1"/>
    <xf numFmtId="166" fontId="24" fillId="0" borderId="15" xfId="0" applyNumberFormat="1" applyFont="1" applyBorder="1"/>
    <xf numFmtId="2" fontId="12" fillId="0" borderId="2" xfId="1" applyNumberFormat="1" applyFont="1" applyBorder="1" applyAlignment="1">
      <alignment vertical="center"/>
    </xf>
    <xf numFmtId="0" fontId="12" fillId="0" borderId="2" xfId="1" applyFont="1" applyBorder="1" applyAlignment="1">
      <alignment horizontal="center" vertical="center"/>
    </xf>
    <xf numFmtId="2" fontId="12" fillId="0" borderId="1" xfId="1" applyNumberFormat="1" applyFont="1" applyBorder="1" applyAlignment="1">
      <alignment vertical="center"/>
    </xf>
    <xf numFmtId="0" fontId="12" fillId="0" borderId="13" xfId="0" applyFont="1" applyBorder="1" applyAlignment="1">
      <alignment wrapText="1"/>
    </xf>
    <xf numFmtId="0" fontId="12" fillId="0" borderId="2" xfId="0" applyFont="1" applyBorder="1"/>
    <xf numFmtId="0" fontId="12" fillId="0" borderId="13" xfId="0" applyFont="1" applyBorder="1"/>
    <xf numFmtId="0" fontId="12" fillId="0" borderId="14" xfId="0" applyFont="1" applyBorder="1"/>
    <xf numFmtId="0" fontId="12" fillId="0" borderId="15" xfId="0" applyFont="1" applyBorder="1"/>
    <xf numFmtId="0" fontId="49" fillId="0" borderId="2" xfId="1" applyFont="1" applyBorder="1" applyAlignment="1">
      <alignment horizontal="center" vertical="center"/>
    </xf>
    <xf numFmtId="0" fontId="49" fillId="0" borderId="2" xfId="1" applyFont="1" applyBorder="1" applyAlignment="1">
      <alignment horizontal="center" vertical="center" wrapText="1"/>
    </xf>
    <xf numFmtId="0" fontId="12" fillId="0" borderId="0" xfId="0" applyFont="1" applyAlignment="1">
      <alignment horizontal="center"/>
    </xf>
    <xf numFmtId="0" fontId="67" fillId="0" borderId="2" xfId="1" applyFont="1" applyBorder="1" applyAlignment="1">
      <alignment vertical="center" wrapText="1"/>
    </xf>
    <xf numFmtId="0" fontId="49" fillId="0" borderId="2" xfId="1" applyFont="1" applyBorder="1" applyAlignment="1">
      <alignment vertical="center" wrapText="1"/>
    </xf>
    <xf numFmtId="0" fontId="49" fillId="0" borderId="2" xfId="1" applyFont="1" applyBorder="1" applyAlignment="1">
      <alignment horizontal="left" wrapText="1"/>
    </xf>
    <xf numFmtId="0" fontId="67" fillId="0" borderId="2" xfId="1" applyFont="1" applyBorder="1" applyAlignment="1">
      <alignment horizontal="center" wrapText="1"/>
    </xf>
    <xf numFmtId="46" fontId="49" fillId="0" borderId="2" xfId="1" applyNumberFormat="1" applyFont="1" applyBorder="1" applyAlignment="1">
      <alignment horizontal="center" wrapText="1"/>
    </xf>
    <xf numFmtId="0" fontId="49" fillId="0" borderId="2" xfId="1" applyFont="1" applyBorder="1"/>
    <xf numFmtId="0" fontId="49" fillId="0" borderId="2" xfId="1" applyFont="1" applyBorder="1" applyAlignment="1">
      <alignment horizontal="left" vertical="center"/>
    </xf>
    <xf numFmtId="0" fontId="49" fillId="0" borderId="2" xfId="1" applyFont="1" applyBorder="1" applyAlignment="1">
      <alignment horizontal="left" vertical="center" wrapText="1"/>
    </xf>
    <xf numFmtId="0" fontId="67" fillId="0" borderId="2" xfId="1" applyFont="1" applyBorder="1" applyAlignment="1">
      <alignment horizontal="center" vertical="center"/>
    </xf>
    <xf numFmtId="0" fontId="67" fillId="0" borderId="2" xfId="1" applyFont="1" applyBorder="1" applyAlignment="1">
      <alignment horizontal="center" vertical="center" wrapText="1"/>
    </xf>
    <xf numFmtId="0" fontId="49" fillId="0" borderId="2" xfId="1" applyFont="1" applyBorder="1" applyAlignment="1"/>
    <xf numFmtId="49" fontId="49" fillId="0" borderId="2" xfId="1" applyNumberFormat="1" applyFont="1" applyBorder="1" applyAlignment="1">
      <alignment horizontal="center" vertical="center"/>
    </xf>
    <xf numFmtId="0" fontId="49" fillId="0" borderId="2" xfId="1" applyFont="1" applyBorder="1" applyAlignment="1">
      <alignment vertical="center"/>
    </xf>
    <xf numFmtId="166" fontId="67" fillId="0" borderId="2" xfId="1" applyNumberFormat="1" applyFont="1" applyBorder="1" applyAlignment="1">
      <alignment horizontal="center"/>
    </xf>
    <xf numFmtId="0" fontId="17" fillId="0" borderId="2" xfId="0" applyFont="1" applyBorder="1" applyAlignment="1">
      <alignment horizontal="center"/>
    </xf>
    <xf numFmtId="46" fontId="49" fillId="0" borderId="2" xfId="1" applyNumberFormat="1" applyFont="1" applyBorder="1" applyAlignment="1">
      <alignment horizontal="center" vertical="center"/>
    </xf>
    <xf numFmtId="46" fontId="17" fillId="0" borderId="0" xfId="0" applyNumberFormat="1" applyFont="1"/>
    <xf numFmtId="46" fontId="67" fillId="0" borderId="2" xfId="1" applyNumberFormat="1" applyFont="1" applyBorder="1" applyAlignment="1">
      <alignment horizontal="center" wrapText="1"/>
    </xf>
    <xf numFmtId="0" fontId="12" fillId="0" borderId="2" xfId="0" applyFont="1" applyBorder="1" applyAlignment="1">
      <alignment horizontal="center"/>
    </xf>
    <xf numFmtId="0" fontId="12" fillId="0" borderId="22" xfId="0" applyFont="1" applyBorder="1" applyAlignment="1">
      <alignment horizontal="center"/>
    </xf>
    <xf numFmtId="0" fontId="44" fillId="0" borderId="2" xfId="1" applyFont="1" applyBorder="1" applyAlignment="1">
      <alignment horizontal="center" vertical="center" wrapText="1"/>
    </xf>
    <xf numFmtId="0" fontId="44" fillId="0" borderId="2" xfId="1" applyFont="1" applyBorder="1" applyAlignment="1">
      <alignment horizontal="center"/>
    </xf>
    <xf numFmtId="0" fontId="44" fillId="0" borderId="2" xfId="1" applyFont="1" applyBorder="1" applyAlignment="1">
      <alignment horizontal="center" vertical="center"/>
    </xf>
    <xf numFmtId="0" fontId="47" fillId="0" borderId="2" xfId="1" applyFont="1" applyBorder="1" applyAlignment="1">
      <alignment horizontal="left" wrapText="1"/>
    </xf>
    <xf numFmtId="0" fontId="47" fillId="0" borderId="2" xfId="1" applyFont="1" applyBorder="1" applyAlignment="1">
      <alignment horizontal="left" vertical="center"/>
    </xf>
    <xf numFmtId="0" fontId="44" fillId="0" borderId="2" xfId="1" applyFont="1" applyBorder="1" applyAlignment="1">
      <alignment horizontal="left" vertical="center" wrapText="1"/>
    </xf>
    <xf numFmtId="0" fontId="47" fillId="0" borderId="2" xfId="1" applyFont="1" applyBorder="1" applyAlignment="1">
      <alignment horizontal="left" vertical="center" wrapText="1"/>
    </xf>
    <xf numFmtId="0" fontId="68" fillId="0" borderId="2" xfId="0" applyFont="1" applyBorder="1" applyAlignment="1">
      <alignment horizontal="left"/>
    </xf>
    <xf numFmtId="0" fontId="65" fillId="0" borderId="2" xfId="1" applyFont="1" applyBorder="1" applyAlignment="1">
      <alignment horizontal="right" vertical="center" wrapText="1"/>
    </xf>
    <xf numFmtId="0" fontId="69" fillId="0" borderId="2" xfId="0" applyFont="1" applyBorder="1" applyAlignment="1">
      <alignment horizontal="right"/>
    </xf>
    <xf numFmtId="0" fontId="68" fillId="0" borderId="2" xfId="0" applyFont="1" applyBorder="1"/>
    <xf numFmtId="0" fontId="11" fillId="0" borderId="2" xfId="0" applyFont="1" applyBorder="1"/>
    <xf numFmtId="0" fontId="69" fillId="0" borderId="2" xfId="0" applyFont="1" applyBorder="1"/>
    <xf numFmtId="0" fontId="47" fillId="0" borderId="3" xfId="1" applyFont="1" applyBorder="1" applyAlignment="1">
      <alignment horizontal="center" vertical="center"/>
    </xf>
    <xf numFmtId="0" fontId="47" fillId="0" borderId="6" xfId="1" applyFont="1" applyBorder="1" applyAlignment="1">
      <alignment horizontal="center" vertical="center"/>
    </xf>
    <xf numFmtId="0" fontId="65" fillId="0" borderId="90" xfId="1" applyFont="1" applyBorder="1" applyAlignment="1">
      <alignment horizontal="center" vertical="center"/>
    </xf>
    <xf numFmtId="46" fontId="67" fillId="0" borderId="89" xfId="1" applyNumberFormat="1" applyFont="1" applyBorder="1" applyAlignment="1">
      <alignment horizontal="center" vertical="center"/>
    </xf>
    <xf numFmtId="166" fontId="47" fillId="0" borderId="2" xfId="1" applyNumberFormat="1" applyFont="1" applyBorder="1" applyAlignment="1">
      <alignment horizontal="center"/>
    </xf>
    <xf numFmtId="0" fontId="68" fillId="0" borderId="2" xfId="0" applyFont="1" applyBorder="1" applyAlignment="1">
      <alignment horizontal="left" vertical="center"/>
    </xf>
    <xf numFmtId="49" fontId="47" fillId="0" borderId="2" xfId="1" applyNumberFormat="1" applyFont="1" applyBorder="1" applyAlignment="1">
      <alignment horizontal="left" vertical="center"/>
    </xf>
    <xf numFmtId="166" fontId="47" fillId="0" borderId="2" xfId="1" applyNumberFormat="1" applyFont="1" applyBorder="1" applyAlignment="1">
      <alignment horizontal="left" vertical="center"/>
    </xf>
    <xf numFmtId="0" fontId="68" fillId="0" borderId="2" xfId="0" applyFont="1" applyBorder="1" applyAlignment="1">
      <alignment horizontal="center" vertical="center"/>
    </xf>
    <xf numFmtId="0" fontId="69" fillId="0" borderId="2" xfId="0" applyFont="1" applyBorder="1" applyAlignment="1">
      <alignment horizontal="center" vertical="center"/>
    </xf>
    <xf numFmtId="46" fontId="47" fillId="0" borderId="2" xfId="1" applyNumberFormat="1" applyFont="1" applyBorder="1" applyAlignment="1">
      <alignment horizontal="left" vertical="center" wrapText="1"/>
    </xf>
    <xf numFmtId="44" fontId="0" fillId="0" borderId="4" xfId="2" applyFont="1" applyFill="1" applyBorder="1" applyAlignment="1">
      <alignment horizontal="center" vertical="center"/>
    </xf>
    <xf numFmtId="0" fontId="67" fillId="5" borderId="2" xfId="0" applyFont="1" applyFill="1" applyBorder="1"/>
    <xf numFmtId="0" fontId="49" fillId="5" borderId="2" xfId="0" applyFont="1" applyFill="1" applyBorder="1" applyAlignment="1">
      <alignment wrapText="1"/>
    </xf>
    <xf numFmtId="0" fontId="65" fillId="5" borderId="2" xfId="0" applyFont="1" applyFill="1" applyBorder="1"/>
    <xf numFmtId="0" fontId="47" fillId="5" borderId="2" xfId="0" applyFont="1" applyFill="1" applyBorder="1"/>
    <xf numFmtId="0" fontId="47" fillId="6" borderId="2" xfId="0" applyFont="1" applyFill="1" applyBorder="1"/>
    <xf numFmtId="0" fontId="47" fillId="5" borderId="2" xfId="0" applyFont="1" applyFill="1" applyBorder="1" applyAlignment="1">
      <alignment wrapText="1"/>
    </xf>
    <xf numFmtId="0" fontId="47" fillId="6" borderId="2" xfId="0" applyFont="1" applyFill="1" applyBorder="1" applyAlignment="1">
      <alignment wrapText="1"/>
    </xf>
    <xf numFmtId="0" fontId="47" fillId="6" borderId="2" xfId="0" applyFont="1" applyFill="1" applyBorder="1" applyAlignment="1">
      <alignment horizontal="right"/>
    </xf>
    <xf numFmtId="0" fontId="68" fillId="0" borderId="0" xfId="0" applyFont="1"/>
    <xf numFmtId="0" fontId="47" fillId="5" borderId="2" xfId="0" applyFont="1" applyFill="1" applyBorder="1" applyAlignment="1">
      <alignment horizontal="right"/>
    </xf>
    <xf numFmtId="46" fontId="11" fillId="6" borderId="2" xfId="0" applyNumberFormat="1" applyFont="1" applyFill="1" applyBorder="1"/>
    <xf numFmtId="46" fontId="67" fillId="0" borderId="2" xfId="1" applyNumberFormat="1" applyFont="1" applyBorder="1" applyAlignment="1">
      <alignment horizontal="center" vertical="center" wrapText="1"/>
    </xf>
    <xf numFmtId="0" fontId="47" fillId="6" borderId="3" xfId="0" applyFont="1" applyFill="1" applyBorder="1"/>
    <xf numFmtId="0" fontId="47" fillId="5" borderId="3" xfId="0" applyFont="1" applyFill="1" applyBorder="1" applyAlignment="1">
      <alignment wrapText="1"/>
    </xf>
    <xf numFmtId="0" fontId="47" fillId="6" borderId="3" xfId="0" applyFont="1" applyFill="1" applyBorder="1" applyAlignment="1">
      <alignment wrapText="1"/>
    </xf>
    <xf numFmtId="0" fontId="47" fillId="5" borderId="3" xfId="0" applyFont="1" applyFill="1" applyBorder="1"/>
    <xf numFmtId="0" fontId="69" fillId="0" borderId="2" xfId="0" applyFont="1" applyBorder="1" applyAlignment="1">
      <alignment horizontal="center"/>
    </xf>
    <xf numFmtId="0" fontId="68" fillId="0" borderId="17" xfId="0" applyFont="1" applyBorder="1"/>
    <xf numFmtId="166" fontId="11" fillId="5" borderId="2" xfId="0" applyNumberFormat="1" applyFont="1" applyFill="1" applyBorder="1" applyAlignment="1">
      <alignment wrapText="1"/>
    </xf>
    <xf numFmtId="46" fontId="69" fillId="0" borderId="2" xfId="0" applyNumberFormat="1" applyFont="1" applyBorder="1"/>
    <xf numFmtId="46" fontId="11" fillId="0" borderId="2" xfId="0" applyNumberFormat="1" applyFont="1" applyBorder="1"/>
    <xf numFmtId="0" fontId="47" fillId="6" borderId="6" xfId="0" applyFont="1" applyFill="1" applyBorder="1"/>
    <xf numFmtId="0" fontId="49" fillId="5" borderId="7" xfId="0" applyFont="1" applyFill="1" applyBorder="1" applyAlignment="1">
      <alignment wrapText="1"/>
    </xf>
    <xf numFmtId="0" fontId="49" fillId="5" borderId="29" xfId="0" applyNumberFormat="1" applyFont="1" applyFill="1" applyBorder="1" applyAlignment="1">
      <alignment wrapText="1"/>
    </xf>
    <xf numFmtId="0" fontId="11" fillId="5" borderId="2" xfId="1" applyNumberFormat="1" applyFont="1" applyFill="1" applyBorder="1" applyAlignment="1"/>
    <xf numFmtId="0" fontId="12" fillId="5" borderId="2" xfId="1" applyNumberFormat="1" applyFont="1" applyFill="1" applyBorder="1" applyAlignment="1"/>
    <xf numFmtId="0" fontId="39" fillId="5" borderId="2" xfId="1" applyNumberFormat="1" applyFont="1" applyFill="1" applyBorder="1" applyAlignment="1"/>
    <xf numFmtId="0" fontId="49" fillId="5" borderId="2" xfId="0" applyNumberFormat="1" applyFont="1" applyFill="1" applyBorder="1" applyAlignment="1">
      <alignment wrapText="1"/>
    </xf>
    <xf numFmtId="0" fontId="67" fillId="5" borderId="2" xfId="0" applyFont="1" applyFill="1" applyBorder="1" applyAlignment="1">
      <alignment horizontal="center" wrapText="1"/>
    </xf>
    <xf numFmtId="0" fontId="49" fillId="5" borderId="2" xfId="0" applyFont="1" applyFill="1" applyBorder="1" applyAlignment="1">
      <alignment horizontal="left" wrapText="1"/>
    </xf>
    <xf numFmtId="166" fontId="49" fillId="5" borderId="2" xfId="0" applyNumberFormat="1" applyFont="1" applyFill="1" applyBorder="1" applyAlignment="1">
      <alignment wrapText="1"/>
    </xf>
    <xf numFmtId="166" fontId="11" fillId="5" borderId="2" xfId="1" applyNumberFormat="1" applyFont="1" applyFill="1" applyBorder="1" applyAlignment="1"/>
    <xf numFmtId="0" fontId="49" fillId="5" borderId="3" xfId="0" applyFont="1" applyFill="1" applyBorder="1" applyAlignment="1">
      <alignment wrapText="1"/>
    </xf>
    <xf numFmtId="0" fontId="12" fillId="0" borderId="17" xfId="0" applyFont="1" applyBorder="1"/>
    <xf numFmtId="0" fontId="17" fillId="0" borderId="90" xfId="0" applyFont="1" applyBorder="1"/>
    <xf numFmtId="166" fontId="17" fillId="0" borderId="89" xfId="0" applyNumberFormat="1" applyFont="1" applyBorder="1"/>
    <xf numFmtId="46" fontId="70" fillId="0" borderId="2" xfId="1" applyNumberFormat="1" applyFont="1" applyBorder="1" applyAlignment="1">
      <alignment horizontal="center" vertical="center"/>
    </xf>
    <xf numFmtId="0" fontId="47" fillId="6" borderId="2" xfId="1" applyFont="1" applyFill="1" applyBorder="1" applyAlignment="1">
      <alignment vertical="center" wrapText="1"/>
    </xf>
    <xf numFmtId="0" fontId="27" fillId="5" borderId="7" xfId="0" applyFont="1" applyFill="1" applyBorder="1"/>
    <xf numFmtId="0" fontId="20" fillId="5" borderId="7" xfId="0" applyFont="1" applyFill="1" applyBorder="1"/>
    <xf numFmtId="0" fontId="47" fillId="6" borderId="2" xfId="1" applyFont="1" applyFill="1" applyBorder="1" applyAlignment="1">
      <alignment horizontal="center" wrapText="1"/>
    </xf>
    <xf numFmtId="0" fontId="20" fillId="6" borderId="6" xfId="0" applyFont="1" applyFill="1" applyBorder="1"/>
    <xf numFmtId="0" fontId="20" fillId="6" borderId="2" xfId="0" applyFont="1" applyFill="1" applyBorder="1"/>
    <xf numFmtId="0" fontId="20" fillId="6" borderId="83" xfId="0" applyFont="1" applyFill="1" applyBorder="1" applyAlignment="1">
      <alignment horizontal="center" vertical="center" wrapText="1"/>
    </xf>
    <xf numFmtId="0" fontId="20" fillId="6" borderId="84" xfId="0" applyFont="1" applyFill="1" applyBorder="1" applyAlignment="1">
      <alignment horizontal="center" vertical="center" wrapText="1"/>
    </xf>
    <xf numFmtId="0" fontId="20" fillId="5" borderId="2" xfId="0" applyFont="1" applyFill="1" applyBorder="1"/>
    <xf numFmtId="166" fontId="47" fillId="6" borderId="2" xfId="1" applyNumberFormat="1" applyFont="1" applyFill="1" applyBorder="1" applyAlignment="1">
      <alignment horizontal="center" wrapText="1"/>
    </xf>
    <xf numFmtId="0" fontId="20" fillId="5" borderId="83" xfId="0" applyFont="1" applyFill="1" applyBorder="1" applyAlignment="1">
      <alignment horizontal="center" vertical="center" wrapText="1"/>
    </xf>
    <xf numFmtId="0" fontId="20" fillId="5" borderId="84" xfId="0" applyFont="1" applyFill="1" applyBorder="1" applyAlignment="1">
      <alignment horizontal="center" vertical="center" wrapText="1"/>
    </xf>
    <xf numFmtId="0" fontId="20" fillId="5" borderId="3" xfId="0" applyFont="1" applyFill="1" applyBorder="1" applyAlignment="1">
      <alignment wrapText="1"/>
    </xf>
    <xf numFmtId="0" fontId="20" fillId="6" borderId="2" xfId="0" applyFont="1" applyFill="1" applyBorder="1" applyAlignment="1">
      <alignment wrapText="1"/>
    </xf>
    <xf numFmtId="0" fontId="20" fillId="6" borderId="3" xfId="0" applyFont="1" applyFill="1" applyBorder="1" applyAlignment="1">
      <alignment wrapText="1"/>
    </xf>
    <xf numFmtId="0" fontId="20" fillId="6" borderId="3" xfId="0" applyFont="1" applyFill="1" applyBorder="1"/>
    <xf numFmtId="0" fontId="20" fillId="5" borderId="3" xfId="0" applyFont="1" applyFill="1" applyBorder="1"/>
    <xf numFmtId="0" fontId="20" fillId="6" borderId="2" xfId="0" applyFont="1" applyFill="1" applyBorder="1" applyAlignment="1">
      <alignment horizontal="right"/>
    </xf>
    <xf numFmtId="164" fontId="20" fillId="6" borderId="84" xfId="0" applyNumberFormat="1" applyFont="1" applyFill="1" applyBorder="1" applyAlignment="1">
      <alignment horizontal="center" vertical="center" wrapText="1"/>
    </xf>
    <xf numFmtId="0" fontId="20" fillId="5" borderId="126" xfId="0" applyFont="1" applyFill="1" applyBorder="1" applyAlignment="1">
      <alignment horizontal="center" vertical="center" wrapText="1"/>
    </xf>
    <xf numFmtId="166" fontId="34" fillId="5" borderId="127" xfId="0" applyNumberFormat="1" applyFont="1" applyFill="1" applyBorder="1" applyAlignment="1">
      <alignment horizontal="center" vertical="center" wrapText="1"/>
    </xf>
    <xf numFmtId="0" fontId="20" fillId="5" borderId="2" xfId="0" applyFont="1" applyFill="1" applyBorder="1" applyAlignment="1">
      <alignment horizontal="right"/>
    </xf>
    <xf numFmtId="46" fontId="33" fillId="6" borderId="3" xfId="0" applyNumberFormat="1" applyFont="1" applyFill="1" applyBorder="1"/>
    <xf numFmtId="0" fontId="47" fillId="6" borderId="2" xfId="1" applyFont="1" applyFill="1" applyBorder="1" applyAlignment="1">
      <alignment horizontal="center" vertical="center"/>
    </xf>
    <xf numFmtId="0" fontId="47" fillId="6" borderId="2" xfId="1" applyFont="1" applyFill="1" applyBorder="1" applyAlignment="1">
      <alignment horizontal="center" vertical="center" wrapText="1"/>
    </xf>
    <xf numFmtId="0" fontId="19" fillId="0" borderId="54" xfId="0" applyFont="1" applyBorder="1" applyAlignment="1">
      <alignment horizontal="center"/>
    </xf>
    <xf numFmtId="0" fontId="19" fillId="0" borderId="55" xfId="0" applyFont="1" applyBorder="1" applyAlignment="1">
      <alignment horizontal="center"/>
    </xf>
    <xf numFmtId="166" fontId="71" fillId="6" borderId="2" xfId="1" applyNumberFormat="1" applyFont="1" applyFill="1" applyBorder="1" applyAlignment="1">
      <alignment horizontal="center" wrapText="1"/>
    </xf>
    <xf numFmtId="44" fontId="44" fillId="0" borderId="2" xfId="3" applyFont="1" applyFill="1" applyBorder="1" applyAlignment="1">
      <alignment horizontal="center" vertical="center"/>
    </xf>
    <xf numFmtId="0" fontId="46" fillId="0" borderId="2" xfId="1" applyFont="1" applyBorder="1" applyAlignment="1">
      <alignment vertical="center" wrapText="1"/>
    </xf>
    <xf numFmtId="0" fontId="64" fillId="0" borderId="2" xfId="1" applyFont="1" applyBorder="1" applyAlignment="1">
      <alignment horizontal="center" vertical="center" wrapText="1"/>
    </xf>
    <xf numFmtId="0" fontId="64" fillId="0" borderId="2" xfId="1" applyFont="1" applyBorder="1" applyAlignment="1">
      <alignment vertical="center" wrapText="1"/>
    </xf>
    <xf numFmtId="0" fontId="64" fillId="0" borderId="2" xfId="1" applyFont="1" applyBorder="1" applyAlignment="1">
      <alignment vertical="center"/>
    </xf>
    <xf numFmtId="0" fontId="68" fillId="0" borderId="2" xfId="1" applyFont="1" applyBorder="1" applyAlignment="1">
      <alignment horizontal="left" vertical="center" wrapText="1"/>
    </xf>
    <xf numFmtId="49" fontId="68" fillId="0" borderId="2" xfId="1" applyNumberFormat="1" applyFont="1" applyBorder="1" applyAlignment="1">
      <alignment horizontal="left" vertical="center" wrapText="1"/>
    </xf>
    <xf numFmtId="166" fontId="68" fillId="0" borderId="2" xfId="1" applyNumberFormat="1" applyFont="1" applyBorder="1" applyAlignment="1">
      <alignment horizontal="left" vertical="center" wrapText="1"/>
    </xf>
    <xf numFmtId="0" fontId="12" fillId="0" borderId="49" xfId="0" applyFont="1" applyBorder="1" applyAlignment="1">
      <alignment horizontal="center"/>
    </xf>
    <xf numFmtId="0" fontId="68" fillId="0" borderId="3" xfId="1" applyFont="1" applyBorder="1" applyAlignment="1">
      <alignment horizontal="left" vertical="center" wrapText="1"/>
    </xf>
    <xf numFmtId="0" fontId="68" fillId="0" borderId="17" xfId="1" applyFont="1" applyBorder="1" applyAlignment="1">
      <alignment horizontal="left" vertical="center" wrapText="1"/>
    </xf>
    <xf numFmtId="0" fontId="20" fillId="5" borderId="1" xfId="0" applyFont="1" applyFill="1" applyBorder="1" applyAlignment="1">
      <alignment horizontal="center" vertical="center" wrapText="1"/>
    </xf>
    <xf numFmtId="0" fontId="20" fillId="5" borderId="13"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6" borderId="13" xfId="0" applyFont="1" applyFill="1" applyBorder="1" applyAlignment="1">
      <alignment horizontal="center" vertical="center" wrapText="1"/>
    </xf>
    <xf numFmtId="164" fontId="20" fillId="6" borderId="13" xfId="0" applyNumberFormat="1" applyFont="1" applyFill="1" applyBorder="1" applyAlignment="1">
      <alignment horizontal="center" vertical="center" wrapText="1"/>
    </xf>
    <xf numFmtId="0" fontId="20" fillId="5" borderId="129" xfId="0" applyFont="1" applyFill="1" applyBorder="1" applyAlignment="1">
      <alignment horizontal="center" vertical="center" wrapText="1"/>
    </xf>
    <xf numFmtId="166" fontId="34" fillId="5" borderId="128" xfId="0" applyNumberFormat="1" applyFont="1" applyFill="1" applyBorder="1" applyAlignment="1">
      <alignment horizontal="center" vertical="center" wrapText="1"/>
    </xf>
    <xf numFmtId="0" fontId="47" fillId="6" borderId="24" xfId="1" applyFont="1" applyFill="1" applyBorder="1" applyAlignment="1">
      <alignment horizontal="center" wrapText="1"/>
    </xf>
    <xf numFmtId="166" fontId="47" fillId="6" borderId="15" xfId="1" applyNumberFormat="1" applyFont="1" applyFill="1" applyBorder="1" applyAlignment="1">
      <alignment horizontal="center" wrapText="1"/>
    </xf>
    <xf numFmtId="0" fontId="20" fillId="5" borderId="30" xfId="0" applyFont="1" applyFill="1" applyBorder="1" applyAlignment="1">
      <alignment horizontal="center" vertical="center" wrapText="1"/>
    </xf>
    <xf numFmtId="0" fontId="20" fillId="5" borderId="18" xfId="0" applyFont="1" applyFill="1" applyBorder="1" applyAlignment="1">
      <alignment horizontal="center" vertical="center" wrapText="1"/>
    </xf>
    <xf numFmtId="0" fontId="27" fillId="6" borderId="59" xfId="0" applyFont="1" applyFill="1" applyBorder="1" applyAlignment="1">
      <alignment horizontal="center" vertical="center" wrapText="1"/>
    </xf>
    <xf numFmtId="0" fontId="27" fillId="6" borderId="58" xfId="0" applyFont="1" applyFill="1" applyBorder="1" applyAlignment="1">
      <alignment horizontal="center" vertical="center" wrapText="1"/>
    </xf>
    <xf numFmtId="0" fontId="68" fillId="0" borderId="31" xfId="1" applyFont="1" applyBorder="1" applyAlignment="1">
      <alignment horizontal="left" vertical="center" wrapText="1"/>
    </xf>
    <xf numFmtId="0" fontId="68" fillId="0" borderId="16" xfId="1" applyFont="1" applyBorder="1" applyAlignment="1">
      <alignment horizontal="left" vertical="center" wrapText="1"/>
    </xf>
    <xf numFmtId="0" fontId="68" fillId="0" borderId="13" xfId="1" applyFont="1" applyBorder="1" applyAlignment="1">
      <alignment horizontal="left" vertical="center" wrapText="1"/>
    </xf>
    <xf numFmtId="0" fontId="68" fillId="0" borderId="1" xfId="1" applyFont="1" applyBorder="1" applyAlignment="1">
      <alignment horizontal="left" vertical="center" wrapText="1"/>
    </xf>
    <xf numFmtId="0" fontId="68" fillId="0" borderId="24" xfId="1" applyFont="1" applyBorder="1" applyAlignment="1">
      <alignment horizontal="left" vertical="center" wrapText="1"/>
    </xf>
    <xf numFmtId="0" fontId="68" fillId="0" borderId="15" xfId="1" applyFont="1" applyBorder="1" applyAlignment="1">
      <alignment horizontal="left" vertical="center" wrapText="1"/>
    </xf>
    <xf numFmtId="0" fontId="68" fillId="0" borderId="6" xfId="1" applyFont="1" applyBorder="1" applyAlignment="1">
      <alignment horizontal="left" vertical="center" wrapText="1"/>
    </xf>
    <xf numFmtId="0" fontId="68" fillId="0" borderId="130" xfId="1" applyFont="1" applyBorder="1" applyAlignment="1">
      <alignment horizontal="left" vertical="center" wrapText="1"/>
    </xf>
    <xf numFmtId="0" fontId="69" fillId="0" borderId="89" xfId="1" applyFont="1" applyBorder="1" applyAlignment="1">
      <alignment horizontal="center" vertical="center" wrapText="1"/>
    </xf>
    <xf numFmtId="0" fontId="69" fillId="0" borderId="108" xfId="1" applyFont="1" applyBorder="1" applyAlignment="1">
      <alignment horizontal="center" vertical="center" wrapText="1"/>
    </xf>
    <xf numFmtId="0" fontId="68" fillId="0" borderId="73" xfId="1" applyFont="1" applyBorder="1" applyAlignment="1">
      <alignment horizontal="left" vertical="center" wrapText="1"/>
    </xf>
    <xf numFmtId="0" fontId="68" fillId="0" borderId="23" xfId="1" applyFont="1" applyBorder="1" applyAlignment="1">
      <alignment horizontal="left" vertical="center" wrapText="1"/>
    </xf>
    <xf numFmtId="46" fontId="44" fillId="0" borderId="2" xfId="1" applyNumberFormat="1" applyFont="1" applyBorder="1" applyAlignment="1">
      <alignment horizontal="center" vertical="center"/>
    </xf>
    <xf numFmtId="0" fontId="64" fillId="0" borderId="2" xfId="1" applyFont="1" applyBorder="1" applyAlignment="1">
      <alignment wrapText="1"/>
    </xf>
    <xf numFmtId="46" fontId="73" fillId="0" borderId="2" xfId="1" applyNumberFormat="1" applyFont="1" applyBorder="1" applyAlignment="1">
      <alignment vertical="center"/>
    </xf>
    <xf numFmtId="0" fontId="44" fillId="0" borderId="3" xfId="1" applyFont="1" applyBorder="1" applyAlignment="1">
      <alignment horizontal="center" vertical="center" wrapText="1"/>
    </xf>
    <xf numFmtId="0" fontId="44" fillId="0" borderId="8" xfId="1" applyFont="1" applyBorder="1" applyAlignment="1">
      <alignment horizontal="center" vertical="center" wrapText="1"/>
    </xf>
    <xf numFmtId="0" fontId="47" fillId="0" borderId="2" xfId="1" applyFont="1" applyBorder="1" applyAlignment="1">
      <alignment horizontal="right" vertical="center"/>
    </xf>
    <xf numFmtId="0" fontId="19" fillId="0" borderId="2" xfId="0" applyFont="1" applyBorder="1" applyAlignment="1">
      <alignment wrapText="1"/>
    </xf>
    <xf numFmtId="0" fontId="65" fillId="0" borderId="2" xfId="1" applyFont="1" applyBorder="1" applyAlignment="1">
      <alignment horizontal="left" vertical="center"/>
    </xf>
    <xf numFmtId="46" fontId="74" fillId="0" borderId="2" xfId="1" applyNumberFormat="1" applyFont="1" applyBorder="1" applyAlignment="1">
      <alignment horizontal="center" vertical="center"/>
    </xf>
    <xf numFmtId="49" fontId="47" fillId="0" borderId="2" xfId="1" applyNumberFormat="1" applyFont="1" applyBorder="1" applyAlignment="1">
      <alignment horizontal="left" vertical="center" wrapText="1"/>
    </xf>
    <xf numFmtId="166" fontId="47" fillId="0" borderId="2" xfId="1" applyNumberFormat="1" applyFont="1" applyBorder="1" applyAlignment="1">
      <alignment horizontal="left" vertical="center" wrapText="1"/>
    </xf>
    <xf numFmtId="46" fontId="71" fillId="0" borderId="2" xfId="1" applyNumberFormat="1" applyFont="1" applyBorder="1" applyAlignment="1">
      <alignment horizontal="left" vertical="center" wrapText="1"/>
    </xf>
    <xf numFmtId="49" fontId="47" fillId="0" borderId="2" xfId="1" applyNumberFormat="1" applyFont="1" applyBorder="1" applyAlignment="1">
      <alignment horizontal="center" vertical="center" wrapText="1"/>
    </xf>
    <xf numFmtId="166" fontId="47" fillId="0" borderId="2" xfId="1" applyNumberFormat="1" applyFont="1" applyBorder="1" applyAlignment="1">
      <alignment horizontal="center" vertical="center" wrapText="1"/>
    </xf>
    <xf numFmtId="46" fontId="65" fillId="0" borderId="2" xfId="1" applyNumberFormat="1" applyFont="1" applyBorder="1" applyAlignment="1">
      <alignment horizontal="center" vertical="center" wrapText="1"/>
    </xf>
    <xf numFmtId="46" fontId="71" fillId="0" borderId="2" xfId="1" applyNumberFormat="1" applyFont="1" applyBorder="1" applyAlignment="1">
      <alignment horizontal="center" vertical="center" wrapText="1"/>
    </xf>
    <xf numFmtId="46" fontId="33" fillId="0" borderId="13" xfId="0" applyNumberFormat="1" applyFont="1" applyBorder="1" applyAlignment="1">
      <alignment horizontal="center" vertical="center" wrapText="1"/>
    </xf>
    <xf numFmtId="166" fontId="72" fillId="0" borderId="9" xfId="1" applyNumberFormat="1" applyFont="1" applyBorder="1" applyAlignment="1">
      <alignment vertical="center" wrapText="1"/>
    </xf>
    <xf numFmtId="0" fontId="72" fillId="0" borderId="6" xfId="1" applyFont="1" applyBorder="1" applyAlignment="1">
      <alignment vertical="center" wrapText="1"/>
    </xf>
    <xf numFmtId="0" fontId="11" fillId="2" borderId="52" xfId="0" applyFont="1" applyFill="1" applyBorder="1" applyAlignment="1">
      <alignment horizontal="center"/>
    </xf>
    <xf numFmtId="0" fontId="11" fillId="2" borderId="53" xfId="0" applyFont="1" applyFill="1" applyBorder="1" applyAlignment="1">
      <alignment horizontal="center"/>
    </xf>
    <xf numFmtId="2" fontId="12" fillId="0" borderId="0" xfId="0" applyNumberFormat="1" applyFont="1" applyFill="1" applyBorder="1" applyAlignment="1">
      <alignment horizontal="center"/>
    </xf>
    <xf numFmtId="46" fontId="21" fillId="0" borderId="22" xfId="0" applyNumberFormat="1" applyFont="1" applyBorder="1"/>
    <xf numFmtId="0" fontId="11" fillId="2" borderId="8" xfId="0" applyFont="1" applyFill="1" applyBorder="1" applyAlignment="1">
      <alignment horizontal="center"/>
    </xf>
    <xf numFmtId="0" fontId="11" fillId="2" borderId="32" xfId="0" applyFont="1" applyFill="1" applyBorder="1" applyAlignment="1">
      <alignment horizontal="center"/>
    </xf>
    <xf numFmtId="0" fontId="16" fillId="2" borderId="23" xfId="0" applyFont="1" applyFill="1" applyBorder="1" applyAlignment="1">
      <alignment horizontal="center"/>
    </xf>
    <xf numFmtId="0" fontId="16" fillId="2" borderId="7" xfId="0" applyFont="1" applyFill="1" applyBorder="1" applyAlignment="1">
      <alignment horizontal="center"/>
    </xf>
    <xf numFmtId="0" fontId="16" fillId="2" borderId="29" xfId="0" applyFont="1" applyFill="1" applyBorder="1" applyAlignment="1">
      <alignment horizontal="center"/>
    </xf>
    <xf numFmtId="0" fontId="16" fillId="2" borderId="16" xfId="0" applyFont="1" applyFill="1" applyBorder="1" applyAlignment="1">
      <alignment horizontal="center"/>
    </xf>
    <xf numFmtId="0" fontId="19" fillId="0" borderId="5" xfId="0" applyFont="1" applyBorder="1" applyAlignment="1">
      <alignment horizontal="center"/>
    </xf>
    <xf numFmtId="0" fontId="0" fillId="0" borderId="4" xfId="0" applyBorder="1" applyAlignment="1">
      <alignment horizontal="center"/>
    </xf>
    <xf numFmtId="0" fontId="0" fillId="0" borderId="22" xfId="0" applyBorder="1" applyAlignment="1">
      <alignment horizontal="center"/>
    </xf>
    <xf numFmtId="0" fontId="19" fillId="0" borderId="10" xfId="0" applyFont="1" applyBorder="1" applyAlignment="1">
      <alignment horizontal="center"/>
    </xf>
    <xf numFmtId="0" fontId="0" fillId="0" borderId="11" xfId="0" applyBorder="1" applyAlignment="1">
      <alignment horizontal="center"/>
    </xf>
    <xf numFmtId="0" fontId="0" fillId="0" borderId="19" xfId="0" applyBorder="1" applyAlignment="1">
      <alignment horizontal="center"/>
    </xf>
    <xf numFmtId="0" fontId="18" fillId="2" borderId="23"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1" fillId="0" borderId="25" xfId="0" applyFont="1" applyFill="1" applyBorder="1" applyAlignment="1">
      <alignment horizontal="center" vertical="center"/>
    </xf>
    <xf numFmtId="0" fontId="11" fillId="0" borderId="20" xfId="0" applyFont="1" applyFill="1" applyBorder="1" applyAlignment="1">
      <alignment horizontal="center" vertical="center"/>
    </xf>
    <xf numFmtId="0" fontId="11" fillId="0" borderId="27" xfId="0" applyFont="1" applyFill="1" applyBorder="1" applyAlignment="1">
      <alignment horizontal="center" vertical="center"/>
    </xf>
    <xf numFmtId="0" fontId="11" fillId="0" borderId="26"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8" xfId="0" applyFont="1" applyFill="1" applyBorder="1" applyAlignment="1">
      <alignment horizontal="center" vertical="center"/>
    </xf>
    <xf numFmtId="0" fontId="17" fillId="2" borderId="43" xfId="0" applyFont="1" applyFill="1" applyBorder="1" applyAlignment="1">
      <alignment horizontal="left"/>
    </xf>
    <xf numFmtId="0" fontId="17" fillId="2" borderId="20" xfId="0" applyFont="1" applyFill="1" applyBorder="1" applyAlignment="1">
      <alignment horizontal="left"/>
    </xf>
    <xf numFmtId="0" fontId="17" fillId="2" borderId="44" xfId="0" applyFont="1" applyFill="1" applyBorder="1" applyAlignment="1">
      <alignment horizontal="left"/>
    </xf>
    <xf numFmtId="0" fontId="15" fillId="2" borderId="1" xfId="0" applyFont="1" applyFill="1" applyBorder="1" applyAlignment="1">
      <alignment horizontal="center"/>
    </xf>
    <xf numFmtId="0" fontId="15" fillId="2" borderId="2" xfId="0" applyFont="1" applyFill="1" applyBorder="1" applyAlignment="1">
      <alignment horizontal="center"/>
    </xf>
    <xf numFmtId="0" fontId="15" fillId="2" borderId="13" xfId="0" applyFont="1" applyFill="1" applyBorder="1" applyAlignment="1">
      <alignment horizontal="center"/>
    </xf>
    <xf numFmtId="0" fontId="12" fillId="0" borderId="2" xfId="0" applyFont="1" applyBorder="1" applyAlignment="1">
      <alignment horizontal="center"/>
    </xf>
    <xf numFmtId="0" fontId="12" fillId="0" borderId="13" xfId="0" applyFont="1" applyBorder="1" applyAlignment="1">
      <alignment horizontal="center"/>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94" xfId="0" applyFont="1" applyBorder="1" applyAlignment="1">
      <alignment horizontal="center"/>
    </xf>
    <xf numFmtId="0" fontId="19" fillId="0" borderId="95" xfId="0" applyFont="1" applyBorder="1" applyAlignment="1">
      <alignment horizontal="center"/>
    </xf>
    <xf numFmtId="0" fontId="19" fillId="0" borderId="100" xfId="0" applyFont="1" applyBorder="1" applyAlignment="1">
      <alignment horizontal="center"/>
    </xf>
    <xf numFmtId="0" fontId="19" fillId="0" borderId="103" xfId="0" applyFont="1" applyBorder="1" applyAlignment="1">
      <alignment horizontal="center"/>
    </xf>
    <xf numFmtId="0" fontId="0" fillId="0" borderId="105" xfId="0" applyBorder="1" applyAlignment="1">
      <alignment horizontal="center" vertical="center" wrapText="1"/>
    </xf>
    <xf numFmtId="0" fontId="0" fillId="0" borderId="104" xfId="0" applyBorder="1" applyAlignment="1">
      <alignment horizontal="center" vertical="center" wrapText="1"/>
    </xf>
    <xf numFmtId="0" fontId="0" fillId="0" borderId="106" xfId="0" applyBorder="1" applyAlignment="1">
      <alignment horizontal="center" vertical="center" wrapText="1"/>
    </xf>
    <xf numFmtId="0" fontId="52" fillId="0" borderId="2" xfId="1" applyFont="1" applyBorder="1" applyAlignment="1">
      <alignment horizontal="center" vertical="center" wrapText="1"/>
    </xf>
    <xf numFmtId="0" fontId="19" fillId="0" borderId="3"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2" xfId="0" applyFont="1" applyBorder="1" applyAlignment="1">
      <alignment horizontal="center" vertical="center"/>
    </xf>
    <xf numFmtId="0" fontId="19" fillId="0" borderId="3" xfId="0" applyFont="1" applyBorder="1" applyAlignment="1">
      <alignment horizontal="center" vertical="center"/>
    </xf>
    <xf numFmtId="0" fontId="19" fillId="0" borderId="37"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6" xfId="0" applyFont="1" applyBorder="1" applyAlignment="1">
      <alignment horizontal="center" vertical="center"/>
    </xf>
    <xf numFmtId="0" fontId="51" fillId="0" borderId="22" xfId="0" applyFont="1" applyBorder="1" applyAlignment="1">
      <alignment horizontal="center" vertical="center" wrapText="1"/>
    </xf>
    <xf numFmtId="0" fontId="51" fillId="0" borderId="74" xfId="0" applyFont="1" applyBorder="1" applyAlignment="1">
      <alignment horizontal="center" vertical="center" wrapText="1"/>
    </xf>
    <xf numFmtId="0" fontId="51" fillId="0" borderId="73" xfId="0" applyFont="1" applyBorder="1" applyAlignment="1">
      <alignment horizontal="center" vertical="center" wrapText="1"/>
    </xf>
    <xf numFmtId="0" fontId="0" fillId="0" borderId="10" xfId="0" applyBorder="1" applyAlignment="1">
      <alignment horizontal="center"/>
    </xf>
    <xf numFmtId="0" fontId="19" fillId="0" borderId="75" xfId="0" applyFont="1" applyBorder="1" applyAlignment="1">
      <alignment horizontal="center" vertical="center" wrapText="1"/>
    </xf>
    <xf numFmtId="0" fontId="19" fillId="0" borderId="74" xfId="0" applyFont="1" applyBorder="1" applyAlignment="1">
      <alignment horizontal="center" vertical="center" wrapText="1"/>
    </xf>
    <xf numFmtId="0" fontId="19" fillId="0" borderId="73"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0" xfId="0" applyFont="1" applyBorder="1" applyAlignment="1">
      <alignment horizontal="center" vertical="center" wrapText="1"/>
    </xf>
    <xf numFmtId="0" fontId="19" fillId="0" borderId="50" xfId="0" applyFont="1" applyBorder="1" applyAlignment="1">
      <alignment horizontal="center" vertical="center" wrapText="1"/>
    </xf>
    <xf numFmtId="0" fontId="19" fillId="0" borderId="51" xfId="0" applyFont="1" applyBorder="1" applyAlignment="1">
      <alignment horizontal="center" vertical="center" wrapText="1"/>
    </xf>
    <xf numFmtId="0" fontId="19" fillId="0" borderId="52" xfId="0" applyFont="1" applyBorder="1" applyAlignment="1">
      <alignment horizontal="center" vertical="center" wrapText="1"/>
    </xf>
    <xf numFmtId="0" fontId="19" fillId="0" borderId="53" xfId="0" applyFont="1" applyBorder="1" applyAlignment="1">
      <alignment horizontal="center" vertical="center" wrapText="1"/>
    </xf>
    <xf numFmtId="0" fontId="60" fillId="0" borderId="3" xfId="0" applyFont="1" applyBorder="1" applyAlignment="1">
      <alignment horizontal="center"/>
    </xf>
    <xf numFmtId="0" fontId="60" fillId="0" borderId="6" xfId="0" applyFont="1" applyBorder="1" applyAlignment="1">
      <alignment horizontal="center"/>
    </xf>
    <xf numFmtId="0" fontId="12" fillId="0" borderId="2" xfId="0" applyFont="1" applyBorder="1" applyAlignment="1">
      <alignment horizontal="center" vertical="center" wrapText="1"/>
    </xf>
    <xf numFmtId="0" fontId="12" fillId="0" borderId="13" xfId="0" applyFont="1" applyBorder="1" applyAlignment="1">
      <alignment horizontal="center" vertical="center" wrapText="1"/>
    </xf>
    <xf numFmtId="0" fontId="62" fillId="0" borderId="94" xfId="0" applyFont="1" applyBorder="1" applyAlignment="1">
      <alignment horizontal="left" vertical="center" wrapText="1"/>
    </xf>
    <xf numFmtId="0" fontId="62" fillId="0" borderId="46" xfId="0" applyFont="1" applyBorder="1" applyAlignment="1">
      <alignment horizontal="left" vertical="center" wrapText="1"/>
    </xf>
    <xf numFmtId="0" fontId="62" fillId="0" borderId="47" xfId="0" applyFont="1" applyBorder="1" applyAlignment="1">
      <alignment horizontal="left" vertical="center" wrapText="1"/>
    </xf>
    <xf numFmtId="0" fontId="60" fillId="0" borderId="2" xfId="0" applyFont="1" applyBorder="1" applyAlignment="1">
      <alignment horizontal="center" vertical="center" wrapText="1"/>
    </xf>
    <xf numFmtId="2" fontId="12" fillId="0" borderId="2" xfId="0" applyNumberFormat="1" applyFont="1" applyBorder="1" applyAlignment="1">
      <alignment horizontal="center" vertical="center" wrapText="1"/>
    </xf>
    <xf numFmtId="0" fontId="17" fillId="0" borderId="10" xfId="0" applyFont="1" applyBorder="1" applyAlignment="1">
      <alignment horizontal="center" vertical="center" wrapText="1"/>
    </xf>
    <xf numFmtId="0" fontId="0" fillId="0" borderId="11" xfId="0" applyBorder="1" applyAlignment="1">
      <alignment horizontal="center" vertical="center" wrapText="1"/>
    </xf>
    <xf numFmtId="0" fontId="0" fillId="0" borderId="19" xfId="0" applyBorder="1" applyAlignment="1">
      <alignment horizontal="center" vertical="center" wrapText="1"/>
    </xf>
    <xf numFmtId="0" fontId="60" fillId="0" borderId="32" xfId="0" applyFont="1" applyBorder="1" applyAlignment="1">
      <alignment horizontal="center"/>
    </xf>
    <xf numFmtId="0" fontId="19" fillId="0" borderId="3" xfId="0" applyFont="1" applyBorder="1" applyAlignment="1">
      <alignment horizontal="center"/>
    </xf>
    <xf numFmtId="0" fontId="19" fillId="0" borderId="32" xfId="0" applyFont="1" applyBorder="1" applyAlignment="1">
      <alignment horizontal="center"/>
    </xf>
    <xf numFmtId="0" fontId="63" fillId="2" borderId="52" xfId="1" applyFont="1" applyFill="1" applyBorder="1" applyAlignment="1">
      <alignment horizontal="center" vertical="center"/>
    </xf>
    <xf numFmtId="0" fontId="63" fillId="2" borderId="53" xfId="1" applyFont="1" applyFill="1" applyBorder="1" applyAlignment="1">
      <alignment horizontal="center" vertical="center"/>
    </xf>
    <xf numFmtId="0" fontId="12" fillId="0" borderId="3" xfId="0" applyFont="1" applyBorder="1" applyAlignment="1">
      <alignment horizontal="center"/>
    </xf>
    <xf numFmtId="0" fontId="12" fillId="0" borderId="6" xfId="0" applyFont="1" applyBorder="1" applyAlignment="1">
      <alignment horizontal="center"/>
    </xf>
    <xf numFmtId="0" fontId="11" fillId="2" borderId="52" xfId="0" applyFont="1" applyFill="1" applyBorder="1" applyAlignment="1">
      <alignment horizontal="center"/>
    </xf>
    <xf numFmtId="0" fontId="11" fillId="2" borderId="53" xfId="0" applyFont="1" applyFill="1" applyBorder="1" applyAlignment="1">
      <alignment horizontal="center"/>
    </xf>
    <xf numFmtId="0" fontId="13" fillId="0" borderId="3" xfId="0" applyFont="1" applyBorder="1" applyAlignment="1">
      <alignment horizontal="center" vertical="center"/>
    </xf>
    <xf numFmtId="0" fontId="13" fillId="0" borderId="6" xfId="0" applyFont="1" applyBorder="1" applyAlignment="1">
      <alignment horizontal="center" vertical="center"/>
    </xf>
    <xf numFmtId="0" fontId="19" fillId="0" borderId="22" xfId="0" applyFont="1" applyBorder="1" applyAlignment="1">
      <alignment horizontal="center" wrapText="1"/>
    </xf>
    <xf numFmtId="0" fontId="19" fillId="0" borderId="73" xfId="0" applyFont="1" applyBorder="1" applyAlignment="1">
      <alignment horizontal="center" wrapText="1"/>
    </xf>
    <xf numFmtId="0" fontId="8" fillId="0" borderId="94" xfId="1" applyFont="1" applyBorder="1" applyAlignment="1">
      <alignment horizontal="center"/>
    </xf>
    <xf numFmtId="0" fontId="8" fillId="0" borderId="47" xfId="1" applyFont="1" applyBorder="1" applyAlignment="1">
      <alignment horizontal="center"/>
    </xf>
    <xf numFmtId="0" fontId="17" fillId="2" borderId="43" xfId="1" applyFont="1" applyFill="1" applyBorder="1" applyAlignment="1">
      <alignment horizontal="left"/>
    </xf>
    <xf numFmtId="0" fontId="17" fillId="2" borderId="20" xfId="1" applyFont="1" applyFill="1" applyBorder="1" applyAlignment="1">
      <alignment horizontal="left"/>
    </xf>
    <xf numFmtId="0" fontId="17" fillId="2" borderId="44" xfId="1" applyFont="1" applyFill="1" applyBorder="1" applyAlignment="1">
      <alignment horizontal="left"/>
    </xf>
    <xf numFmtId="0" fontId="15" fillId="2" borderId="1" xfId="1" applyFont="1" applyFill="1" applyBorder="1" applyAlignment="1">
      <alignment horizontal="center"/>
    </xf>
    <xf numFmtId="0" fontId="15" fillId="2" borderId="2" xfId="1" applyFont="1" applyFill="1" applyBorder="1" applyAlignment="1">
      <alignment horizontal="center"/>
    </xf>
    <xf numFmtId="0" fontId="15" fillId="2" borderId="13" xfId="1" applyFont="1" applyFill="1" applyBorder="1" applyAlignment="1">
      <alignment horizontal="center"/>
    </xf>
    <xf numFmtId="0" fontId="12" fillId="0" borderId="2" xfId="1" applyFont="1" applyBorder="1" applyAlignment="1">
      <alignment horizontal="center"/>
    </xf>
    <xf numFmtId="0" fontId="12" fillId="0" borderId="13" xfId="1" applyFont="1" applyBorder="1" applyAlignment="1">
      <alignment horizontal="center"/>
    </xf>
    <xf numFmtId="0" fontId="17" fillId="0" borderId="75" xfId="1" applyFont="1" applyBorder="1" applyAlignment="1">
      <alignment horizontal="center" vertical="center" wrapText="1"/>
    </xf>
    <xf numFmtId="0" fontId="17" fillId="0" borderId="74" xfId="1" applyFont="1" applyBorder="1" applyAlignment="1">
      <alignment horizontal="center" vertical="center" wrapText="1"/>
    </xf>
    <xf numFmtId="0" fontId="17" fillId="0" borderId="73" xfId="1" applyFont="1" applyBorder="1" applyAlignment="1">
      <alignment horizontal="center" vertical="center" wrapText="1"/>
    </xf>
    <xf numFmtId="0" fontId="16" fillId="2" borderId="23" xfId="1" applyFont="1" applyFill="1" applyBorder="1" applyAlignment="1">
      <alignment horizontal="center"/>
    </xf>
    <xf numFmtId="0" fontId="16" fillId="2" borderId="7" xfId="1" applyFont="1" applyFill="1" applyBorder="1" applyAlignment="1">
      <alignment horizontal="center"/>
    </xf>
    <xf numFmtId="0" fontId="16" fillId="2" borderId="29" xfId="1" applyFont="1" applyFill="1" applyBorder="1" applyAlignment="1">
      <alignment horizontal="center"/>
    </xf>
    <xf numFmtId="0" fontId="16" fillId="2" borderId="16" xfId="1" applyFont="1" applyFill="1" applyBorder="1" applyAlignment="1">
      <alignment horizontal="center"/>
    </xf>
    <xf numFmtId="0" fontId="7" fillId="0" borderId="10" xfId="1" applyFont="1" applyBorder="1" applyAlignment="1">
      <alignment horizontal="center"/>
    </xf>
    <xf numFmtId="0" fontId="10" fillId="0" borderId="11" xfId="1" applyBorder="1" applyAlignment="1">
      <alignment horizontal="center"/>
    </xf>
    <xf numFmtId="0" fontId="10" fillId="0" borderId="19" xfId="1" applyBorder="1" applyAlignment="1">
      <alignment horizontal="center"/>
    </xf>
    <xf numFmtId="0" fontId="18" fillId="2" borderId="23" xfId="1" applyFont="1" applyFill="1" applyBorder="1" applyAlignment="1">
      <alignment horizontal="center" vertical="center" wrapText="1"/>
    </xf>
    <xf numFmtId="0" fontId="18" fillId="2" borderId="24" xfId="1" applyFont="1" applyFill="1" applyBorder="1" applyAlignment="1">
      <alignment horizontal="center" vertical="center" wrapText="1"/>
    </xf>
    <xf numFmtId="0" fontId="11" fillId="0" borderId="25" xfId="1" applyFont="1" applyFill="1" applyBorder="1" applyAlignment="1">
      <alignment horizontal="center" vertical="center"/>
    </xf>
    <xf numFmtId="0" fontId="11" fillId="0" borderId="20" xfId="1" applyFont="1" applyFill="1" applyBorder="1" applyAlignment="1">
      <alignment horizontal="center" vertical="center"/>
    </xf>
    <xf numFmtId="0" fontId="11" fillId="0" borderId="27" xfId="1" applyFont="1" applyFill="1" applyBorder="1" applyAlignment="1">
      <alignment horizontal="center" vertical="center"/>
    </xf>
    <xf numFmtId="0" fontId="11" fillId="0" borderId="26" xfId="1" applyFont="1" applyFill="1" applyBorder="1" applyAlignment="1">
      <alignment horizontal="center" vertical="center"/>
    </xf>
    <xf numFmtId="0" fontId="11" fillId="0" borderId="21" xfId="1" applyFont="1" applyFill="1" applyBorder="1" applyAlignment="1">
      <alignment horizontal="center" vertical="center"/>
    </xf>
    <xf numFmtId="0" fontId="11" fillId="0" borderId="28" xfId="1" applyFont="1" applyFill="1" applyBorder="1" applyAlignment="1">
      <alignment horizontal="center" vertical="center"/>
    </xf>
    <xf numFmtId="0" fontId="15" fillId="2" borderId="9" xfId="0" applyFont="1" applyFill="1" applyBorder="1" applyAlignment="1">
      <alignment horizontal="center"/>
    </xf>
    <xf numFmtId="0" fontId="15" fillId="2" borderId="8" xfId="0" applyFont="1" applyFill="1" applyBorder="1" applyAlignment="1">
      <alignment horizontal="center"/>
    </xf>
    <xf numFmtId="0" fontId="15" fillId="2" borderId="6" xfId="0" applyFont="1" applyFill="1" applyBorder="1" applyAlignment="1">
      <alignment horizontal="center"/>
    </xf>
    <xf numFmtId="0" fontId="15" fillId="2" borderId="3" xfId="0" applyFont="1" applyFill="1" applyBorder="1" applyAlignment="1">
      <alignment horizontal="center"/>
    </xf>
    <xf numFmtId="0" fontId="15" fillId="2" borderId="32" xfId="0" applyFont="1" applyFill="1" applyBorder="1" applyAlignment="1">
      <alignment horizontal="center"/>
    </xf>
    <xf numFmtId="0" fontId="12" fillId="0" borderId="22" xfId="0" applyFont="1" applyBorder="1" applyAlignment="1">
      <alignment horizontal="center"/>
    </xf>
    <xf numFmtId="0" fontId="12" fillId="0" borderId="73" xfId="0" applyFont="1" applyBorder="1" applyAlignment="1">
      <alignment horizontal="center"/>
    </xf>
    <xf numFmtId="0" fontId="48" fillId="0" borderId="96" xfId="1" applyFont="1" applyBorder="1" applyAlignment="1">
      <alignment horizontal="center" vertical="center"/>
    </xf>
    <xf numFmtId="2" fontId="49" fillId="0" borderId="96" xfId="1" applyNumberFormat="1" applyFont="1" applyBorder="1" applyAlignment="1">
      <alignment horizontal="center"/>
    </xf>
    <xf numFmtId="0" fontId="20" fillId="0" borderId="96" xfId="1" applyFont="1" applyBorder="1" applyAlignment="1">
      <alignment horizontal="center" vertical="center" wrapText="1"/>
    </xf>
    <xf numFmtId="0" fontId="17" fillId="0" borderId="90" xfId="0" applyFont="1" applyBorder="1" applyAlignment="1">
      <alignment horizontal="center"/>
    </xf>
    <xf numFmtId="0" fontId="17" fillId="0" borderId="91" xfId="0" applyFont="1" applyBorder="1" applyAlignment="1">
      <alignment horizontal="center"/>
    </xf>
    <xf numFmtId="0" fontId="20" fillId="0" borderId="90" xfId="1" applyFont="1" applyBorder="1" applyAlignment="1">
      <alignment horizontal="center" vertical="center" wrapText="1"/>
    </xf>
    <xf numFmtId="0" fontId="20" fillId="0" borderId="91" xfId="1" applyFont="1" applyBorder="1" applyAlignment="1">
      <alignment horizontal="center" vertical="center" wrapText="1"/>
    </xf>
    <xf numFmtId="2" fontId="49" fillId="0" borderId="101" xfId="1" applyNumberFormat="1" applyFont="1" applyBorder="1" applyAlignment="1">
      <alignment horizontal="center"/>
    </xf>
    <xf numFmtId="2" fontId="49" fillId="0" borderId="102" xfId="1" applyNumberFormat="1" applyFont="1" applyBorder="1" applyAlignment="1">
      <alignment horizontal="center"/>
    </xf>
    <xf numFmtId="0" fontId="19" fillId="0" borderId="9" xfId="0" applyFont="1" applyBorder="1" applyAlignment="1">
      <alignment horizontal="center" vertical="center" wrapText="1"/>
    </xf>
    <xf numFmtId="0" fontId="19" fillId="0" borderId="8" xfId="0" applyFont="1" applyBorder="1" applyAlignment="1">
      <alignment horizontal="center" vertical="center" wrapText="1"/>
    </xf>
    <xf numFmtId="0" fontId="2" fillId="0" borderId="10" xfId="1" applyFont="1" applyBorder="1" applyAlignment="1">
      <alignment horizontal="center" vertical="center" wrapText="1"/>
    </xf>
    <xf numFmtId="0" fontId="10" fillId="0" borderId="11" xfId="1" applyBorder="1" applyAlignment="1">
      <alignment horizontal="center" vertical="center" wrapText="1"/>
    </xf>
    <xf numFmtId="0" fontId="10" fillId="0" borderId="19" xfId="1" applyBorder="1" applyAlignment="1">
      <alignment horizontal="center" vertical="center" wrapText="1"/>
    </xf>
    <xf numFmtId="0" fontId="37" fillId="0" borderId="45" xfId="1" applyFont="1" applyBorder="1" applyAlignment="1">
      <alignment horizontal="center" vertical="center" wrapText="1"/>
    </xf>
    <xf numFmtId="0" fontId="37" fillId="0" borderId="46" xfId="1" applyFont="1" applyBorder="1" applyAlignment="1">
      <alignment horizontal="center" vertical="center" wrapText="1"/>
    </xf>
    <xf numFmtId="0" fontId="37" fillId="0" borderId="47" xfId="1" applyFont="1" applyBorder="1" applyAlignment="1">
      <alignment horizontal="center" vertical="center" wrapText="1"/>
    </xf>
    <xf numFmtId="0" fontId="19" fillId="0" borderId="94" xfId="0" applyFont="1" applyBorder="1" applyAlignment="1">
      <alignment horizontal="center" vertical="center" wrapText="1"/>
    </xf>
    <xf numFmtId="0" fontId="19" fillId="0" borderId="95" xfId="0" applyFont="1" applyBorder="1" applyAlignment="1">
      <alignment horizontal="center" vertical="center" wrapText="1"/>
    </xf>
    <xf numFmtId="0" fontId="0" fillId="0" borderId="2" xfId="0" applyBorder="1" applyAlignment="1">
      <alignment horizontal="center" vertical="center"/>
    </xf>
    <xf numFmtId="0" fontId="19" fillId="0" borderId="31" xfId="0" applyFont="1" applyBorder="1" applyAlignment="1">
      <alignment horizontal="center" wrapText="1"/>
    </xf>
    <xf numFmtId="0" fontId="19" fillId="0" borderId="53" xfId="0" applyFont="1" applyBorder="1" applyAlignment="1">
      <alignment horizontal="center" wrapText="1"/>
    </xf>
    <xf numFmtId="0" fontId="19" fillId="0" borderId="10" xfId="0" applyFont="1" applyBorder="1" applyAlignment="1">
      <alignment horizontal="center" wrapText="1"/>
    </xf>
    <xf numFmtId="0" fontId="0" fillId="0" borderId="11" xfId="0" applyBorder="1" applyAlignment="1">
      <alignment horizontal="center" wrapText="1"/>
    </xf>
    <xf numFmtId="0" fontId="0" fillId="0" borderId="19" xfId="0" applyBorder="1" applyAlignment="1">
      <alignment horizontal="center" wrapText="1"/>
    </xf>
    <xf numFmtId="0" fontId="18" fillId="2" borderId="86" xfId="0" applyFont="1" applyFill="1" applyBorder="1" applyAlignment="1">
      <alignment horizontal="center" vertical="center" wrapText="1"/>
    </xf>
    <xf numFmtId="0" fontId="18" fillId="2" borderId="68" xfId="0" applyFont="1" applyFill="1" applyBorder="1" applyAlignment="1">
      <alignment horizontal="center" vertical="center" wrapText="1"/>
    </xf>
    <xf numFmtId="0" fontId="11" fillId="2" borderId="20" xfId="0" applyFont="1" applyFill="1" applyBorder="1" applyAlignment="1">
      <alignment horizontal="center"/>
    </xf>
    <xf numFmtId="0" fontId="11" fillId="2" borderId="44" xfId="0" applyFont="1" applyFill="1" applyBorder="1" applyAlignment="1">
      <alignment horizontal="center"/>
    </xf>
    <xf numFmtId="0" fontId="42" fillId="0" borderId="97" xfId="1" applyFont="1" applyBorder="1" applyAlignment="1">
      <alignment horizontal="center" vertical="center" wrapText="1"/>
    </xf>
    <xf numFmtId="0" fontId="42" fillId="0" borderId="8" xfId="1" applyFont="1" applyBorder="1" applyAlignment="1">
      <alignment horizontal="center" vertical="center" wrapText="1"/>
    </xf>
    <xf numFmtId="0" fontId="42" fillId="0" borderId="98" xfId="1" applyFont="1" applyBorder="1" applyAlignment="1">
      <alignment horizontal="center" vertical="center" wrapText="1"/>
    </xf>
    <xf numFmtId="0" fontId="19" fillId="0" borderId="10" xfId="0" applyFont="1" applyBorder="1" applyAlignment="1">
      <alignment horizontal="center" vertical="center" wrapText="1"/>
    </xf>
    <xf numFmtId="0" fontId="44" fillId="0" borderId="2" xfId="1" applyFont="1" applyBorder="1" applyAlignment="1">
      <alignment horizontal="center" vertical="center" wrapText="1"/>
    </xf>
    <xf numFmtId="0" fontId="45" fillId="0" borderId="2" xfId="1" applyFont="1" applyBorder="1" applyAlignment="1">
      <alignment horizontal="center" vertical="center" wrapText="1"/>
    </xf>
    <xf numFmtId="0" fontId="0" fillId="0" borderId="32" xfId="0" applyBorder="1" applyAlignment="1">
      <alignment horizontal="center"/>
    </xf>
    <xf numFmtId="0" fontId="15" fillId="2" borderId="9" xfId="0" applyFont="1" applyFill="1" applyBorder="1" applyAlignment="1">
      <alignment horizontal="center" wrapText="1"/>
    </xf>
    <xf numFmtId="0" fontId="15" fillId="2" borderId="8" xfId="0" applyFont="1" applyFill="1" applyBorder="1" applyAlignment="1">
      <alignment horizontal="center" wrapText="1"/>
    </xf>
    <xf numFmtId="0" fontId="15" fillId="2" borderId="32" xfId="0" applyFont="1" applyFill="1" applyBorder="1" applyAlignment="1">
      <alignment horizontal="center" wrapText="1"/>
    </xf>
    <xf numFmtId="0" fontId="12" fillId="0" borderId="0" xfId="0" applyFont="1" applyBorder="1" applyAlignment="1">
      <alignment horizontal="center" vertical="center" wrapText="1"/>
    </xf>
    <xf numFmtId="0" fontId="12" fillId="0" borderId="50" xfId="0" applyFont="1" applyBorder="1" applyAlignment="1">
      <alignment horizontal="center" vertical="center" wrapText="1"/>
    </xf>
    <xf numFmtId="0" fontId="19" fillId="0" borderId="94" xfId="0" applyFont="1" applyBorder="1" applyAlignment="1">
      <alignment horizontal="center" vertical="center"/>
    </xf>
    <xf numFmtId="0" fontId="19" fillId="0" borderId="95" xfId="0" applyFont="1" applyBorder="1" applyAlignment="1">
      <alignment horizontal="center" vertical="center"/>
    </xf>
    <xf numFmtId="0" fontId="0" fillId="0" borderId="124" xfId="0" applyBorder="1" applyAlignment="1">
      <alignment horizontal="center"/>
    </xf>
    <xf numFmtId="0" fontId="0" fillId="0" borderId="125" xfId="0" applyBorder="1" applyAlignment="1">
      <alignment horizontal="center"/>
    </xf>
    <xf numFmtId="0" fontId="10" fillId="0" borderId="3" xfId="1" applyBorder="1" applyAlignment="1">
      <alignment horizontal="center" vertical="center"/>
    </xf>
    <xf numFmtId="0" fontId="10" fillId="0" borderId="32" xfId="1" applyBorder="1" applyAlignment="1">
      <alignment horizontal="center" vertical="center"/>
    </xf>
    <xf numFmtId="2" fontId="1" fillId="0" borderId="3" xfId="1" applyNumberFormat="1" applyFont="1" applyBorder="1" applyAlignment="1">
      <alignment horizontal="center" vertical="center"/>
    </xf>
    <xf numFmtId="2" fontId="1" fillId="0" borderId="6" xfId="1" applyNumberFormat="1" applyFont="1" applyBorder="1" applyAlignment="1">
      <alignment horizontal="center" vertical="center"/>
    </xf>
    <xf numFmtId="0" fontId="0" fillId="0" borderId="3" xfId="0" applyBorder="1" applyAlignment="1">
      <alignment horizontal="center"/>
    </xf>
    <xf numFmtId="0" fontId="0" fillId="0" borderId="5" xfId="0" applyBorder="1" applyAlignment="1">
      <alignment horizontal="center"/>
    </xf>
    <xf numFmtId="0" fontId="19" fillId="0" borderId="94" xfId="1" applyFont="1" applyBorder="1" applyAlignment="1">
      <alignment horizontal="center" vertical="center" wrapText="1"/>
    </xf>
    <xf numFmtId="0" fontId="19" fillId="0" borderId="95" xfId="1" applyFont="1" applyBorder="1" applyAlignment="1">
      <alignment horizontal="center" vertical="center" wrapText="1"/>
    </xf>
    <xf numFmtId="0" fontId="9" fillId="0" borderId="94" xfId="1" applyFont="1" applyBorder="1" applyAlignment="1">
      <alignment horizontal="center" vertical="center" wrapText="1"/>
    </xf>
    <xf numFmtId="0" fontId="9" fillId="0" borderId="47" xfId="1" applyFont="1" applyBorder="1" applyAlignment="1">
      <alignment horizontal="center" vertical="center" wrapText="1"/>
    </xf>
    <xf numFmtId="0" fontId="8" fillId="0" borderId="74" xfId="1" applyFont="1" applyBorder="1" applyAlignment="1">
      <alignment horizontal="center" vertical="center" wrapText="1"/>
    </xf>
    <xf numFmtId="0" fontId="9" fillId="0" borderId="74" xfId="1" applyFont="1" applyBorder="1" applyAlignment="1">
      <alignment horizontal="center" vertical="center" wrapText="1"/>
    </xf>
    <xf numFmtId="0" fontId="9" fillId="0" borderId="73" xfId="1" applyFont="1" applyBorder="1" applyAlignment="1">
      <alignment horizontal="center" vertical="center" wrapText="1"/>
    </xf>
    <xf numFmtId="0" fontId="15" fillId="2" borderId="110" xfId="0" applyFont="1" applyFill="1" applyBorder="1" applyAlignment="1">
      <alignment horizontal="center" vertical="center"/>
    </xf>
    <xf numFmtId="0" fontId="15" fillId="2" borderId="111" xfId="0" applyFont="1" applyFill="1" applyBorder="1" applyAlignment="1">
      <alignment horizontal="center" vertical="center"/>
    </xf>
    <xf numFmtId="0" fontId="15" fillId="2" borderId="112" xfId="0" applyFont="1" applyFill="1" applyBorder="1" applyAlignment="1">
      <alignment horizontal="center" vertical="center"/>
    </xf>
    <xf numFmtId="0" fontId="19" fillId="0" borderId="47" xfId="0" applyFont="1" applyBorder="1" applyAlignment="1">
      <alignment horizontal="center"/>
    </xf>
    <xf numFmtId="0" fontId="17" fillId="2" borderId="43"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9" fillId="0" borderId="2" xfId="0" applyFont="1" applyBorder="1" applyAlignment="1">
      <alignment horizontal="center" vertical="center" wrapText="1"/>
    </xf>
    <xf numFmtId="0" fontId="53" fillId="0" borderId="9" xfId="1" applyFont="1" applyBorder="1" applyAlignment="1">
      <alignment horizontal="center" vertical="center" wrapText="1"/>
    </xf>
    <xf numFmtId="0" fontId="53" fillId="0" borderId="8" xfId="1" applyFont="1" applyBorder="1" applyAlignment="1">
      <alignment horizontal="center" vertical="center" wrapText="1"/>
    </xf>
    <xf numFmtId="0" fontId="53" fillId="0" borderId="32" xfId="1" applyFont="1" applyBorder="1" applyAlignment="1">
      <alignment horizontal="center" vertical="center" wrapText="1"/>
    </xf>
    <xf numFmtId="0" fontId="19" fillId="0" borderId="5" xfId="0" applyFont="1" applyBorder="1" applyAlignment="1">
      <alignment horizontal="center" vertical="center"/>
    </xf>
    <xf numFmtId="0" fontId="0" fillId="0" borderId="4" xfId="0" applyBorder="1" applyAlignment="1">
      <alignment horizontal="center" vertical="center"/>
    </xf>
    <xf numFmtId="0" fontId="0" fillId="0" borderId="22" xfId="0" applyBorder="1" applyAlignment="1">
      <alignment horizontal="center" vertical="center"/>
    </xf>
    <xf numFmtId="0" fontId="69" fillId="0" borderId="9" xfId="1" applyFont="1" applyBorder="1" applyAlignment="1">
      <alignment horizontal="center" vertical="center" wrapText="1"/>
    </xf>
    <xf numFmtId="0" fontId="69" fillId="0" borderId="6" xfId="1" applyFont="1" applyBorder="1" applyAlignment="1">
      <alignment horizontal="center" vertical="center" wrapText="1"/>
    </xf>
    <xf numFmtId="0" fontId="17" fillId="0" borderId="7" xfId="0" applyFont="1" applyBorder="1"/>
    <xf numFmtId="0" fontId="0" fillId="0" borderId="20" xfId="0" applyBorder="1"/>
    <xf numFmtId="0" fontId="0" fillId="0" borderId="44" xfId="0" applyBorder="1"/>
    <xf numFmtId="0" fontId="17" fillId="0" borderId="1" xfId="0" applyFont="1" applyBorder="1"/>
    <xf numFmtId="0" fontId="0" fillId="0" borderId="0" xfId="0" applyBorder="1" applyAlignment="1">
      <alignment horizontal="right"/>
    </xf>
    <xf numFmtId="0" fontId="17" fillId="0" borderId="1" xfId="0" applyFont="1" applyBorder="1" applyAlignment="1">
      <alignment horizontal="center" vertical="center"/>
    </xf>
    <xf numFmtId="0" fontId="17" fillId="0" borderId="1" xfId="0" applyFont="1" applyBorder="1" applyAlignment="1">
      <alignment horizontal="center"/>
    </xf>
    <xf numFmtId="0" fontId="0" fillId="0" borderId="131" xfId="0" applyBorder="1"/>
    <xf numFmtId="0" fontId="0" fillId="0" borderId="21" xfId="0" applyBorder="1"/>
    <xf numFmtId="0" fontId="0" fillId="0" borderId="132" xfId="0" applyBorder="1"/>
    <xf numFmtId="0" fontId="44" fillId="0" borderId="2" xfId="1" applyFont="1" applyBorder="1" applyAlignment="1">
      <alignment horizontal="center" wrapText="1"/>
    </xf>
  </cellXfs>
  <cellStyles count="4">
    <cellStyle name="Monétaire" xfId="3" builtinId="4"/>
    <cellStyle name="Monétaire 2" xfId="2"/>
    <cellStyle name="Normal" xfId="0" builtinId="0"/>
    <cellStyle name="Normal 2" xfId="1"/>
  </cellStyles>
  <dxfs count="259">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border>
    </dxf>
    <dxf>
      <border diagonalUp="0" diagonalDown="0">
        <left style="thin">
          <color auto="1"/>
        </left>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border diagonalUp="0" diagonalDown="0">
        <left style="thin">
          <color auto="1"/>
        </left>
        <right style="thin">
          <color auto="1"/>
        </right>
        <top/>
        <bottom/>
        <vertical style="thin">
          <color auto="1"/>
        </vertical>
        <horizontal/>
      </border>
    </dxf>
    <dxf>
      <font>
        <b val="0"/>
        <i val="0"/>
        <strike val="0"/>
        <condense val="0"/>
        <extend val="0"/>
        <outline val="0"/>
        <shadow val="0"/>
        <u val="none"/>
        <vertAlign val="baseline"/>
        <sz val="10"/>
        <color auto="1"/>
        <name val="Arial"/>
        <scheme val="none"/>
      </font>
      <border diagonalUp="0" diagonalDown="0">
        <left/>
        <right style="thin">
          <color auto="1"/>
        </right>
        <top/>
        <bottom/>
        <vertical style="thin">
          <color auto="1"/>
        </vertical>
        <horizontal/>
      </border>
    </dxf>
    <dxf>
      <numFmt numFmtId="0" formatCode="General"/>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none"/>
      </font>
      <fill>
        <patternFill patternType="solid">
          <fgColor theme="9" tint="0.79998168889431442"/>
          <bgColor theme="0"/>
        </patternFill>
      </fill>
      <alignment horizontal="general"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font>
        <b val="0"/>
        <i val="0"/>
        <strike val="0"/>
        <condense val="0"/>
        <extend val="0"/>
        <outline val="0"/>
        <shadow val="0"/>
        <u val="none"/>
        <vertAlign val="baseline"/>
        <sz val="10"/>
        <color auto="1"/>
        <name val="Arial"/>
        <scheme val="none"/>
      </font>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border diagonalUp="0" diagonalDown="0">
        <left/>
        <right style="medium">
          <color indexed="64"/>
        </right>
        <top style="hair">
          <color auto="1"/>
        </top>
        <bottom style="hair">
          <color auto="1"/>
        </bottom>
        <vertical/>
        <horizontal/>
      </border>
    </dxf>
    <dxf>
      <border diagonalUp="0" diagonalDown="0">
        <left/>
        <right/>
        <top style="hair">
          <color auto="1"/>
        </top>
        <bottom style="hair">
          <color auto="1"/>
        </bottom>
        <vertical/>
        <horizontal/>
      </border>
    </dxf>
    <dxf>
      <border diagonalUp="0" diagonalDown="0">
        <left/>
        <right/>
        <top style="hair">
          <color auto="1"/>
        </top>
        <bottom style="hair">
          <color auto="1"/>
        </bottom>
        <vertical/>
        <horizontal/>
      </border>
    </dxf>
    <dxf>
      <alignment horizontal="center" vertical="center" textRotation="0" wrapText="1" indent="0" justifyLastLine="0" shrinkToFit="0" readingOrder="0"/>
      <border diagonalUp="0" diagonalDown="0">
        <left style="medium">
          <color indexed="64"/>
        </left>
        <right style="thin">
          <color indexed="64"/>
        </right>
        <top style="thin">
          <color indexed="64"/>
        </top>
        <bottom style="medium">
          <color indexed="64"/>
        </bottom>
        <vertical/>
        <horizontal/>
      </border>
    </dxf>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fill>
        <patternFill patternType="solid">
          <fgColor theme="9"/>
          <bgColor theme="9"/>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numFmt numFmtId="166" formatCode="[$-F400]h:mm:ss\ AM/PM"/>
    </dxf>
    <dxf>
      <font>
        <b val="0"/>
        <i val="0"/>
        <strike val="0"/>
        <condense val="0"/>
        <extend val="0"/>
        <outline val="0"/>
        <shadow val="0"/>
        <u val="none"/>
        <vertAlign val="baseline"/>
        <sz val="10"/>
        <color auto="1"/>
        <name val="Arial"/>
        <scheme val="none"/>
      </font>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right/>
        <top style="hair">
          <color auto="1"/>
        </top>
        <bottom style="hair">
          <color auto="1"/>
        </bottom>
        <vertical/>
        <horizontal/>
      </border>
    </dxf>
    <dxf>
      <border diagonalUp="0" diagonalDown="0">
        <left/>
        <right/>
        <top style="hair">
          <color auto="1"/>
        </top>
        <bottom style="hair">
          <color auto="1"/>
        </bottom>
        <vertical/>
        <horizontal/>
      </border>
    </dxf>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0"/>
        <color auto="1"/>
        <name val="Arial"/>
        <scheme val="none"/>
      </font>
      <border diagonalUp="0" diagonalDown="0">
        <left/>
        <right style="thin">
          <color auto="1"/>
        </right>
        <top style="thin">
          <color auto="1"/>
        </top>
        <bottom style="thin">
          <color auto="1"/>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left style="thin">
          <color auto="1"/>
        </left>
        <right style="thin">
          <color auto="1"/>
        </right>
        <top/>
        <bottom/>
        <vertical style="thin">
          <color auto="1"/>
        </vertical>
        <horizontal style="thin">
          <color auto="1"/>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Tableau1" displayName="Tableau1" ref="A16:B37" totalsRowShown="0" headerRowDxfId="258" headerRowBorderDxfId="257" tableBorderDxfId="256" totalsRowBorderDxfId="255">
  <autoFilter ref="A16:B37"/>
  <tableColumns count="2">
    <tableColumn id="1" name="Donnée" dataDxfId="254"/>
    <tableColumn id="2" name="Quantité" dataDxfId="253"/>
  </tableColumns>
  <tableStyleInfo name="TableStyleMedium7" showFirstColumn="0" showLastColumn="0" showRowStripes="1" showColumnStripes="0"/>
</table>
</file>

<file path=xl/tables/table2.xml><?xml version="1.0" encoding="utf-8"?>
<table xmlns="http://schemas.openxmlformats.org/spreadsheetml/2006/main" id="2" name="Tableau2" displayName="Tableau2" ref="D16:E40" totalsRowShown="0" headerRowDxfId="252" headerRowBorderDxfId="251" tableBorderDxfId="250" totalsRowBorderDxfId="249">
  <autoFilter ref="D16:E40"/>
  <tableColumns count="2">
    <tableColumn id="1" name="Donnée"/>
    <tableColumn id="2" name="Quantité"/>
  </tableColumns>
  <tableStyleInfo name="TableStyleMedium7" showFirstColumn="0" showLastColumn="0" showRowStripes="1" showColumnStripes="0"/>
</table>
</file>

<file path=xl/tables/table3.xml><?xml version="1.0" encoding="utf-8"?>
<table xmlns="http://schemas.openxmlformats.org/spreadsheetml/2006/main" id="4" name="Tableau319765" displayName="Tableau319765" ref="A17:F41" totalsRowShown="0" headerRowDxfId="248" headerRowBorderDxfId="247" tableBorderDxfId="246" totalsRowBorderDxfId="245">
  <autoFilter ref="A17:F41"/>
  <tableColumns count="6">
    <tableColumn id="1" name="Donnée" dataDxfId="244"/>
    <tableColumn id="2" name="Quantité" dataDxfId="243"/>
    <tableColumn id="3" name="donnée2" dataDxfId="242"/>
    <tableColumn id="4" name="quantité2" dataDxfId="241"/>
    <tableColumn id="5" name="quantité3" dataDxfId="240"/>
    <tableColumn id="6" name="quantité4" dataDxfId="239"/>
  </tableColumns>
  <tableStyleInfo name="TableStyleMedium7" showFirstColumn="0" showLastColumn="0" showRowStripes="1" showColumnStripes="0"/>
</table>
</file>

<file path=xl/tables/table4.xml><?xml version="1.0" encoding="utf-8"?>
<table xmlns="http://schemas.openxmlformats.org/spreadsheetml/2006/main" id="42" name="Tableau143" displayName="Tableau143" ref="A17:B40" totalsRowShown="0" headerRowDxfId="238" headerRowBorderDxfId="237" tableBorderDxfId="236" totalsRowBorderDxfId="235">
  <autoFilter ref="A17:B40"/>
  <tableColumns count="2">
    <tableColumn id="1" name="Donnée" dataDxfId="234"/>
    <tableColumn id="2" name="Quantité" dataDxfId="233"/>
  </tableColumns>
  <tableStyleInfo name="TableStyleMedium7" showFirstColumn="0" showLastColumn="0" showRowStripes="1" showColumnStripes="0"/>
</table>
</file>

<file path=xl/tables/table5.xml><?xml version="1.0" encoding="utf-8"?>
<table xmlns="http://schemas.openxmlformats.org/spreadsheetml/2006/main" id="43" name="Tableau244" displayName="Tableau244" ref="D17:E41" totalsRowShown="0" headerRowDxfId="232" headerRowBorderDxfId="231" tableBorderDxfId="230" totalsRowBorderDxfId="229">
  <autoFilter ref="D17:E41"/>
  <tableColumns count="2">
    <tableColumn id="1" name="Donnée"/>
    <tableColumn id="2" name="Quantité"/>
  </tableColumns>
  <tableStyleInfo name="TableStyleMedium7" showFirstColumn="0" showLastColumn="0" showRowStripes="1" showColumnStripes="0"/>
</table>
</file>

<file path=xl/tables/table6.xml><?xml version="1.0" encoding="utf-8"?>
<table xmlns="http://schemas.openxmlformats.org/spreadsheetml/2006/main" id="44" name="Tableau14345" displayName="Tableau14345" ref="C17:D40" totalsRowShown="0" headerRowDxfId="228" headerRowBorderDxfId="227" tableBorderDxfId="226" totalsRowBorderDxfId="225">
  <autoFilter ref="C17:D40"/>
  <tableColumns count="2">
    <tableColumn id="1" name="Donnée" dataDxfId="224"/>
    <tableColumn id="2" name="Quantité" dataDxfId="223"/>
  </tableColumns>
  <tableStyleInfo name="TableStyleMedium7" showFirstColumn="0" showLastColumn="0" showRowStripes="1" showColumnStripes="0"/>
</table>
</file>

<file path=xl/tables/table7.xml><?xml version="1.0" encoding="utf-8"?>
<table xmlns="http://schemas.openxmlformats.org/spreadsheetml/2006/main" id="48" name="Tableau24449" displayName="Tableau24449" ref="E17:F41" totalsRowShown="0" headerRowDxfId="222" headerRowBorderDxfId="221" tableBorderDxfId="220" totalsRowBorderDxfId="219">
  <autoFilter ref="E17:F41"/>
  <tableColumns count="2">
    <tableColumn id="1" name="Donnée"/>
    <tableColumn id="2" name="Quantité"/>
  </tableColumns>
  <tableStyleInfo name="TableStyleMedium7" showFirstColumn="0" showLastColumn="0" showRowStripes="1" showColumnStripes="0"/>
</table>
</file>

<file path=xl/tables/table8.xml><?xml version="1.0" encoding="utf-8"?>
<table xmlns="http://schemas.openxmlformats.org/spreadsheetml/2006/main" id="50" name="Tableau1434551" displayName="Tableau1434551" ref="A17:B40" totalsRowShown="0" headerRowDxfId="218" headerRowBorderDxfId="217" tableBorderDxfId="216" totalsRowBorderDxfId="215">
  <autoFilter ref="A17:B40"/>
  <tableColumns count="2">
    <tableColumn id="1" name="Donnée" dataDxfId="214"/>
    <tableColumn id="2" name="Quantité" dataDxfId="213"/>
  </tableColumns>
  <tableStyleInfo name="TableStyleMedium7" showFirstColumn="0" showLastColumn="0" showRowStripes="1" showColumnStripes="0"/>
</table>
</file>

<file path=xl/tables/table9.xml><?xml version="1.0" encoding="utf-8"?>
<table xmlns="http://schemas.openxmlformats.org/spreadsheetml/2006/main" id="11" name="Tableau613333512" displayName="Tableau613333512" ref="A15:B39" totalsRowShown="0" headerRowDxfId="212" dataDxfId="210" headerRowBorderDxfId="211" tableBorderDxfId="209" totalsRowBorderDxfId="208">
  <autoFilter ref="A15:B39"/>
  <tableColumns count="2">
    <tableColumn id="1" name="Donnée" dataDxfId="207"/>
    <tableColumn id="2" name="Quantité" dataDxfId="206"/>
  </tableColumns>
  <tableStyleInfo name="TableStyleMedium7" showFirstColumn="0" showLastColumn="0" showRowStripes="1" showColumnStripes="0"/>
</table>
</file>

<file path=xl/tables/table10.xml><?xml version="1.0" encoding="utf-8"?>
<table xmlns="http://schemas.openxmlformats.org/spreadsheetml/2006/main" id="33" name="Tableau5123234" displayName="Tableau5123234" ref="A18:B42" totalsRowShown="0" headerRowDxfId="205" headerRowBorderDxfId="204" tableBorderDxfId="203" totalsRowBorderDxfId="202">
  <autoFilter ref="A18:B42"/>
  <tableColumns count="2">
    <tableColumn id="1" name="Donnée" dataDxfId="201"/>
    <tableColumn id="2" name="Quantité" dataDxfId="200"/>
  </tableColumns>
  <tableStyleInfo name="TableStyleMedium7" showFirstColumn="0" showLastColumn="0" showRowStripes="1" showColumnStripes="0"/>
</table>
</file>

<file path=xl/tables/table11.xml><?xml version="1.0" encoding="utf-8"?>
<table xmlns="http://schemas.openxmlformats.org/spreadsheetml/2006/main" id="34" name="Tableau6133335" displayName="Tableau6133335" ref="D18:E42" totalsRowShown="0" headerRowDxfId="199" headerRowBorderDxfId="198" tableBorderDxfId="197" totalsRowBorderDxfId="196">
  <autoFilter ref="D18:E42"/>
  <tableColumns count="2">
    <tableColumn id="1" name="Donnée"/>
    <tableColumn id="2" name="Quantité"/>
  </tableColumns>
  <tableStyleInfo name="TableStyleMedium7" showFirstColumn="0" showLastColumn="0" showRowStripes="1" showColumnStripes="0"/>
</table>
</file>

<file path=xl/tables/table12.xml><?xml version="1.0" encoding="utf-8"?>
<table xmlns="http://schemas.openxmlformats.org/spreadsheetml/2006/main" id="12" name="Tableau51232386013" displayName="Tableau51232386013" ref="G18:H40" totalsRowShown="0" headerRowDxfId="195" headerRowBorderDxfId="194" tableBorderDxfId="193" totalsRowBorderDxfId="192">
  <autoFilter ref="G18:H40"/>
  <tableColumns count="2">
    <tableColumn id="1" name="Donnée" dataDxfId="191"/>
    <tableColumn id="2" name="Quantité" dataDxfId="190"/>
  </tableColumns>
  <tableStyleInfo name="TableStyleMedium7" showFirstColumn="0" showLastColumn="0" showRowStripes="1" showColumnStripes="0"/>
</table>
</file>

<file path=xl/tables/table13.xml><?xml version="1.0" encoding="utf-8"?>
<table xmlns="http://schemas.openxmlformats.org/spreadsheetml/2006/main" id="31" name="Tableau51232" displayName="Tableau51232" ref="A18:B40" totalsRowShown="0" headerRowDxfId="189" headerRowBorderDxfId="188" tableBorderDxfId="187" totalsRowBorderDxfId="186">
  <autoFilter ref="A18:B40"/>
  <tableColumns count="2">
    <tableColumn id="1" name="Donnée" dataDxfId="185"/>
    <tableColumn id="2" name="Quantité" dataDxfId="184"/>
  </tableColumns>
  <tableStyleInfo name="TableStyleMedium7" showFirstColumn="0" showLastColumn="0" showRowStripes="1" showColumnStripes="0"/>
</table>
</file>

<file path=xl/tables/table14.xml><?xml version="1.0" encoding="utf-8"?>
<table xmlns="http://schemas.openxmlformats.org/spreadsheetml/2006/main" id="32" name="Tableau61333" displayName="Tableau61333" ref="D18:E40" totalsRowShown="0" headerRowDxfId="183" headerRowBorderDxfId="182" tableBorderDxfId="181" totalsRowBorderDxfId="180">
  <autoFilter ref="D18:E40"/>
  <tableColumns count="2">
    <tableColumn id="1" name="Donnée" dataDxfId="179"/>
    <tableColumn id="2" name="Quantité" dataDxfId="178"/>
  </tableColumns>
  <tableStyleInfo name="TableStyleMedium7" showFirstColumn="0" showLastColumn="0" showRowStripes="1" showColumnStripes="0"/>
</table>
</file>

<file path=xl/tables/table15.xml><?xml version="1.0" encoding="utf-8"?>
<table xmlns="http://schemas.openxmlformats.org/spreadsheetml/2006/main" id="75" name="Tableau31976" displayName="Tableau31976" ref="A18:D43" totalsRowShown="0" headerRowDxfId="177" headerRowBorderDxfId="176" tableBorderDxfId="175" totalsRowBorderDxfId="174">
  <autoFilter ref="A18:D43"/>
  <tableColumns count="4">
    <tableColumn id="1" name="Donnée" dataDxfId="173"/>
    <tableColumn id="2" name="Quantité"/>
    <tableColumn id="3" name="Donnée2"/>
    <tableColumn id="4" name="quantité2" dataDxfId="172"/>
  </tableColumns>
  <tableStyleInfo name="TableStyleMedium7" showFirstColumn="0" showLastColumn="0" showRowStripes="1" showColumnStripes="0"/>
</table>
</file>

<file path=xl/tables/table16.xml><?xml version="1.0" encoding="utf-8"?>
<table xmlns="http://schemas.openxmlformats.org/spreadsheetml/2006/main" id="13" name="Tableau35" displayName="Tableau35" ref="A15:B30" totalsRowShown="0" headerRowDxfId="171" headerRowBorderDxfId="170" tableBorderDxfId="169" totalsRowBorderDxfId="168">
  <autoFilter ref="A15:B30"/>
  <tableColumns count="2">
    <tableColumn id="1" name="Donnée" dataDxfId="167"/>
    <tableColumn id="2" name="Quantité" dataDxfId="166"/>
  </tableColumns>
  <tableStyleInfo name="TableStyleMedium7" showFirstColumn="0" showLastColumn="0" showRowStripes="1" showColumnStripes="0"/>
</table>
</file>

<file path=xl/tables/table17.xml><?xml version="1.0" encoding="utf-8"?>
<table xmlns="http://schemas.openxmlformats.org/spreadsheetml/2006/main" id="14" name="Tableau336" displayName="Tableau336" ref="G15:H29" totalsRowShown="0" headerRowDxfId="165" headerRowBorderDxfId="164" tableBorderDxfId="163" totalsRowBorderDxfId="162">
  <autoFilter ref="G15:H29"/>
  <tableColumns count="2">
    <tableColumn id="1" name="Donnée" dataDxfId="161"/>
    <tableColumn id="2" name="Quantité"/>
  </tableColumns>
  <tableStyleInfo name="TableStyleMedium7" showFirstColumn="0" showLastColumn="0" showRowStripes="1" showColumnStripes="0"/>
</table>
</file>

<file path=xl/tables/table18.xml><?xml version="1.0" encoding="utf-8"?>
<table xmlns="http://schemas.openxmlformats.org/spreadsheetml/2006/main" id="15" name="Tableau47" displayName="Tableau47" ref="D15:E29" totalsRowShown="0" headerRowDxfId="160" headerRowBorderDxfId="159" tableBorderDxfId="158">
  <autoFilter ref="D15:E29"/>
  <tableColumns count="2">
    <tableColumn id="1" name="Donnée" dataDxfId="157"/>
    <tableColumn id="2" name="Quantité" dataDxfId="156"/>
  </tableColumns>
  <tableStyleInfo name="TableStyleMedium7" showFirstColumn="0" showLastColumn="0" showRowStripes="1" showColumnStripes="0"/>
</table>
</file>

<file path=xl/tables/table19.xml><?xml version="1.0" encoding="utf-8"?>
<table xmlns="http://schemas.openxmlformats.org/spreadsheetml/2006/main" id="37" name="Tableau5123238" displayName="Tableau5123238" ref="A14:B36" totalsRowShown="0" headerRowDxfId="155" headerRowBorderDxfId="154" tableBorderDxfId="153" totalsRowBorderDxfId="152">
  <autoFilter ref="A14:B36"/>
  <tableColumns count="2">
    <tableColumn id="1" name="Donnée" dataDxfId="151"/>
    <tableColumn id="2" name="Quantité" dataDxfId="150"/>
  </tableColumns>
  <tableStyleInfo name="TableStyleMedium7" showFirstColumn="0" showLastColumn="0" showRowStripes="1" showColumnStripes="0"/>
</table>
</file>

<file path=xl/tables/table20.xml><?xml version="1.0" encoding="utf-8"?>
<table xmlns="http://schemas.openxmlformats.org/spreadsheetml/2006/main" id="38" name="Tableau6133339" displayName="Tableau6133339" ref="D14:E36" totalsRowShown="0" headerRowDxfId="149" headerRowBorderDxfId="148" tableBorderDxfId="147" totalsRowBorderDxfId="146">
  <autoFilter ref="D14:E36"/>
  <tableColumns count="2">
    <tableColumn id="1" name="Donnée" dataDxfId="145"/>
    <tableColumn id="2" name="Quantité" dataDxfId="144"/>
  </tableColumns>
  <tableStyleInfo name="TableStyleMedium7" showFirstColumn="0" showLastColumn="0" showRowStripes="1" showColumnStripes="0"/>
</table>
</file>

<file path=xl/tables/table21.xml><?xml version="1.0" encoding="utf-8"?>
<table xmlns="http://schemas.openxmlformats.org/spreadsheetml/2006/main" id="36" name="Tableau51232385037" displayName="Tableau51232385037" ref="A14:B35" totalsRowShown="0" headerRowDxfId="143" headerRowBorderDxfId="142" tableBorderDxfId="141" totalsRowBorderDxfId="140">
  <autoFilter ref="A14:B35"/>
  <tableColumns count="2">
    <tableColumn id="1" name="Donnée" dataDxfId="139"/>
    <tableColumn id="2" name="Quantité" dataDxfId="138"/>
  </tableColumns>
  <tableStyleInfo name="TableStyleMedium7" showFirstColumn="0" showLastColumn="0" showRowStripes="1" showColumnStripes="0"/>
</table>
</file>

<file path=xl/tables/table22.xml><?xml version="1.0" encoding="utf-8"?>
<table xmlns="http://schemas.openxmlformats.org/spreadsheetml/2006/main" id="39" name="Tableau61333395140" displayName="Tableau61333395140" ref="D14:E19" totalsRowShown="0" headerRowDxfId="137" headerRowBorderDxfId="136" tableBorderDxfId="135" totalsRowBorderDxfId="134">
  <autoFilter ref="D14:E19"/>
  <tableColumns count="2">
    <tableColumn id="1" name="Donnée"/>
    <tableColumn id="2" name="Quantité"/>
  </tableColumns>
  <tableStyleInfo name="TableStyleMedium7" showFirstColumn="0" showLastColumn="0" showRowStripes="1" showColumnStripes="0"/>
</table>
</file>

<file path=xl/tables/table23.xml><?xml version="1.0" encoding="utf-8"?>
<table xmlns="http://schemas.openxmlformats.org/spreadsheetml/2006/main" id="40" name="Tableau319127541" displayName="Tableau319127541" ref="A16:H46" totalsRowShown="0" headerRowDxfId="133" headerRowBorderDxfId="132" tableBorderDxfId="131" totalsRowBorderDxfId="130">
  <autoFilter ref="A16:H46"/>
  <tableColumns count="8">
    <tableColumn id="1" name="Donnée" dataDxfId="129"/>
    <tableColumn id="2" name="Quantité" dataDxfId="128"/>
    <tableColumn id="3" name="transport gnt 0/20" dataDxfId="127"/>
    <tableColumn id="4" name="Quantité2" dataDxfId="126"/>
    <tableColumn id="5" name="Transport" dataDxfId="125"/>
    <tableColumn id="6" name="Quantité3" dataDxfId="124"/>
    <tableColumn id="7" name="Compactage" dataDxfId="123"/>
    <tableColumn id="8" name="Quantité4" dataDxfId="122"/>
  </tableColumns>
  <tableStyleInfo name="TableStyleMedium7" showFirstColumn="0" showLastColumn="0" showRowStripes="1" showColumnStripes="0"/>
</table>
</file>

<file path=xl/tables/table24.xml><?xml version="1.0" encoding="utf-8"?>
<table xmlns="http://schemas.openxmlformats.org/spreadsheetml/2006/main" id="41" name="Tableau31912754142" displayName="Tableau31912754142" ref="A13:D29" totalsRowShown="0" headerRowDxfId="121" headerRowBorderDxfId="120" tableBorderDxfId="119" totalsRowBorderDxfId="118">
  <autoFilter ref="A13:D29"/>
  <tableColumns count="4">
    <tableColumn id="1" name="Donnée" dataDxfId="117"/>
    <tableColumn id="2" name="Quantité"/>
    <tableColumn id="3" name="Colonne1" dataDxfId="116"/>
    <tableColumn id="4" name="Colonne2"/>
  </tableColumns>
  <tableStyleInfo name="TableStyleMedium7" showFirstColumn="0" showLastColumn="0" showRowStripes="1" showColumnStripes="0"/>
</table>
</file>

<file path=xl/tables/table25.xml><?xml version="1.0" encoding="utf-8"?>
<table xmlns="http://schemas.openxmlformats.org/spreadsheetml/2006/main" id="59" name="Tableau512323860" displayName="Tableau512323860" ref="A15:B38" totalsRowShown="0" headerRowDxfId="115" headerRowBorderDxfId="114" tableBorderDxfId="113" totalsRowBorderDxfId="112">
  <autoFilter ref="A15:B38"/>
  <tableColumns count="2">
    <tableColumn id="1" name="Donnée" dataDxfId="111"/>
    <tableColumn id="2" name="Quantité" dataDxfId="110"/>
  </tableColumns>
  <tableStyleInfo name="TableStyleMedium7" showFirstColumn="0" showLastColumn="0" showRowStripes="1" showColumnStripes="0"/>
</table>
</file>

<file path=xl/tables/table26.xml><?xml version="1.0" encoding="utf-8"?>
<table xmlns="http://schemas.openxmlformats.org/spreadsheetml/2006/main" id="60" name="Tableau613333961" displayName="Tableau613333961" ref="C15:H38" totalsRowShown="0" headerRowDxfId="109" dataDxfId="107" headerRowBorderDxfId="108" tableBorderDxfId="106" totalsRowBorderDxfId="105">
  <autoFilter ref="C15:H38"/>
  <tableColumns count="6">
    <tableColumn id="1" name="Evacuation" dataDxfId="104"/>
    <tableColumn id="2" name="Quantité" dataDxfId="103"/>
    <tableColumn id="3" name="Apport Sable" dataDxfId="102"/>
    <tableColumn id="4" name="Colonne1" dataDxfId="101"/>
    <tableColumn id="5" name="Donnée" dataDxfId="100"/>
    <tableColumn id="6" name="Colonne13" dataDxfId="99"/>
  </tableColumns>
  <tableStyleInfo name="TableStyleMedium7" showFirstColumn="0" showLastColumn="0" showRowStripes="1" showColumnStripes="0"/>
</table>
</file>

<file path=xl/tables/table27.xml><?xml version="1.0" encoding="utf-8"?>
<table xmlns="http://schemas.openxmlformats.org/spreadsheetml/2006/main" id="3" name="Tableau394" displayName="Tableau394" ref="A15:B50" totalsRowShown="0" headerRowDxfId="98" headerRowBorderDxfId="97" tableBorderDxfId="96" totalsRowBorderDxfId="95">
  <autoFilter ref="A15:B50"/>
  <tableColumns count="2">
    <tableColumn id="1" name="Donnée" dataDxfId="94"/>
    <tableColumn id="2" name="Quantité" dataDxfId="93"/>
  </tableColumns>
  <tableStyleInfo name="TableStyleMedium7" showFirstColumn="0" showLastColumn="0" showRowStripes="1" showColumnStripes="0"/>
</table>
</file>

<file path=xl/tables/table28.xml><?xml version="1.0" encoding="utf-8"?>
<table xmlns="http://schemas.openxmlformats.org/spreadsheetml/2006/main" id="5" name="Tableau337" displayName="Tableau337" ref="E15:H51" totalsRowShown="0" headerRowDxfId="92" headerRowBorderDxfId="91" tableBorderDxfId="90" totalsRowBorderDxfId="89">
  <autoFilter ref="E15:H51"/>
  <tableColumns count="4">
    <tableColumn id="1" name="Donnée" dataDxfId="88"/>
    <tableColumn id="2" name="Quantité"/>
    <tableColumn id="3" name="Donnée2"/>
    <tableColumn id="4" name="Quantité3"/>
  </tableColumns>
  <tableStyleInfo name="TableStyleMedium7" showFirstColumn="0" showLastColumn="0" showRowStripes="1" showColumnStripes="0"/>
</table>
</file>

<file path=xl/tables/table29.xml><?xml version="1.0" encoding="utf-8"?>
<table xmlns="http://schemas.openxmlformats.org/spreadsheetml/2006/main" id="6" name="Tableau4117" displayName="Tableau4117" ref="C15:D51" totalsRowShown="0" headerRowDxfId="87" headerRowBorderDxfId="86" tableBorderDxfId="85">
  <autoFilter ref="C15:D51"/>
  <tableColumns count="2">
    <tableColumn id="1" name="Donnée" dataDxfId="84"/>
    <tableColumn id="2" name="Quantité"/>
  </tableColumns>
  <tableStyleInfo name="TableStyleMedium7" showFirstColumn="0" showLastColumn="0" showRowStripes="1" showColumnStripes="0"/>
</table>
</file>

<file path=xl/tables/table30.xml><?xml version="1.0" encoding="utf-8"?>
<table xmlns="http://schemas.openxmlformats.org/spreadsheetml/2006/main" id="21" name="Tableau39422" displayName="Tableau39422" ref="A15:B44" totalsRowShown="0" headerRowDxfId="83" headerRowBorderDxfId="82" tableBorderDxfId="81" totalsRowBorderDxfId="80">
  <autoFilter ref="A15:B44"/>
  <tableColumns count="2">
    <tableColumn id="1" name="Donnée" dataDxfId="79"/>
    <tableColumn id="2" name="Quantité" dataDxfId="78"/>
  </tableColumns>
  <tableStyleInfo name="TableStyleMedium7" showFirstColumn="0" showLastColumn="0" showRowStripes="1" showColumnStripes="0"/>
</table>
</file>

<file path=xl/tables/table31.xml><?xml version="1.0" encoding="utf-8"?>
<table xmlns="http://schemas.openxmlformats.org/spreadsheetml/2006/main" id="24" name="Tableau33725" displayName="Tableau33725" ref="E15:H51" totalsRowShown="0" headerRowDxfId="77" headerRowBorderDxfId="76" tableBorderDxfId="75" totalsRowBorderDxfId="74">
  <autoFilter ref="E15:H51"/>
  <tableColumns count="4">
    <tableColumn id="1" name="Donnée" dataDxfId="73"/>
    <tableColumn id="2" name="Quantité"/>
    <tableColumn id="3" name="Donnée2"/>
    <tableColumn id="4" name="Quantité3"/>
  </tableColumns>
  <tableStyleInfo name="TableStyleMedium7" showFirstColumn="0" showLastColumn="0" showRowStripes="1" showColumnStripes="0"/>
</table>
</file>

<file path=xl/tables/table32.xml><?xml version="1.0" encoding="utf-8"?>
<table xmlns="http://schemas.openxmlformats.org/spreadsheetml/2006/main" id="25" name="Tableau411726" displayName="Tableau411726" ref="C15:D51" totalsRowShown="0" headerRowDxfId="72" headerRowBorderDxfId="71" tableBorderDxfId="70">
  <autoFilter ref="C15:D51"/>
  <tableColumns count="2">
    <tableColumn id="1" name="Donnée" dataDxfId="69"/>
    <tableColumn id="2" name="Quantité"/>
  </tableColumns>
  <tableStyleInfo name="TableStyleMedium7" showFirstColumn="0" showLastColumn="0" showRowStripes="1" showColumnStripes="0"/>
</table>
</file>

<file path=xl/tables/table33.xml><?xml version="1.0" encoding="utf-8"?>
<table xmlns="http://schemas.openxmlformats.org/spreadsheetml/2006/main" id="27" name="Tableau3942228" displayName="Tableau3942228" ref="A15:B44" totalsRowShown="0" headerRowDxfId="68" headerRowBorderDxfId="67" tableBorderDxfId="66" totalsRowBorderDxfId="65">
  <autoFilter ref="A15:B44"/>
  <tableColumns count="2">
    <tableColumn id="1" name="Donnée" dataDxfId="64"/>
    <tableColumn id="2" name="Quantité" dataDxfId="63"/>
  </tableColumns>
  <tableStyleInfo name="TableStyleMedium7" showFirstColumn="0" showLastColumn="0" showRowStripes="1" showColumnStripes="0"/>
</table>
</file>

<file path=xl/tables/table34.xml><?xml version="1.0" encoding="utf-8"?>
<table xmlns="http://schemas.openxmlformats.org/spreadsheetml/2006/main" id="29" name="Tableau3372530" displayName="Tableau3372530" ref="E15:H51" totalsRowShown="0" headerRowDxfId="62" headerRowBorderDxfId="61" tableBorderDxfId="60" totalsRowBorderDxfId="59">
  <autoFilter ref="E15:H51"/>
  <tableColumns count="4">
    <tableColumn id="1" name="Donnée" dataDxfId="58"/>
    <tableColumn id="2" name="Quantité"/>
    <tableColumn id="3" name="Donnée2"/>
    <tableColumn id="4" name="Quantité3"/>
  </tableColumns>
  <tableStyleInfo name="TableStyleMedium7" showFirstColumn="0" showLastColumn="0" showRowStripes="1" showColumnStripes="0"/>
</table>
</file>

<file path=xl/tables/table35.xml><?xml version="1.0" encoding="utf-8"?>
<table xmlns="http://schemas.openxmlformats.org/spreadsheetml/2006/main" id="30" name="Tableau41172631" displayName="Tableau41172631" ref="C15:D51" totalsRowShown="0" headerRowDxfId="57" headerRowBorderDxfId="56" tableBorderDxfId="55">
  <autoFilter ref="C15:D51"/>
  <tableColumns count="2">
    <tableColumn id="1" name="Donnée" dataDxfId="54"/>
    <tableColumn id="2" name="Quantité"/>
  </tableColumns>
  <tableStyleInfo name="TableStyleMedium7" showFirstColumn="0" showLastColumn="0" showRowStripes="1" showColumnStripes="0"/>
</table>
</file>

<file path=xl/tables/table36.xml><?xml version="1.0" encoding="utf-8"?>
<table xmlns="http://schemas.openxmlformats.org/spreadsheetml/2006/main" id="45" name="Tableau394222846" displayName="Tableau394222846" ref="A15:B49" totalsRowShown="0" headerRowDxfId="53" headerRowBorderDxfId="52" tableBorderDxfId="51" totalsRowBorderDxfId="50">
  <autoFilter ref="A15:B49"/>
  <tableColumns count="2">
    <tableColumn id="1" name="Donnée" dataDxfId="49"/>
    <tableColumn id="2" name="Quantité" dataDxfId="48"/>
  </tableColumns>
  <tableStyleInfo name="TableStyleMedium7" showFirstColumn="0" showLastColumn="0" showRowStripes="1" showColumnStripes="0"/>
</table>
</file>

<file path=xl/tables/table37.xml><?xml version="1.0" encoding="utf-8"?>
<table xmlns="http://schemas.openxmlformats.org/spreadsheetml/2006/main" id="46" name="Tableau337253047" displayName="Tableau337253047" ref="E15:H51" totalsRowShown="0" headerRowDxfId="47" headerRowBorderDxfId="46" tableBorderDxfId="45" totalsRowBorderDxfId="44">
  <autoFilter ref="E15:H51"/>
  <tableColumns count="4">
    <tableColumn id="1" name="Donnée" dataDxfId="43"/>
    <tableColumn id="2" name="Quantité"/>
    <tableColumn id="3" name="Donnée2"/>
    <tableColumn id="4" name="Quantité3"/>
  </tableColumns>
  <tableStyleInfo name="TableStyleMedium7" showFirstColumn="0" showLastColumn="0" showRowStripes="1" showColumnStripes="0"/>
</table>
</file>

<file path=xl/tables/table38.xml><?xml version="1.0" encoding="utf-8"?>
<table xmlns="http://schemas.openxmlformats.org/spreadsheetml/2006/main" id="47" name="Tableau4117263148" displayName="Tableau4117263148" ref="C15:D51" totalsRowShown="0" headerRowDxfId="42" headerRowBorderDxfId="41" tableBorderDxfId="40">
  <autoFilter ref="C15:D51"/>
  <tableColumns count="2">
    <tableColumn id="1" name="Donnée" dataDxfId="39"/>
    <tableColumn id="2" name="Quantité"/>
  </tableColumns>
  <tableStyleInfo name="TableStyleMedium7" showFirstColumn="0" showLastColumn="0" showRowStripes="1" showColumnStripes="0"/>
</table>
</file>

<file path=xl/tables/table39.xml><?xml version="1.0" encoding="utf-8"?>
<table xmlns="http://schemas.openxmlformats.org/spreadsheetml/2006/main" id="49" name="Tableau3197650" displayName="Tableau3197650" ref="A16:F59" totalsRowShown="0" headerRowDxfId="13" headerRowBorderDxfId="38" tableBorderDxfId="37" totalsRowBorderDxfId="36">
  <autoFilter ref="A16:F59"/>
  <tableColumns count="6">
    <tableColumn id="1" name="Donnée" dataDxfId="19"/>
    <tableColumn id="2" name="Quantité" dataDxfId="18"/>
    <tableColumn id="3" name="Colonne1" dataDxfId="17"/>
    <tableColumn id="4" name="Colonne2" dataDxfId="16"/>
    <tableColumn id="5" name="transport tv 0/80" dataDxfId="15"/>
    <tableColumn id="6" name="Colonne12" dataDxfId="14"/>
  </tableColumns>
  <tableStyleInfo name="TableStyleMedium7" showFirstColumn="0" showLastColumn="0" showRowStripes="1" showColumnStripes="0"/>
</table>
</file>

<file path=xl/tables/table40.xml><?xml version="1.0" encoding="utf-8"?>
<table xmlns="http://schemas.openxmlformats.org/spreadsheetml/2006/main" id="7" name="Tableau358" displayName="Tableau358" ref="A17:B56" totalsRowShown="0" headerRowDxfId="35" headerRowBorderDxfId="34" tableBorderDxfId="33" totalsRowBorderDxfId="32">
  <autoFilter ref="A17:B56"/>
  <tableColumns count="2">
    <tableColumn id="1" name="Donnée" dataDxfId="31"/>
    <tableColumn id="2" name="Quantité" dataDxfId="30"/>
  </tableColumns>
  <tableStyleInfo name="TableStyleMedium7" showFirstColumn="0" showLastColumn="0" showRowStripes="1" showColumnStripes="0"/>
</table>
</file>

<file path=xl/tables/table41.xml><?xml version="1.0" encoding="utf-8"?>
<table xmlns="http://schemas.openxmlformats.org/spreadsheetml/2006/main" id="19" name="Tableau33620" displayName="Tableau33620" ref="G17:H69" totalsRowShown="0" headerRowDxfId="29" headerRowBorderDxfId="28" tableBorderDxfId="27" totalsRowBorderDxfId="26">
  <autoFilter ref="G17:H69"/>
  <tableColumns count="2">
    <tableColumn id="1" name="Donnée" dataDxfId="25"/>
    <tableColumn id="2" name="Quantité"/>
  </tableColumns>
  <tableStyleInfo name="TableStyleMedium7" showFirstColumn="0" showLastColumn="0" showRowStripes="1" showColumnStripes="0"/>
</table>
</file>

<file path=xl/tables/table42.xml><?xml version="1.0" encoding="utf-8"?>
<table xmlns="http://schemas.openxmlformats.org/spreadsheetml/2006/main" id="20" name="Tableau4721" displayName="Tableau4721" ref="D17:E64" totalsRowShown="0" headerRowDxfId="24" headerRowBorderDxfId="23" tableBorderDxfId="22">
  <autoFilter ref="D17:E64"/>
  <tableColumns count="2">
    <tableColumn id="1" name="Donnée" dataDxfId="21"/>
    <tableColumn id="2" name="Quantité" dataDxfId="20">
      <calculatedColumnFormula>B46+B48</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7.bin"/><Relationship Id="rId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2.bin"/><Relationship Id="rId4"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26.bin"/><Relationship Id="rId4"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27.bin"/><Relationship Id="rId4" Type="http://schemas.openxmlformats.org/officeDocument/2006/relationships/table" Target="../tables/table3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28.bin"/><Relationship Id="rId4" Type="http://schemas.openxmlformats.org/officeDocument/2006/relationships/table" Target="../tables/table35.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29.bin"/><Relationship Id="rId4" Type="http://schemas.openxmlformats.org/officeDocument/2006/relationships/table" Target="../tables/table38.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31.bin"/><Relationship Id="rId4" Type="http://schemas.openxmlformats.org/officeDocument/2006/relationships/table" Target="../tables/table42.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9"/>
  <sheetViews>
    <sheetView showGridLines="0" view="pageBreakPreview" topLeftCell="A4" zoomScale="60" zoomScaleNormal="85" workbookViewId="0">
      <selection activeCell="L37" sqref="L37"/>
    </sheetView>
  </sheetViews>
  <sheetFormatPr baseColWidth="10" defaultRowHeight="12.75" x14ac:dyDescent="0.2"/>
  <cols>
    <col min="1" max="1" width="31.85546875" customWidth="1"/>
    <col min="2" max="2" width="11" customWidth="1"/>
    <col min="3" max="3" width="13.140625" customWidth="1"/>
    <col min="4" max="4" width="26.7109375" bestFit="1" customWidth="1"/>
    <col min="5" max="5" width="14" customWidth="1"/>
    <col min="6" max="8" width="12.42578125"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164" t="s">
        <v>422</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2200</v>
      </c>
      <c r="F4" s="9" t="s">
        <v>302</v>
      </c>
      <c r="G4" s="8" t="s">
        <v>481</v>
      </c>
      <c r="H4" s="10" t="s">
        <v>482</v>
      </c>
    </row>
    <row r="5" spans="1:8" x14ac:dyDescent="0.2">
      <c r="A5" s="1175" t="s">
        <v>14</v>
      </c>
      <c r="B5" s="1176"/>
      <c r="C5" s="1176"/>
      <c r="D5" s="1176"/>
      <c r="E5" s="1176"/>
      <c r="F5" s="1176"/>
      <c r="G5" s="1176"/>
      <c r="H5" s="1177"/>
    </row>
    <row r="6" spans="1:8" ht="64.5" customHeight="1" x14ac:dyDescent="0.2">
      <c r="A6" s="1183" t="s">
        <v>421</v>
      </c>
      <c r="B6" s="1184"/>
      <c r="C6" s="1184"/>
      <c r="D6" s="1184"/>
      <c r="E6" s="1184"/>
      <c r="F6" s="1184"/>
      <c r="G6" s="1184"/>
      <c r="H6" s="118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30" customHeight="1" x14ac:dyDescent="0.2">
      <c r="A9" s="20" t="s">
        <v>61</v>
      </c>
      <c r="B9" s="1">
        <v>1</v>
      </c>
      <c r="C9" s="1186" t="s">
        <v>486</v>
      </c>
      <c r="D9" s="1187"/>
      <c r="E9" s="400" t="s">
        <v>74</v>
      </c>
      <c r="F9" s="1">
        <v>2</v>
      </c>
      <c r="G9" s="49" t="s">
        <v>310</v>
      </c>
      <c r="H9" s="35"/>
    </row>
    <row r="10" spans="1:8" ht="30" customHeight="1" x14ac:dyDescent="0.2">
      <c r="A10" s="20" t="s">
        <v>68</v>
      </c>
      <c r="B10" s="1">
        <v>2</v>
      </c>
      <c r="C10" s="1188" t="s">
        <v>485</v>
      </c>
      <c r="D10" s="1189"/>
      <c r="E10" s="400" t="s">
        <v>299</v>
      </c>
      <c r="F10" s="1">
        <v>1</v>
      </c>
      <c r="G10" s="49" t="s">
        <v>483</v>
      </c>
      <c r="H10" s="35"/>
    </row>
    <row r="11" spans="1:8" ht="14.25" x14ac:dyDescent="0.2">
      <c r="A11" s="31" t="s">
        <v>11</v>
      </c>
      <c r="B11" s="30"/>
      <c r="C11" s="30"/>
      <c r="D11" s="30"/>
      <c r="E11" s="30"/>
      <c r="F11" s="30"/>
      <c r="G11" s="30"/>
      <c r="H11" s="32"/>
    </row>
    <row r="12" spans="1:8" ht="13.5" customHeight="1" x14ac:dyDescent="0.2">
      <c r="A12" s="48" t="s">
        <v>62</v>
      </c>
      <c r="B12" s="28"/>
      <c r="C12" s="28"/>
      <c r="D12" s="28"/>
      <c r="E12" s="28"/>
      <c r="F12" s="28"/>
      <c r="G12" s="28"/>
      <c r="H12" s="33"/>
    </row>
    <row r="13" spans="1:8" ht="13.5" customHeight="1" x14ac:dyDescent="0.2">
      <c r="A13" s="47" t="s">
        <v>479</v>
      </c>
      <c r="B13" s="26"/>
      <c r="C13" s="26"/>
      <c r="D13" s="26"/>
      <c r="E13" s="26"/>
      <c r="F13" s="26"/>
      <c r="G13" s="26"/>
      <c r="H13" s="35"/>
    </row>
    <row r="14" spans="1:8" ht="13.5" customHeight="1" x14ac:dyDescent="0.2">
      <c r="A14" s="34"/>
      <c r="B14" s="26"/>
      <c r="C14" s="26"/>
      <c r="D14" s="26"/>
      <c r="E14" s="26"/>
      <c r="F14" s="26"/>
      <c r="G14" s="26"/>
      <c r="H14" s="35"/>
    </row>
    <row r="15" spans="1:8" ht="14.25" x14ac:dyDescent="0.2">
      <c r="A15" s="31" t="s">
        <v>20</v>
      </c>
      <c r="B15" s="29"/>
      <c r="C15" s="29"/>
      <c r="D15" s="29"/>
      <c r="E15" s="29"/>
      <c r="F15" s="29"/>
      <c r="G15" s="29"/>
      <c r="H15" s="38"/>
    </row>
    <row r="16" spans="1:8" ht="13.5" customHeight="1" x14ac:dyDescent="0.2">
      <c r="A16" s="61" t="s">
        <v>25</v>
      </c>
      <c r="B16" s="62" t="s">
        <v>0</v>
      </c>
      <c r="C16" s="28"/>
      <c r="D16" s="61" t="s">
        <v>25</v>
      </c>
      <c r="E16" s="62" t="s">
        <v>0</v>
      </c>
      <c r="F16" s="28"/>
      <c r="G16" s="28"/>
      <c r="H16" s="33"/>
    </row>
    <row r="17" spans="1:13" ht="13.5" customHeight="1" x14ac:dyDescent="0.2">
      <c r="A17" s="52" t="s">
        <v>38</v>
      </c>
      <c r="B17" s="56">
        <f>2200</f>
        <v>2200</v>
      </c>
      <c r="C17" s="28"/>
      <c r="D17" s="51" t="s">
        <v>41</v>
      </c>
      <c r="E17" s="56"/>
      <c r="F17" s="28"/>
      <c r="G17" s="521" t="s">
        <v>480</v>
      </c>
      <c r="H17" s="33"/>
    </row>
    <row r="18" spans="1:13" ht="13.5" customHeight="1" x14ac:dyDescent="0.2">
      <c r="A18" s="53" t="s">
        <v>63</v>
      </c>
      <c r="B18" s="56">
        <f>0.2</f>
        <v>0.2</v>
      </c>
      <c r="C18" s="26"/>
      <c r="D18" s="54" t="s">
        <v>42</v>
      </c>
      <c r="E18" s="56">
        <v>26</v>
      </c>
      <c r="F18" s="26"/>
      <c r="G18" s="385">
        <f>B37/B17</f>
        <v>1.4403292181069954E-4</v>
      </c>
      <c r="H18" s="35"/>
    </row>
    <row r="19" spans="1:13" ht="13.5" customHeight="1" x14ac:dyDescent="0.2">
      <c r="A19" s="52" t="s">
        <v>60</v>
      </c>
      <c r="B19" s="56">
        <f>B17*B18</f>
        <v>440</v>
      </c>
      <c r="C19" s="26"/>
      <c r="D19" s="54" t="s">
        <v>24</v>
      </c>
      <c r="E19" s="56">
        <v>1.5</v>
      </c>
      <c r="F19" s="26"/>
      <c r="G19" s="26"/>
      <c r="H19" s="35"/>
    </row>
    <row r="20" spans="1:13" ht="13.5" customHeight="1" x14ac:dyDescent="0.2">
      <c r="A20" s="51" t="s">
        <v>28</v>
      </c>
      <c r="B20" s="56"/>
      <c r="C20" s="26"/>
      <c r="D20" s="54" t="s">
        <v>43</v>
      </c>
      <c r="E20" s="56">
        <f>E18/E19</f>
        <v>17.333333333333332</v>
      </c>
      <c r="F20" s="26"/>
      <c r="G20" s="26"/>
      <c r="H20" s="35"/>
    </row>
    <row r="21" spans="1:13" ht="13.5" customHeight="1" x14ac:dyDescent="0.2">
      <c r="A21" s="54" t="s">
        <v>26</v>
      </c>
      <c r="B21" s="56">
        <v>800</v>
      </c>
      <c r="C21" s="26"/>
      <c r="D21" s="65" t="s">
        <v>44</v>
      </c>
      <c r="E21" s="56">
        <f>E20/B22</f>
        <v>21.666666666666664</v>
      </c>
      <c r="F21" s="26"/>
      <c r="G21" s="26"/>
      <c r="H21" s="35"/>
    </row>
    <row r="22" spans="1:13" ht="13.5" customHeight="1" x14ac:dyDescent="0.2">
      <c r="A22" s="54" t="s">
        <v>27</v>
      </c>
      <c r="B22" s="56">
        <f>B21/1000</f>
        <v>0.8</v>
      </c>
      <c r="C22" s="26"/>
      <c r="D22" s="66" t="s">
        <v>37</v>
      </c>
      <c r="E22" s="56">
        <f>ROUNDUP(E21,0)</f>
        <v>22</v>
      </c>
      <c r="F22" s="26"/>
      <c r="G22" s="523" t="s">
        <v>181</v>
      </c>
      <c r="H22" s="524"/>
    </row>
    <row r="23" spans="1:13" ht="13.5" customHeight="1" x14ac:dyDescent="0.2">
      <c r="A23" s="43" t="s">
        <v>69</v>
      </c>
      <c r="B23" s="11">
        <f>B19/B22</f>
        <v>550</v>
      </c>
      <c r="C23" s="26"/>
      <c r="D23" s="54" t="s">
        <v>45</v>
      </c>
      <c r="E23" s="56">
        <f>E22*B31</f>
        <v>821.33333333333326</v>
      </c>
      <c r="F23" s="26"/>
      <c r="G23" s="293" t="s">
        <v>179</v>
      </c>
      <c r="H23" s="525">
        <v>8</v>
      </c>
    </row>
    <row r="24" spans="1:13" ht="13.5" customHeight="1" x14ac:dyDescent="0.25">
      <c r="A24" s="54" t="s">
        <v>29</v>
      </c>
      <c r="B24" s="56">
        <v>10</v>
      </c>
      <c r="C24" s="26"/>
      <c r="D24" s="66" t="s">
        <v>46</v>
      </c>
      <c r="E24" s="56">
        <f>E23/60</f>
        <v>13.688888888888888</v>
      </c>
      <c r="F24" s="26"/>
      <c r="G24" s="293" t="s">
        <v>178</v>
      </c>
      <c r="H24" s="526">
        <f>B37</f>
        <v>0.31687242798353898</v>
      </c>
    </row>
    <row r="25" spans="1:13" ht="13.5" customHeight="1" x14ac:dyDescent="0.2">
      <c r="A25" s="54" t="s">
        <v>30</v>
      </c>
      <c r="B25" s="56">
        <v>6</v>
      </c>
      <c r="C25" s="26"/>
      <c r="D25" s="65" t="s">
        <v>47</v>
      </c>
      <c r="E25" s="67">
        <v>0.03</v>
      </c>
      <c r="F25" s="26"/>
      <c r="G25" s="527" t="s">
        <v>175</v>
      </c>
      <c r="H25" s="528">
        <f>H24/H23</f>
        <v>3.9609053497942373E-2</v>
      </c>
      <c r="M25" s="41"/>
    </row>
    <row r="26" spans="1:13" ht="13.5" customHeight="1" x14ac:dyDescent="0.2">
      <c r="A26" s="54" t="s">
        <v>31</v>
      </c>
      <c r="B26" s="56">
        <v>6</v>
      </c>
      <c r="C26" s="26"/>
      <c r="D26" s="65" t="s">
        <v>48</v>
      </c>
      <c r="E26" s="67">
        <v>20</v>
      </c>
      <c r="F26" s="26"/>
      <c r="G26" s="26"/>
      <c r="H26" s="35"/>
      <c r="M26" s="41"/>
    </row>
    <row r="27" spans="1:13" ht="13.5" customHeight="1" x14ac:dyDescent="0.2">
      <c r="A27" s="54" t="s">
        <v>32</v>
      </c>
      <c r="B27" s="56">
        <v>6</v>
      </c>
      <c r="C27" s="26"/>
      <c r="D27" s="65" t="s">
        <v>49</v>
      </c>
      <c r="E27" s="67">
        <f>E25/E26*60</f>
        <v>0.09</v>
      </c>
      <c r="F27" s="26"/>
      <c r="G27" s="26"/>
      <c r="H27" s="35"/>
      <c r="M27" s="41"/>
    </row>
    <row r="28" spans="1:13" ht="13.5" customHeight="1" x14ac:dyDescent="0.2">
      <c r="A28" s="54" t="s">
        <v>35</v>
      </c>
      <c r="B28" s="56">
        <f>SUM(B24:B27)</f>
        <v>28</v>
      </c>
      <c r="C28" s="26"/>
      <c r="D28" s="54" t="s">
        <v>50</v>
      </c>
      <c r="E28" s="56">
        <f>E24</f>
        <v>13.688888888888888</v>
      </c>
      <c r="F28" s="26"/>
      <c r="G28" s="26"/>
      <c r="H28" s="35"/>
      <c r="J28" s="3"/>
      <c r="M28" s="41"/>
    </row>
    <row r="29" spans="1:13" ht="13.5" customHeight="1" x14ac:dyDescent="0.2">
      <c r="A29" s="54" t="s">
        <v>64</v>
      </c>
      <c r="B29" s="57">
        <f>60/80</f>
        <v>0.75</v>
      </c>
      <c r="C29" s="26"/>
      <c r="D29" s="54" t="s">
        <v>51</v>
      </c>
      <c r="E29" s="56">
        <f>E27</f>
        <v>0.09</v>
      </c>
      <c r="F29" s="26"/>
      <c r="G29" s="26"/>
      <c r="H29" s="35"/>
      <c r="J29" s="3"/>
    </row>
    <row r="30" spans="1:13" ht="13.5" customHeight="1" x14ac:dyDescent="0.2">
      <c r="A30" s="55" t="s">
        <v>65</v>
      </c>
      <c r="B30" s="58">
        <f>80/60</f>
        <v>1.3333333333333333</v>
      </c>
      <c r="C30" s="26"/>
      <c r="D30" s="54" t="s">
        <v>52</v>
      </c>
      <c r="E30" s="56">
        <v>2</v>
      </c>
      <c r="F30" s="26"/>
      <c r="G30" s="26"/>
      <c r="H30" s="35"/>
      <c r="J30" s="3"/>
    </row>
    <row r="31" spans="1:13" ht="13.5" customHeight="1" x14ac:dyDescent="0.2">
      <c r="A31" s="54" t="s">
        <v>34</v>
      </c>
      <c r="B31" s="56">
        <f>B28*B30</f>
        <v>37.333333333333329</v>
      </c>
      <c r="C31" s="26"/>
      <c r="D31" s="54" t="s">
        <v>53</v>
      </c>
      <c r="E31" s="56">
        <f>E27</f>
        <v>0.09</v>
      </c>
      <c r="F31" s="26"/>
      <c r="G31" s="26"/>
      <c r="H31" s="35"/>
    </row>
    <row r="32" spans="1:13" ht="13.5" customHeight="1" x14ac:dyDescent="0.2">
      <c r="A32" s="54" t="s">
        <v>33</v>
      </c>
      <c r="B32" s="59">
        <f>60/B31</f>
        <v>1.6071428571428574</v>
      </c>
      <c r="C32" s="26"/>
      <c r="D32" s="54" t="s">
        <v>54</v>
      </c>
      <c r="E32" s="56">
        <f>SUM(E28:E31)</f>
        <v>15.868888888888888</v>
      </c>
      <c r="F32" s="26"/>
      <c r="G32" s="26"/>
      <c r="H32" s="35"/>
    </row>
    <row r="33" spans="1:10" ht="13.5" customHeight="1" x14ac:dyDescent="0.2">
      <c r="A33" s="54" t="s">
        <v>36</v>
      </c>
      <c r="B33" s="60">
        <f>B32*60</f>
        <v>96.428571428571445</v>
      </c>
      <c r="C33" s="26"/>
      <c r="D33" s="54" t="s">
        <v>71</v>
      </c>
      <c r="E33" s="56">
        <f>E32/E28</f>
        <v>1.1592532467532468</v>
      </c>
      <c r="F33" s="26"/>
      <c r="G33" s="26"/>
      <c r="H33" s="35"/>
    </row>
    <row r="34" spans="1:10" ht="13.5" customHeight="1" x14ac:dyDescent="0.2">
      <c r="A34" s="54" t="s">
        <v>40</v>
      </c>
      <c r="B34" s="56">
        <f>B33*B22</f>
        <v>77.142857142857167</v>
      </c>
      <c r="C34" s="26"/>
      <c r="D34" s="66" t="s">
        <v>23</v>
      </c>
      <c r="E34" s="56">
        <f>ROUNDUP(E33,0)</f>
        <v>2</v>
      </c>
      <c r="F34" s="26"/>
      <c r="G34" s="26"/>
      <c r="H34" s="35"/>
    </row>
    <row r="35" spans="1:10" ht="13.5" customHeight="1" x14ac:dyDescent="0.2">
      <c r="A35" s="54" t="s">
        <v>39</v>
      </c>
      <c r="B35" s="56">
        <f>B34*B29</f>
        <v>57.857142857142875</v>
      </c>
      <c r="C35" s="26"/>
      <c r="D35" s="54" t="s">
        <v>56</v>
      </c>
      <c r="E35" s="58">
        <f>E34*E20</f>
        <v>34.666666666666664</v>
      </c>
      <c r="F35" s="26"/>
      <c r="G35" s="26"/>
      <c r="H35" s="35"/>
    </row>
    <row r="36" spans="1:10" ht="13.5" customHeight="1" x14ac:dyDescent="0.2">
      <c r="A36" s="63" t="s">
        <v>67</v>
      </c>
      <c r="B36" s="64">
        <f>B19/B35</f>
        <v>7.6049382716049356</v>
      </c>
      <c r="C36" s="26"/>
      <c r="D36" s="54" t="s">
        <v>55</v>
      </c>
      <c r="E36" s="58">
        <f>B19/E35</f>
        <v>12.692307692307693</v>
      </c>
      <c r="F36" s="26"/>
      <c r="G36" s="26"/>
      <c r="H36" s="35"/>
      <c r="I36" s="40"/>
      <c r="J36" s="3"/>
    </row>
    <row r="37" spans="1:10" ht="13.5" customHeight="1" x14ac:dyDescent="0.2">
      <c r="A37" s="63" t="s">
        <v>66</v>
      </c>
      <c r="B37" s="69">
        <f>B36/24</f>
        <v>0.31687242798353898</v>
      </c>
      <c r="C37" s="26"/>
      <c r="D37" s="66" t="s">
        <v>23</v>
      </c>
      <c r="E37" s="56">
        <f>ROUNDUP(E36,0)</f>
        <v>13</v>
      </c>
      <c r="F37" s="26"/>
      <c r="G37" s="26"/>
      <c r="H37" s="35"/>
    </row>
    <row r="38" spans="1:10" ht="13.5" customHeight="1" x14ac:dyDescent="0.2">
      <c r="B38" s="26"/>
      <c r="C38" s="26"/>
      <c r="D38" s="55" t="s">
        <v>57</v>
      </c>
      <c r="E38" s="56">
        <f>E37*E32*E34</f>
        <v>412.5911111111111</v>
      </c>
      <c r="F38" s="26"/>
      <c r="H38" s="35"/>
    </row>
    <row r="39" spans="1:10" ht="13.5" customHeight="1" x14ac:dyDescent="0.2">
      <c r="A39" s="34"/>
      <c r="B39" s="26"/>
      <c r="C39" s="26"/>
      <c r="D39" s="71" t="s">
        <v>72</v>
      </c>
      <c r="E39" s="71">
        <f>ROUNDUP(B19/E20,0)</f>
        <v>26</v>
      </c>
      <c r="F39" s="26"/>
      <c r="G39" s="26"/>
      <c r="H39" s="35"/>
    </row>
    <row r="40" spans="1:10" ht="13.5" customHeight="1" x14ac:dyDescent="0.2">
      <c r="C40" s="26"/>
      <c r="D40" s="68" t="s">
        <v>58</v>
      </c>
      <c r="E40" s="69">
        <f>E38/60/24</f>
        <v>0.28652160493827161</v>
      </c>
      <c r="F40" s="26"/>
      <c r="G40" s="26"/>
      <c r="H40" s="35"/>
    </row>
    <row r="41" spans="1:10" x14ac:dyDescent="0.2">
      <c r="A41" s="14" t="s">
        <v>9</v>
      </c>
      <c r="B41" s="15"/>
      <c r="C41" s="15"/>
      <c r="D41" s="15"/>
      <c r="E41" s="15"/>
      <c r="F41" s="1155" t="s">
        <v>16</v>
      </c>
      <c r="G41" s="1155"/>
      <c r="H41" s="1156"/>
    </row>
    <row r="42" spans="1:10" ht="26.25" customHeight="1" x14ac:dyDescent="0.2">
      <c r="A42" s="16" t="s">
        <v>4</v>
      </c>
      <c r="B42" s="17" t="s">
        <v>5</v>
      </c>
      <c r="C42" s="17" t="s">
        <v>1</v>
      </c>
      <c r="D42" s="17" t="s">
        <v>6</v>
      </c>
      <c r="E42" s="18" t="s">
        <v>7</v>
      </c>
      <c r="F42" s="19" t="s">
        <v>17</v>
      </c>
      <c r="G42" s="19" t="s">
        <v>18</v>
      </c>
      <c r="H42" s="21" t="s">
        <v>19</v>
      </c>
    </row>
    <row r="43" spans="1:10" ht="18" customHeight="1" x14ac:dyDescent="0.2">
      <c r="A43" s="46"/>
      <c r="B43" s="1"/>
      <c r="C43" s="42"/>
      <c r="D43" s="1"/>
      <c r="E43" s="2"/>
      <c r="F43" s="11"/>
      <c r="G43" s="43"/>
      <c r="H43" s="22"/>
    </row>
    <row r="44" spans="1:10" ht="18" customHeight="1" thickBot="1" x14ac:dyDescent="0.25">
      <c r="A44" s="45"/>
      <c r="B44" s="23"/>
      <c r="C44" s="24"/>
      <c r="D44" s="23" t="str">
        <f>IF(A44="","",VLOOKUP(A44,$O$3:$P$13,2,FALSE))</f>
        <v/>
      </c>
      <c r="E44" s="25" t="str">
        <f>IF(A44="","",B44*D44)</f>
        <v/>
      </c>
      <c r="F44" s="12"/>
      <c r="G44" s="12"/>
      <c r="H44" s="13"/>
    </row>
    <row r="45" spans="1:10" ht="19.5" customHeight="1" x14ac:dyDescent="0.2"/>
    <row r="46" spans="1:10" ht="19.5" customHeight="1" x14ac:dyDescent="0.2"/>
    <row r="47" spans="1:10" ht="19.5" customHeight="1" x14ac:dyDescent="0.2"/>
    <row r="48" spans="1:10"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57" ht="19.5" customHeight="1" x14ac:dyDescent="0.2"/>
    <row r="58" ht="19.5" customHeight="1" x14ac:dyDescent="0.2"/>
    <row r="59" ht="19.5" customHeight="1" x14ac:dyDescent="0.2"/>
    <row r="60" ht="19.5" customHeight="1" x14ac:dyDescent="0.2"/>
    <row r="61" ht="19.5" customHeight="1" x14ac:dyDescent="0.2"/>
    <row r="62" ht="19.5" customHeight="1" x14ac:dyDescent="0.2"/>
    <row r="63" ht="19.5" customHeight="1" x14ac:dyDescent="0.2"/>
    <row r="6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row r="102" ht="19.5" customHeight="1" x14ac:dyDescent="0.2"/>
    <row r="103" ht="19.5" customHeight="1" x14ac:dyDescent="0.2"/>
    <row r="104" ht="19.5" customHeight="1" x14ac:dyDescent="0.2"/>
    <row r="105" ht="19.5" customHeight="1" x14ac:dyDescent="0.2"/>
    <row r="106" ht="19.5" customHeight="1" x14ac:dyDescent="0.2"/>
    <row r="107" ht="19.5" customHeight="1" x14ac:dyDescent="0.2"/>
    <row r="108" ht="19.5" customHeight="1" x14ac:dyDescent="0.2"/>
    <row r="109" ht="19.5" customHeight="1" x14ac:dyDescent="0.2"/>
  </sheetData>
  <mergeCells count="15">
    <mergeCell ref="F41:H41"/>
    <mergeCell ref="A1:C1"/>
    <mergeCell ref="D1:H1"/>
    <mergeCell ref="A2:C2"/>
    <mergeCell ref="D2:H2"/>
    <mergeCell ref="A3:A4"/>
    <mergeCell ref="B3:D4"/>
    <mergeCell ref="A5:H5"/>
    <mergeCell ref="A7:D7"/>
    <mergeCell ref="E7:H7"/>
    <mergeCell ref="C8:D8"/>
    <mergeCell ref="G8:H8"/>
    <mergeCell ref="A6:H6"/>
    <mergeCell ref="C9:D9"/>
    <mergeCell ref="C10:D10"/>
  </mergeCells>
  <printOptions horizontalCentered="1" verticalCentered="1"/>
  <pageMargins left="0" right="0" top="0" bottom="0" header="0" footer="0"/>
  <pageSetup paperSize="9" scale="77" orientation="portrait" r:id="rId1"/>
  <headerFooter alignWithMargins="0"/>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
  <sheetViews>
    <sheetView view="pageBreakPreview" topLeftCell="B7" zoomScale="60" zoomScaleNormal="90" workbookViewId="0">
      <selection activeCell="L25" sqref="L25"/>
    </sheetView>
  </sheetViews>
  <sheetFormatPr baseColWidth="10" defaultRowHeight="12.75" x14ac:dyDescent="0.2"/>
  <cols>
    <col min="1" max="1" width="29.140625" customWidth="1"/>
    <col min="2" max="2" width="10.28515625" customWidth="1"/>
    <col min="3" max="3" width="29" bestFit="1" customWidth="1"/>
    <col min="4" max="5" width="26.7109375" bestFit="1" customWidth="1"/>
    <col min="6" max="6" width="12.42578125" customWidth="1"/>
    <col min="7" max="7" width="30.28515625" customWidth="1"/>
    <col min="8" max="8" width="17.42578125"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164" t="s">
        <v>423</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2200</v>
      </c>
      <c r="F4" s="70" t="s">
        <v>302</v>
      </c>
      <c r="G4" s="8" t="s">
        <v>496</v>
      </c>
      <c r="H4" s="10" t="s">
        <v>495</v>
      </c>
    </row>
    <row r="5" spans="1:8" x14ac:dyDescent="0.2">
      <c r="A5" s="1175" t="s">
        <v>14</v>
      </c>
      <c r="B5" s="1176"/>
      <c r="C5" s="1176"/>
      <c r="D5" s="1176"/>
      <c r="E5" s="1176"/>
      <c r="F5" s="1176"/>
      <c r="G5" s="1176"/>
      <c r="H5" s="1177"/>
    </row>
    <row r="6" spans="1:8" ht="104.25" customHeight="1" x14ac:dyDescent="0.2">
      <c r="A6" s="1183" t="s">
        <v>484</v>
      </c>
      <c r="B6" s="1184"/>
      <c r="C6" s="1184"/>
      <c r="D6" s="1184"/>
      <c r="E6" s="1184"/>
      <c r="F6" s="1184"/>
      <c r="G6" s="1184"/>
      <c r="H6" s="118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29.25" customHeight="1" x14ac:dyDescent="0.2">
      <c r="A9" s="20" t="s">
        <v>269</v>
      </c>
      <c r="B9" s="1">
        <v>1</v>
      </c>
      <c r="C9" s="49" t="s">
        <v>489</v>
      </c>
      <c r="D9" s="26"/>
      <c r="E9" s="1" t="s">
        <v>305</v>
      </c>
      <c r="F9" s="1">
        <v>1</v>
      </c>
      <c r="G9" s="49" t="s">
        <v>310</v>
      </c>
      <c r="H9" s="35"/>
    </row>
    <row r="10" spans="1:8" ht="24" customHeight="1" x14ac:dyDescent="0.2">
      <c r="A10" s="20" t="s">
        <v>304</v>
      </c>
      <c r="B10" s="1">
        <v>2</v>
      </c>
      <c r="C10" s="49" t="s">
        <v>497</v>
      </c>
      <c r="D10" s="26"/>
      <c r="E10" s="1" t="s">
        <v>306</v>
      </c>
      <c r="F10" s="1">
        <v>1</v>
      </c>
      <c r="G10" s="49" t="s">
        <v>311</v>
      </c>
      <c r="H10" s="35"/>
    </row>
    <row r="11" spans="1:8" ht="14.25" x14ac:dyDescent="0.2">
      <c r="A11" s="31" t="s">
        <v>11</v>
      </c>
      <c r="B11" s="30"/>
      <c r="C11" s="30"/>
      <c r="D11" s="30"/>
      <c r="E11" s="30"/>
      <c r="F11" s="30"/>
      <c r="G11" s="30"/>
      <c r="H11" s="32"/>
    </row>
    <row r="12" spans="1:8" ht="13.5" customHeight="1" x14ac:dyDescent="0.2">
      <c r="A12" s="48" t="s">
        <v>70</v>
      </c>
      <c r="B12" s="28"/>
      <c r="C12" s="28"/>
      <c r="D12" s="28"/>
      <c r="E12" s="28"/>
      <c r="F12" s="28"/>
      <c r="G12" s="28"/>
      <c r="H12" s="33"/>
    </row>
    <row r="13" spans="1:8" ht="13.5" customHeight="1" x14ac:dyDescent="0.2">
      <c r="A13" s="34"/>
      <c r="B13" s="26"/>
      <c r="C13" s="26"/>
      <c r="D13" s="26"/>
      <c r="E13" s="26"/>
      <c r="F13" s="26"/>
      <c r="G13" s="26"/>
      <c r="H13" s="35"/>
    </row>
    <row r="14" spans="1:8" ht="13.5" customHeight="1" x14ac:dyDescent="0.2">
      <c r="A14" s="47" t="s">
        <v>487</v>
      </c>
      <c r="B14" s="26"/>
      <c r="C14" s="26"/>
      <c r="D14" s="26"/>
      <c r="E14" s="26"/>
      <c r="F14" s="26"/>
      <c r="G14" s="26"/>
      <c r="H14" s="35"/>
    </row>
    <row r="15" spans="1:8" ht="13.5" customHeight="1" x14ac:dyDescent="0.2">
      <c r="A15" s="34"/>
      <c r="B15" s="26"/>
      <c r="C15" s="26"/>
      <c r="D15" s="26"/>
      <c r="E15" s="26"/>
      <c r="F15" s="26"/>
      <c r="G15" s="26"/>
      <c r="H15" s="35"/>
    </row>
    <row r="16" spans="1:8" ht="14.25" x14ac:dyDescent="0.2">
      <c r="A16" s="31" t="s">
        <v>20</v>
      </c>
      <c r="B16" s="29"/>
      <c r="C16" s="29"/>
      <c r="D16" s="29"/>
      <c r="E16" s="29"/>
      <c r="F16" s="29"/>
      <c r="G16" s="29"/>
      <c r="H16" s="38"/>
    </row>
    <row r="17" spans="1:13" ht="13.5" customHeight="1" x14ac:dyDescent="0.2">
      <c r="A17" s="61" t="s">
        <v>25</v>
      </c>
      <c r="B17" s="62" t="s">
        <v>0</v>
      </c>
      <c r="C17" s="28" t="s">
        <v>491</v>
      </c>
      <c r="D17" s="61" t="s">
        <v>490</v>
      </c>
      <c r="E17" s="522" t="s">
        <v>493</v>
      </c>
      <c r="F17" s="522" t="s">
        <v>494</v>
      </c>
      <c r="G17" s="28"/>
      <c r="H17" s="33"/>
    </row>
    <row r="18" spans="1:13" ht="13.5" customHeight="1" x14ac:dyDescent="0.2">
      <c r="A18" s="52" t="s">
        <v>38</v>
      </c>
      <c r="B18" s="56">
        <f>2200</f>
        <v>2200</v>
      </c>
      <c r="C18" s="51" t="s">
        <v>41</v>
      </c>
      <c r="D18" s="56"/>
      <c r="E18" s="301" t="s">
        <v>181</v>
      </c>
      <c r="F18" s="267"/>
      <c r="G18" s="521"/>
      <c r="H18" s="33"/>
    </row>
    <row r="19" spans="1:13" ht="13.5" customHeight="1" x14ac:dyDescent="0.2">
      <c r="A19" s="53" t="s">
        <v>63</v>
      </c>
      <c r="B19" s="56">
        <v>0.4</v>
      </c>
      <c r="C19" s="54" t="s">
        <v>42</v>
      </c>
      <c r="D19" s="56">
        <v>26</v>
      </c>
      <c r="E19" s="75" t="s">
        <v>179</v>
      </c>
      <c r="F19" s="299">
        <v>8</v>
      </c>
      <c r="G19" s="385"/>
      <c r="H19" s="35"/>
    </row>
    <row r="20" spans="1:13" ht="13.5" customHeight="1" x14ac:dyDescent="0.25">
      <c r="A20" s="52" t="s">
        <v>60</v>
      </c>
      <c r="B20" s="56">
        <f>B18*B19</f>
        <v>880</v>
      </c>
      <c r="C20" s="54" t="s">
        <v>24</v>
      </c>
      <c r="D20" s="56">
        <v>1.5</v>
      </c>
      <c r="E20" s="75" t="s">
        <v>178</v>
      </c>
      <c r="F20" s="298">
        <f>B38</f>
        <v>0.76049382716049385</v>
      </c>
      <c r="G20" s="26"/>
      <c r="H20" s="35"/>
    </row>
    <row r="21" spans="1:13" ht="13.5" customHeight="1" x14ac:dyDescent="0.2">
      <c r="A21" s="51" t="s">
        <v>492</v>
      </c>
      <c r="B21" s="56"/>
      <c r="C21" s="54" t="s">
        <v>43</v>
      </c>
      <c r="D21" s="56">
        <f>D19/D20</f>
        <v>17.333333333333332</v>
      </c>
      <c r="E21" s="297" t="s">
        <v>175</v>
      </c>
      <c r="F21" s="296">
        <f>F20/F19</f>
        <v>9.5061728395061731E-2</v>
      </c>
      <c r="G21" s="26"/>
      <c r="H21" s="35"/>
    </row>
    <row r="22" spans="1:13" ht="13.5" customHeight="1" x14ac:dyDescent="0.2">
      <c r="A22" s="54" t="s">
        <v>26</v>
      </c>
      <c r="B22" s="56">
        <v>800</v>
      </c>
      <c r="C22" s="65" t="s">
        <v>44</v>
      </c>
      <c r="D22" s="56">
        <f>D21/B23</f>
        <v>21.666666666666664</v>
      </c>
      <c r="E22" s="26"/>
      <c r="F22" s="26"/>
      <c r="G22" s="26"/>
      <c r="H22" s="35"/>
    </row>
    <row r="23" spans="1:13" ht="13.5" customHeight="1" x14ac:dyDescent="0.2">
      <c r="A23" s="54" t="s">
        <v>27</v>
      </c>
      <c r="B23" s="56">
        <f>B22/1000</f>
        <v>0.8</v>
      </c>
      <c r="C23" s="66" t="s">
        <v>37</v>
      </c>
      <c r="D23" s="56">
        <f>ROUNDUP(D22,0)</f>
        <v>22</v>
      </c>
      <c r="E23" s="26"/>
      <c r="F23" s="26"/>
      <c r="G23" s="26"/>
      <c r="H23" s="35"/>
    </row>
    <row r="24" spans="1:13" ht="13.5" customHeight="1" x14ac:dyDescent="0.2">
      <c r="A24" s="43" t="s">
        <v>69</v>
      </c>
      <c r="B24" s="11">
        <f>B20/B23</f>
        <v>1100</v>
      </c>
      <c r="C24" s="54" t="s">
        <v>45</v>
      </c>
      <c r="D24" s="56">
        <f>D23*B32</f>
        <v>985.60000000000014</v>
      </c>
      <c r="E24" s="521" t="s">
        <v>480</v>
      </c>
      <c r="F24" s="26"/>
      <c r="G24" s="26"/>
      <c r="H24" s="35"/>
      <c r="M24" s="41"/>
    </row>
    <row r="25" spans="1:13" ht="13.5" customHeight="1" x14ac:dyDescent="0.2">
      <c r="A25" s="54" t="s">
        <v>29</v>
      </c>
      <c r="B25" s="56">
        <v>10</v>
      </c>
      <c r="C25" s="66" t="s">
        <v>46</v>
      </c>
      <c r="D25" s="56">
        <f>D24/60</f>
        <v>16.426666666666669</v>
      </c>
      <c r="E25" s="385">
        <f>F20/B18</f>
        <v>3.45679012345679E-4</v>
      </c>
      <c r="F25" s="26"/>
      <c r="G25" s="26"/>
      <c r="H25" s="35"/>
      <c r="M25" s="50"/>
    </row>
    <row r="26" spans="1:13" ht="13.5" customHeight="1" x14ac:dyDescent="0.2">
      <c r="A26" s="54" t="s">
        <v>30</v>
      </c>
      <c r="B26" s="56">
        <v>6</v>
      </c>
      <c r="C26" s="65" t="s">
        <v>47</v>
      </c>
      <c r="D26" s="67">
        <f>G44</f>
        <v>2.9</v>
      </c>
      <c r="E26" s="26"/>
      <c r="F26" s="26"/>
      <c r="G26" s="26"/>
      <c r="H26" s="35"/>
    </row>
    <row r="27" spans="1:13" ht="13.5" customHeight="1" x14ac:dyDescent="0.2">
      <c r="A27" s="54" t="s">
        <v>31</v>
      </c>
      <c r="B27" s="56">
        <v>6</v>
      </c>
      <c r="C27" s="65" t="s">
        <v>48</v>
      </c>
      <c r="D27" s="67">
        <v>35</v>
      </c>
      <c r="E27" s="26"/>
      <c r="F27" s="26"/>
      <c r="G27" s="26"/>
      <c r="H27" s="35"/>
    </row>
    <row r="28" spans="1:13" ht="13.5" customHeight="1" x14ac:dyDescent="0.2">
      <c r="A28" s="54" t="s">
        <v>32</v>
      </c>
      <c r="B28" s="56">
        <v>6</v>
      </c>
      <c r="C28" s="65" t="s">
        <v>49</v>
      </c>
      <c r="D28" s="67">
        <f>D26/D27*60</f>
        <v>4.9714285714285715</v>
      </c>
      <c r="E28" s="26"/>
      <c r="F28" s="26"/>
      <c r="G28" s="26"/>
      <c r="H28" s="35"/>
    </row>
    <row r="29" spans="1:13" ht="13.5" customHeight="1" x14ac:dyDescent="0.2">
      <c r="A29" s="54" t="s">
        <v>35</v>
      </c>
      <c r="B29" s="56">
        <f>SUM(B25:B28)</f>
        <v>28</v>
      </c>
      <c r="C29" s="54" t="s">
        <v>50</v>
      </c>
      <c r="D29" s="56">
        <f>D25</f>
        <v>16.426666666666669</v>
      </c>
      <c r="E29" s="26"/>
      <c r="F29" s="26"/>
      <c r="G29" s="26"/>
      <c r="H29" s="35"/>
    </row>
    <row r="30" spans="1:13" ht="13.5" customHeight="1" x14ac:dyDescent="0.2">
      <c r="A30" s="54" t="s">
        <v>64</v>
      </c>
      <c r="B30" s="57">
        <f>60/80</f>
        <v>0.75</v>
      </c>
      <c r="C30" s="54" t="s">
        <v>51</v>
      </c>
      <c r="D30" s="56">
        <f>D28</f>
        <v>4.9714285714285715</v>
      </c>
      <c r="E30" s="26"/>
      <c r="F30" s="26"/>
      <c r="G30" s="26"/>
      <c r="H30" s="35"/>
    </row>
    <row r="31" spans="1:13" ht="13.5" customHeight="1" x14ac:dyDescent="0.2">
      <c r="A31" s="55" t="s">
        <v>65</v>
      </c>
      <c r="B31" s="58">
        <f>80/50</f>
        <v>1.6</v>
      </c>
      <c r="C31" s="54" t="s">
        <v>52</v>
      </c>
      <c r="D31" s="56">
        <v>2</v>
      </c>
      <c r="E31" s="26"/>
      <c r="F31" s="26"/>
      <c r="G31" s="26"/>
      <c r="H31" s="35"/>
    </row>
    <row r="32" spans="1:13" ht="13.5" customHeight="1" x14ac:dyDescent="0.2">
      <c r="A32" s="54" t="s">
        <v>34</v>
      </c>
      <c r="B32" s="56">
        <f>B29*B31</f>
        <v>44.800000000000004</v>
      </c>
      <c r="C32" s="54" t="s">
        <v>53</v>
      </c>
      <c r="D32" s="56">
        <f>D28</f>
        <v>4.9714285714285715</v>
      </c>
      <c r="E32" s="26" t="s">
        <v>112</v>
      </c>
      <c r="F32" s="26"/>
      <c r="G32" s="26"/>
      <c r="H32" s="35"/>
    </row>
    <row r="33" spans="1:8" ht="13.5" customHeight="1" x14ac:dyDescent="0.2">
      <c r="A33" s="54" t="s">
        <v>33</v>
      </c>
      <c r="B33" s="59">
        <f>60/B32</f>
        <v>1.3392857142857142</v>
      </c>
      <c r="C33" s="54" t="s">
        <v>54</v>
      </c>
      <c r="D33" s="56">
        <f>SUM(D29:D32)</f>
        <v>28.369523809523812</v>
      </c>
      <c r="E33" s="26"/>
      <c r="F33" s="26"/>
      <c r="G33" s="26"/>
      <c r="H33" s="35"/>
    </row>
    <row r="34" spans="1:8" ht="13.5" customHeight="1" x14ac:dyDescent="0.2">
      <c r="A34" s="54" t="s">
        <v>36</v>
      </c>
      <c r="B34" s="60">
        <f>B33*60</f>
        <v>80.357142857142847</v>
      </c>
      <c r="C34" s="54" t="s">
        <v>71</v>
      </c>
      <c r="D34" s="56">
        <f>D33/D29</f>
        <v>1.7270408163265305</v>
      </c>
      <c r="E34" s="26"/>
      <c r="F34" s="26"/>
      <c r="G34" s="26"/>
      <c r="H34" s="35"/>
    </row>
    <row r="35" spans="1:8" ht="13.5" customHeight="1" x14ac:dyDescent="0.2">
      <c r="A35" s="54" t="s">
        <v>40</v>
      </c>
      <c r="B35" s="56">
        <f>B34*B23</f>
        <v>64.285714285714278</v>
      </c>
      <c r="C35" s="66" t="s">
        <v>23</v>
      </c>
      <c r="D35" s="56">
        <f>ROUNDUP(D34,0)</f>
        <v>2</v>
      </c>
      <c r="E35" s="26"/>
      <c r="F35" s="26"/>
      <c r="G35" s="26"/>
      <c r="H35" s="35"/>
    </row>
    <row r="36" spans="1:8" ht="13.5" customHeight="1" x14ac:dyDescent="0.2">
      <c r="A36" s="54" t="s">
        <v>39</v>
      </c>
      <c r="B36" s="56">
        <f>B35*B30</f>
        <v>48.214285714285708</v>
      </c>
      <c r="C36" s="54" t="s">
        <v>56</v>
      </c>
      <c r="D36" s="58">
        <f>D35*D21</f>
        <v>34.666666666666664</v>
      </c>
      <c r="E36" s="26"/>
      <c r="F36" s="26"/>
      <c r="G36" s="26"/>
      <c r="H36" s="35"/>
    </row>
    <row r="37" spans="1:8" ht="13.5" customHeight="1" x14ac:dyDescent="0.2">
      <c r="A37" s="63" t="s">
        <v>67</v>
      </c>
      <c r="B37" s="64">
        <f>B20/B36</f>
        <v>18.251851851851853</v>
      </c>
      <c r="C37" s="54" t="s">
        <v>55</v>
      </c>
      <c r="D37" s="58">
        <f>B20/D36</f>
        <v>25.384615384615387</v>
      </c>
      <c r="E37" s="26"/>
      <c r="F37" s="26"/>
      <c r="G37" s="26"/>
      <c r="H37" s="35"/>
    </row>
    <row r="38" spans="1:8" ht="13.5" customHeight="1" x14ac:dyDescent="0.2">
      <c r="A38" s="63" t="s">
        <v>66</v>
      </c>
      <c r="B38" s="529">
        <f>B37/24</f>
        <v>0.76049382716049385</v>
      </c>
      <c r="C38" s="66" t="s">
        <v>23</v>
      </c>
      <c r="D38" s="56">
        <f>ROUNDUP(D37,0)</f>
        <v>26</v>
      </c>
      <c r="E38" s="26"/>
      <c r="F38" s="26"/>
      <c r="G38" s="26"/>
      <c r="H38" s="35"/>
    </row>
    <row r="39" spans="1:8" ht="13.5" customHeight="1" x14ac:dyDescent="0.2">
      <c r="B39" s="26"/>
      <c r="C39" s="55" t="s">
        <v>57</v>
      </c>
      <c r="D39" s="56">
        <f>D38*D33*D35</f>
        <v>1475.2152380952382</v>
      </c>
      <c r="E39" s="26"/>
      <c r="F39" s="26"/>
      <c r="H39" s="35"/>
    </row>
    <row r="40" spans="1:8" ht="13.5" customHeight="1" x14ac:dyDescent="0.2">
      <c r="A40" s="34"/>
      <c r="B40" s="26"/>
      <c r="C40" s="71" t="s">
        <v>72</v>
      </c>
      <c r="D40" s="71">
        <f>ROUNDUP(B20/D21,0)</f>
        <v>51</v>
      </c>
      <c r="E40" s="26"/>
      <c r="F40" s="26"/>
      <c r="G40" s="26"/>
      <c r="H40" s="35"/>
    </row>
    <row r="41" spans="1:8" ht="13.5" customHeight="1" x14ac:dyDescent="0.2">
      <c r="C41" s="68" t="s">
        <v>58</v>
      </c>
      <c r="D41" s="1154">
        <f>D39/60/24</f>
        <v>1.0244550264550265</v>
      </c>
      <c r="E41" s="26"/>
      <c r="F41" s="26"/>
      <c r="G41" s="26"/>
      <c r="H41" s="35"/>
    </row>
    <row r="42" spans="1:8" ht="19.5" customHeight="1" x14ac:dyDescent="0.2">
      <c r="A42" s="14" t="s">
        <v>9</v>
      </c>
      <c r="B42" s="15"/>
      <c r="C42" s="15"/>
      <c r="D42" s="15"/>
      <c r="E42" s="15"/>
      <c r="F42" s="1155" t="s">
        <v>16</v>
      </c>
      <c r="G42" s="1155"/>
      <c r="H42" s="1156"/>
    </row>
    <row r="43" spans="1:8" ht="19.5" customHeight="1" x14ac:dyDescent="0.2">
      <c r="A43" s="16" t="s">
        <v>4</v>
      </c>
      <c r="B43" s="17" t="s">
        <v>5</v>
      </c>
      <c r="C43" s="17" t="s">
        <v>1</v>
      </c>
      <c r="D43" s="17" t="s">
        <v>6</v>
      </c>
      <c r="E43" s="18" t="s">
        <v>7</v>
      </c>
      <c r="F43" s="19" t="s">
        <v>17</v>
      </c>
      <c r="G43" s="19" t="s">
        <v>18</v>
      </c>
      <c r="H43" s="21" t="s">
        <v>19</v>
      </c>
    </row>
    <row r="44" spans="1:8" ht="51" customHeight="1" thickBot="1" x14ac:dyDescent="0.25">
      <c r="A44" s="23" t="s">
        <v>591</v>
      </c>
      <c r="B44" s="23">
        <f>D20*B20</f>
        <v>1320</v>
      </c>
      <c r="C44" s="24" t="s">
        <v>592</v>
      </c>
      <c r="D44" s="616">
        <v>3</v>
      </c>
      <c r="E44" s="25">
        <f>B44*D44</f>
        <v>3960</v>
      </c>
      <c r="F44" s="620" t="s">
        <v>593</v>
      </c>
      <c r="G44" s="617">
        <v>2.9</v>
      </c>
      <c r="H44" s="618">
        <v>26</v>
      </c>
    </row>
    <row r="45" spans="1:8" ht="19.5" customHeight="1" x14ac:dyDescent="0.2">
      <c r="A45" s="374"/>
      <c r="B45" s="1"/>
      <c r="C45" s="497"/>
      <c r="D45" s="1" t="str">
        <f>IF(A45="","",VLOOKUP(A45,$O$3:$P$19,2,FALSE))</f>
        <v/>
      </c>
      <c r="E45" s="2" t="str">
        <f>IF(A45="","",B45*D45)</f>
        <v/>
      </c>
      <c r="F45" s="11"/>
      <c r="G45" s="11"/>
      <c r="H45" s="22"/>
    </row>
    <row r="46" spans="1:8" ht="19.5" customHeight="1" x14ac:dyDescent="0.2">
      <c r="A46" s="44"/>
      <c r="B46" s="1"/>
      <c r="C46" s="497"/>
      <c r="D46" s="1" t="str">
        <f>IF(A46="","",VLOOKUP(A46,$O$3:$P$19,2,FALSE))</f>
        <v/>
      </c>
      <c r="E46" s="2" t="str">
        <f>IF(A46="","",B46*D46)</f>
        <v/>
      </c>
      <c r="F46" s="11"/>
      <c r="G46" s="11"/>
      <c r="H46" s="22"/>
    </row>
    <row r="47" spans="1:8" ht="19.5" customHeight="1" x14ac:dyDescent="0.2">
      <c r="A47" s="44"/>
      <c r="B47" s="1"/>
      <c r="C47" s="497"/>
      <c r="D47" s="1" t="str">
        <f>IF(A47="","",VLOOKUP(A47,$O$3:$P$19,2,FALSE))</f>
        <v/>
      </c>
      <c r="E47" s="2" t="str">
        <f>IF(A47="","",B47*D47)</f>
        <v/>
      </c>
      <c r="F47" s="11"/>
      <c r="G47" s="11"/>
      <c r="H47" s="22"/>
    </row>
    <row r="48" spans="1:8" ht="19.5" customHeight="1" thickBot="1" x14ac:dyDescent="0.25">
      <c r="A48" s="45"/>
      <c r="B48" s="23"/>
      <c r="C48" s="24"/>
      <c r="D48" s="23" t="str">
        <f>IF(A48="","",VLOOKUP(A48,$O$3:$P$19,2,FALSE))</f>
        <v/>
      </c>
      <c r="E48" s="25" t="str">
        <f>IF(A48="","",B48*D48)</f>
        <v/>
      </c>
      <c r="F48" s="12"/>
      <c r="G48" s="12"/>
      <c r="H48" s="13"/>
    </row>
    <row r="49" spans="1:4" ht="19.5" customHeight="1" x14ac:dyDescent="0.2"/>
    <row r="50" spans="1:4" ht="19.5" customHeight="1" x14ac:dyDescent="0.2">
      <c r="A50" s="273"/>
      <c r="D50" s="1153"/>
    </row>
    <row r="51" spans="1:4" ht="19.5" customHeight="1" x14ac:dyDescent="0.2">
      <c r="A51">
        <f>1320/18</f>
        <v>73.333333333333329</v>
      </c>
    </row>
    <row r="52" spans="1:4" ht="19.5" customHeight="1" x14ac:dyDescent="0.2">
      <c r="A52">
        <f>A51*8</f>
        <v>586.66666666666663</v>
      </c>
    </row>
    <row r="53" spans="1:4" ht="19.5" customHeight="1" x14ac:dyDescent="0.2">
      <c r="A53">
        <f>A51*8</f>
        <v>586.66666666666663</v>
      </c>
    </row>
    <row r="54" spans="1:4" ht="19.5" customHeight="1" x14ac:dyDescent="0.2">
      <c r="A54">
        <f>A51*2</f>
        <v>146.66666666666666</v>
      </c>
    </row>
    <row r="55" spans="1:4" ht="19.5" customHeight="1" x14ac:dyDescent="0.2">
      <c r="A55">
        <f>A53+A54+A52</f>
        <v>1320</v>
      </c>
    </row>
    <row r="56" spans="1:4" ht="19.5" customHeight="1" x14ac:dyDescent="0.2"/>
    <row r="57" spans="1:4" ht="19.5" customHeight="1" x14ac:dyDescent="0.2"/>
    <row r="58" spans="1:4" ht="19.5" customHeight="1" x14ac:dyDescent="0.2"/>
    <row r="59" spans="1:4" ht="19.5" customHeight="1" x14ac:dyDescent="0.2"/>
    <row r="60" spans="1:4" ht="19.5" customHeight="1" x14ac:dyDescent="0.2"/>
    <row r="61" spans="1:4" ht="19.5" customHeight="1" x14ac:dyDescent="0.2"/>
    <row r="62" spans="1:4" ht="19.5" customHeight="1" x14ac:dyDescent="0.2"/>
    <row r="63" spans="1:4" ht="19.5" customHeight="1" x14ac:dyDescent="0.2"/>
    <row r="64" spans="1: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sheetData>
  <mergeCells count="13">
    <mergeCell ref="F42:H42"/>
    <mergeCell ref="A6:H6"/>
    <mergeCell ref="A1:C1"/>
    <mergeCell ref="D1:H1"/>
    <mergeCell ref="A2:C2"/>
    <mergeCell ref="D2:H2"/>
    <mergeCell ref="A3:A4"/>
    <mergeCell ref="B3:D4"/>
    <mergeCell ref="A5:H5"/>
    <mergeCell ref="A7:D7"/>
    <mergeCell ref="E7:H7"/>
    <mergeCell ref="C8:D8"/>
    <mergeCell ref="G8:H8"/>
  </mergeCells>
  <printOptions horizontalCentered="1" verticalCentered="1"/>
  <pageMargins left="0" right="0" top="0" bottom="0" header="0" footer="0"/>
  <pageSetup paperSize="9" scale="57"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view="pageBreakPreview" zoomScale="60" zoomScaleNormal="100" workbookViewId="0">
      <selection activeCell="F30" sqref="F30"/>
    </sheetView>
  </sheetViews>
  <sheetFormatPr baseColWidth="10" defaultRowHeight="12.75" x14ac:dyDescent="0.2"/>
  <cols>
    <col min="1" max="1" width="22.7109375" customWidth="1"/>
    <col min="4" max="4" width="27.5703125" customWidth="1"/>
    <col min="5" max="5" width="15.42578125" bestFit="1" customWidth="1"/>
    <col min="6" max="6" width="21.140625" customWidth="1"/>
    <col min="7" max="7" width="25.4257812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488</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122</v>
      </c>
      <c r="F4" s="70" t="s">
        <v>73</v>
      </c>
      <c r="G4" s="8" t="s">
        <v>601</v>
      </c>
      <c r="H4" s="10" t="s">
        <v>602</v>
      </c>
    </row>
    <row r="5" spans="1:8" x14ac:dyDescent="0.2">
      <c r="A5" s="1175" t="s">
        <v>14</v>
      </c>
      <c r="B5" s="1176"/>
      <c r="C5" s="1176"/>
      <c r="D5" s="1176"/>
      <c r="E5" s="1176"/>
      <c r="F5" s="1176"/>
      <c r="G5" s="1176"/>
      <c r="H5" s="1177"/>
    </row>
    <row r="6" spans="1:8" ht="97.5" customHeight="1" x14ac:dyDescent="0.2">
      <c r="A6" s="1190" t="s">
        <v>424</v>
      </c>
      <c r="B6" s="1191"/>
      <c r="C6" s="1191"/>
      <c r="D6" s="1191"/>
      <c r="E6" s="1191"/>
      <c r="F6" s="1191"/>
      <c r="G6" s="1191"/>
      <c r="H6" s="1192"/>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x14ac:dyDescent="0.2">
      <c r="A9" s="20" t="s">
        <v>585</v>
      </c>
      <c r="B9" s="1">
        <v>1</v>
      </c>
      <c r="C9" s="1181" t="s">
        <v>247</v>
      </c>
      <c r="D9" s="1182"/>
      <c r="E9" s="1" t="s">
        <v>586</v>
      </c>
      <c r="F9" s="1">
        <v>1</v>
      </c>
      <c r="G9" s="1181" t="s">
        <v>310</v>
      </c>
      <c r="H9" s="1182"/>
    </row>
    <row r="10" spans="1:8" x14ac:dyDescent="0.2">
      <c r="A10" s="20" t="s">
        <v>320</v>
      </c>
      <c r="B10" s="1">
        <v>2</v>
      </c>
      <c r="C10" s="1181" t="s">
        <v>587</v>
      </c>
      <c r="D10" s="1182"/>
      <c r="E10" s="1" t="s">
        <v>588</v>
      </c>
      <c r="F10" s="1">
        <v>2</v>
      </c>
      <c r="G10" s="1181" t="s">
        <v>311</v>
      </c>
      <c r="H10" s="1182"/>
    </row>
    <row r="11" spans="1:8" x14ac:dyDescent="0.2">
      <c r="A11" s="20"/>
      <c r="B11" s="1"/>
      <c r="C11" s="26"/>
      <c r="D11" s="26"/>
      <c r="E11" s="1" t="s">
        <v>303</v>
      </c>
      <c r="F11" s="1">
        <v>1</v>
      </c>
      <c r="G11" s="1181" t="s">
        <v>594</v>
      </c>
      <c r="H11" s="1182"/>
    </row>
    <row r="12" spans="1:8" x14ac:dyDescent="0.2">
      <c r="A12" s="20"/>
      <c r="B12" s="1"/>
      <c r="C12" s="26"/>
      <c r="D12" s="26"/>
      <c r="E12" s="1" t="s">
        <v>595</v>
      </c>
      <c r="F12" s="1">
        <v>1</v>
      </c>
      <c r="G12" s="1181" t="s">
        <v>596</v>
      </c>
      <c r="H12" s="1182"/>
    </row>
    <row r="13" spans="1:8" x14ac:dyDescent="0.2">
      <c r="A13" s="20"/>
      <c r="B13" s="1"/>
      <c r="C13" s="26"/>
      <c r="D13" s="26"/>
      <c r="E13" s="1" t="s">
        <v>597</v>
      </c>
      <c r="F13" s="1">
        <v>1</v>
      </c>
      <c r="G13" s="1181" t="s">
        <v>598</v>
      </c>
      <c r="H13" s="1182"/>
    </row>
    <row r="14" spans="1:8" ht="14.25" x14ac:dyDescent="0.2">
      <c r="A14" s="31" t="s">
        <v>11</v>
      </c>
      <c r="B14" s="30"/>
      <c r="C14" s="30"/>
      <c r="D14" s="30"/>
      <c r="E14" s="30"/>
      <c r="F14" s="30"/>
      <c r="G14" s="30"/>
      <c r="H14" s="32"/>
    </row>
    <row r="15" spans="1:8" ht="24.75" customHeight="1" x14ac:dyDescent="0.2">
      <c r="A15" s="1193" t="s">
        <v>599</v>
      </c>
      <c r="B15" s="1193"/>
      <c r="C15" s="1193"/>
      <c r="D15" s="1193"/>
      <c r="E15" s="1193"/>
      <c r="F15" s="1193"/>
      <c r="G15" s="1193"/>
      <c r="H15" s="1193"/>
    </row>
    <row r="16" spans="1:8" ht="14.25" x14ac:dyDescent="0.2">
      <c r="A16" s="31" t="s">
        <v>20</v>
      </c>
      <c r="B16" s="29"/>
      <c r="C16" s="29"/>
      <c r="D16" s="29"/>
      <c r="E16" s="29"/>
      <c r="F16" s="29"/>
      <c r="G16" s="29"/>
      <c r="H16" s="38"/>
    </row>
    <row r="17" spans="1:8" x14ac:dyDescent="0.2">
      <c r="A17" s="61" t="s">
        <v>25</v>
      </c>
      <c r="B17" s="62" t="s">
        <v>0</v>
      </c>
      <c r="C17" s="28"/>
      <c r="D17" s="61" t="s">
        <v>25</v>
      </c>
      <c r="E17" s="62" t="s">
        <v>0</v>
      </c>
      <c r="F17" s="28"/>
      <c r="G17" s="28"/>
      <c r="H17" s="33"/>
    </row>
    <row r="18" spans="1:8" x14ac:dyDescent="0.2">
      <c r="A18" s="274" t="s">
        <v>589</v>
      </c>
      <c r="B18" s="56">
        <v>123.51</v>
      </c>
      <c r="C18" s="28"/>
      <c r="D18" s="51" t="s">
        <v>41</v>
      </c>
      <c r="E18" s="56"/>
      <c r="F18" s="28"/>
      <c r="G18" s="521" t="s">
        <v>600</v>
      </c>
      <c r="H18" s="33"/>
    </row>
    <row r="19" spans="1:8" x14ac:dyDescent="0.2">
      <c r="A19" s="53" t="s">
        <v>590</v>
      </c>
      <c r="B19" s="56">
        <v>1</v>
      </c>
      <c r="C19" s="26"/>
      <c r="D19" s="54" t="s">
        <v>42</v>
      </c>
      <c r="E19" s="56">
        <v>26</v>
      </c>
      <c r="F19" s="26"/>
      <c r="G19" s="385">
        <f>H25/B18</f>
        <v>6.4814814814814802E-4</v>
      </c>
      <c r="H19" s="35"/>
    </row>
    <row r="20" spans="1:8" x14ac:dyDescent="0.2">
      <c r="A20" s="53" t="s">
        <v>193</v>
      </c>
      <c r="B20" s="56">
        <v>0.9</v>
      </c>
      <c r="C20" s="26"/>
      <c r="D20" s="54" t="s">
        <v>24</v>
      </c>
      <c r="E20" s="56">
        <v>1.5</v>
      </c>
      <c r="F20" s="26"/>
      <c r="G20" s="26"/>
      <c r="H20" s="35"/>
    </row>
    <row r="21" spans="1:8" x14ac:dyDescent="0.2">
      <c r="A21" s="52" t="s">
        <v>60</v>
      </c>
      <c r="B21" s="275">
        <f>B18*B19*B20</f>
        <v>111.15900000000001</v>
      </c>
      <c r="C21" s="26"/>
      <c r="D21" s="54" t="s">
        <v>43</v>
      </c>
      <c r="E21" s="56">
        <f>E19/E20</f>
        <v>17.333333333333332</v>
      </c>
      <c r="F21" s="26"/>
      <c r="G21" s="26"/>
      <c r="H21" s="35"/>
    </row>
    <row r="22" spans="1:8" x14ac:dyDescent="0.2">
      <c r="A22" s="51" t="s">
        <v>604</v>
      </c>
      <c r="B22" s="56"/>
      <c r="C22" s="26"/>
      <c r="D22" s="65" t="s">
        <v>44</v>
      </c>
      <c r="E22" s="56">
        <f>E21/B24</f>
        <v>21.666666666666664</v>
      </c>
      <c r="F22" s="26"/>
      <c r="G22" s="26"/>
      <c r="H22" s="35"/>
    </row>
    <row r="23" spans="1:8" x14ac:dyDescent="0.2">
      <c r="A23" s="54" t="s">
        <v>26</v>
      </c>
      <c r="B23" s="56">
        <v>800</v>
      </c>
      <c r="C23" s="26"/>
      <c r="D23" s="66" t="s">
        <v>37</v>
      </c>
      <c r="E23" s="56">
        <f>ROUNDUP(E22,0)</f>
        <v>22</v>
      </c>
      <c r="F23" s="26"/>
      <c r="G23" s="523" t="s">
        <v>181</v>
      </c>
      <c r="H23" s="524"/>
    </row>
    <row r="24" spans="1:8" x14ac:dyDescent="0.2">
      <c r="A24" s="54" t="s">
        <v>27</v>
      </c>
      <c r="B24" s="56">
        <f>B23/1000</f>
        <v>0.8</v>
      </c>
      <c r="C24" s="26"/>
      <c r="D24" s="54" t="s">
        <v>45</v>
      </c>
      <c r="E24" s="56">
        <f>E23*B33</f>
        <v>821.33333333333326</v>
      </c>
      <c r="F24" s="26"/>
      <c r="G24" s="527" t="s">
        <v>179</v>
      </c>
      <c r="H24" s="525">
        <v>8</v>
      </c>
    </row>
    <row r="25" spans="1:8" ht="15" x14ac:dyDescent="0.25">
      <c r="A25" s="43" t="s">
        <v>69</v>
      </c>
      <c r="B25" s="11">
        <f>B21/B24</f>
        <v>138.94874999999999</v>
      </c>
      <c r="C25" s="26"/>
      <c r="D25" s="66" t="s">
        <v>46</v>
      </c>
      <c r="E25" s="56">
        <f>E24/60</f>
        <v>13.688888888888888</v>
      </c>
      <c r="F25" s="26"/>
      <c r="G25" s="293" t="s">
        <v>178</v>
      </c>
      <c r="H25" s="526">
        <f>B39</f>
        <v>8.0052777777777764E-2</v>
      </c>
    </row>
    <row r="26" spans="1:8" x14ac:dyDescent="0.2">
      <c r="A26" s="54" t="s">
        <v>29</v>
      </c>
      <c r="B26" s="56">
        <v>10</v>
      </c>
      <c r="C26" s="26"/>
      <c r="D26" s="65" t="s">
        <v>47</v>
      </c>
      <c r="E26" s="67">
        <f>G44</f>
        <v>2.9</v>
      </c>
      <c r="F26" s="26"/>
      <c r="G26" s="527" t="s">
        <v>175</v>
      </c>
      <c r="H26" s="528">
        <f>H25/H24</f>
        <v>1.0006597222222221E-2</v>
      </c>
    </row>
    <row r="27" spans="1:8" x14ac:dyDescent="0.2">
      <c r="A27" s="54" t="s">
        <v>30</v>
      </c>
      <c r="B27" s="56">
        <v>6</v>
      </c>
      <c r="C27" s="26"/>
      <c r="D27" s="65" t="s">
        <v>48</v>
      </c>
      <c r="E27" s="67">
        <v>45</v>
      </c>
      <c r="F27" s="26"/>
      <c r="G27" s="26"/>
      <c r="H27" s="35"/>
    </row>
    <row r="28" spans="1:8" x14ac:dyDescent="0.2">
      <c r="A28" s="54" t="s">
        <v>31</v>
      </c>
      <c r="B28" s="56">
        <v>6</v>
      </c>
      <c r="C28" s="26"/>
      <c r="D28" s="65" t="s">
        <v>49</v>
      </c>
      <c r="E28" s="67">
        <f>E26/E27*60</f>
        <v>3.8666666666666667</v>
      </c>
      <c r="F28" s="26"/>
      <c r="G28" s="26"/>
      <c r="H28" s="35"/>
    </row>
    <row r="29" spans="1:8" x14ac:dyDescent="0.2">
      <c r="A29" s="54" t="s">
        <v>32</v>
      </c>
      <c r="B29" s="56">
        <v>6</v>
      </c>
      <c r="C29" s="26"/>
      <c r="D29" s="54" t="s">
        <v>50</v>
      </c>
      <c r="E29" s="56">
        <f>E25</f>
        <v>13.688888888888888</v>
      </c>
      <c r="F29" s="26"/>
      <c r="G29" s="26"/>
      <c r="H29" s="35"/>
    </row>
    <row r="30" spans="1:8" x14ac:dyDescent="0.2">
      <c r="A30" s="54" t="s">
        <v>35</v>
      </c>
      <c r="B30" s="56">
        <f>SUM(B26:B29)</f>
        <v>28</v>
      </c>
      <c r="C30" s="26"/>
      <c r="D30" s="54" t="s">
        <v>51</v>
      </c>
      <c r="E30" s="56">
        <f>E28</f>
        <v>3.8666666666666667</v>
      </c>
      <c r="F30" s="26"/>
      <c r="G30" s="26"/>
      <c r="H30" s="35"/>
    </row>
    <row r="31" spans="1:8" x14ac:dyDescent="0.2">
      <c r="A31" s="54" t="s">
        <v>64</v>
      </c>
      <c r="B31" s="57">
        <f>60/80</f>
        <v>0.75</v>
      </c>
      <c r="C31" s="26"/>
      <c r="D31" s="54" t="s">
        <v>52</v>
      </c>
      <c r="E31" s="56">
        <v>2</v>
      </c>
      <c r="F31" s="26"/>
      <c r="G31" s="26"/>
      <c r="H31" s="35"/>
    </row>
    <row r="32" spans="1:8" x14ac:dyDescent="0.2">
      <c r="A32" s="55" t="s">
        <v>65</v>
      </c>
      <c r="B32" s="58">
        <f>80/60</f>
        <v>1.3333333333333333</v>
      </c>
      <c r="C32" s="26"/>
      <c r="D32" s="54" t="s">
        <v>53</v>
      </c>
      <c r="E32" s="56">
        <f>E28</f>
        <v>3.8666666666666667</v>
      </c>
      <c r="F32" s="26"/>
      <c r="G32" s="26"/>
      <c r="H32" s="35"/>
    </row>
    <row r="33" spans="1:8" x14ac:dyDescent="0.2">
      <c r="A33" s="54" t="s">
        <v>34</v>
      </c>
      <c r="B33" s="56">
        <f>B30*B32</f>
        <v>37.333333333333329</v>
      </c>
      <c r="C33" s="26"/>
      <c r="D33" s="54" t="s">
        <v>54</v>
      </c>
      <c r="E33" s="56">
        <f>SUM(E29:E32)</f>
        <v>23.422222222222221</v>
      </c>
      <c r="F33" s="26"/>
      <c r="G33" s="26"/>
      <c r="H33" s="35"/>
    </row>
    <row r="34" spans="1:8" x14ac:dyDescent="0.2">
      <c r="A34" s="54" t="s">
        <v>33</v>
      </c>
      <c r="B34" s="59">
        <f>60/B33</f>
        <v>1.6071428571428574</v>
      </c>
      <c r="C34" s="26"/>
      <c r="D34" s="54" t="s">
        <v>71</v>
      </c>
      <c r="E34" s="56">
        <f>E33/E29</f>
        <v>1.7110389610389609</v>
      </c>
      <c r="F34" s="26"/>
      <c r="G34" s="26"/>
      <c r="H34" s="35"/>
    </row>
    <row r="35" spans="1:8" x14ac:dyDescent="0.2">
      <c r="A35" s="54" t="s">
        <v>36</v>
      </c>
      <c r="B35" s="60">
        <f>B34*60</f>
        <v>96.428571428571445</v>
      </c>
      <c r="C35" s="26"/>
      <c r="D35" s="66" t="s">
        <v>23</v>
      </c>
      <c r="E35" s="56">
        <f>ROUNDUP(E34,0)</f>
        <v>2</v>
      </c>
      <c r="F35" s="26"/>
      <c r="G35" s="26"/>
      <c r="H35" s="35"/>
    </row>
    <row r="36" spans="1:8" x14ac:dyDescent="0.2">
      <c r="A36" s="54" t="s">
        <v>40</v>
      </c>
      <c r="B36" s="56">
        <f>B35*B24</f>
        <v>77.142857142857167</v>
      </c>
      <c r="C36" s="26"/>
      <c r="D36" s="54" t="s">
        <v>56</v>
      </c>
      <c r="E36" s="58">
        <f>E35*E21</f>
        <v>34.666666666666664</v>
      </c>
      <c r="F36" s="26"/>
      <c r="G36" s="26"/>
      <c r="H36" s="35"/>
    </row>
    <row r="37" spans="1:8" x14ac:dyDescent="0.2">
      <c r="A37" s="54" t="s">
        <v>39</v>
      </c>
      <c r="B37" s="56">
        <f>B36*B31</f>
        <v>57.857142857142875</v>
      </c>
      <c r="C37" s="26"/>
      <c r="D37" s="54" t="s">
        <v>55</v>
      </c>
      <c r="E37" s="58">
        <f>B21/E36</f>
        <v>3.2065096153846158</v>
      </c>
      <c r="F37" s="26"/>
      <c r="G37" s="26"/>
      <c r="H37" s="35"/>
    </row>
    <row r="38" spans="1:8" x14ac:dyDescent="0.2">
      <c r="A38" s="63" t="s">
        <v>67</v>
      </c>
      <c r="B38" s="64">
        <f>B21/B37</f>
        <v>1.9212666666666662</v>
      </c>
      <c r="C38" s="26"/>
      <c r="D38" s="66" t="s">
        <v>23</v>
      </c>
      <c r="E38" s="56">
        <f>ROUNDUP(E37,0)</f>
        <v>4</v>
      </c>
      <c r="F38" s="26"/>
      <c r="G38" s="26"/>
      <c r="H38" s="35"/>
    </row>
    <row r="39" spans="1:8" x14ac:dyDescent="0.2">
      <c r="A39" s="63" t="s">
        <v>66</v>
      </c>
      <c r="B39" s="69">
        <f>B38/24</f>
        <v>8.0052777777777764E-2</v>
      </c>
      <c r="C39" s="26"/>
      <c r="D39" s="55" t="s">
        <v>57</v>
      </c>
      <c r="E39" s="56">
        <f>E38*E33*E35</f>
        <v>187.37777777777777</v>
      </c>
      <c r="F39" s="26"/>
      <c r="H39" s="35"/>
    </row>
    <row r="40" spans="1:8" x14ac:dyDescent="0.2">
      <c r="A40" s="52"/>
      <c r="B40" s="56"/>
      <c r="C40" s="26"/>
      <c r="D40" s="71" t="s">
        <v>72</v>
      </c>
      <c r="E40" s="71">
        <f>ROUNDUP(B21/E21,0)</f>
        <v>7</v>
      </c>
      <c r="F40" s="26"/>
      <c r="G40" s="26"/>
      <c r="H40" s="35"/>
    </row>
    <row r="41" spans="1:8" x14ac:dyDescent="0.2">
      <c r="B41" s="26"/>
      <c r="C41" s="26"/>
      <c r="D41" s="68" t="s">
        <v>58</v>
      </c>
      <c r="E41" s="69">
        <f>E39/60/24</f>
        <v>0.13012345679012347</v>
      </c>
      <c r="F41" s="26"/>
      <c r="G41" s="26"/>
      <c r="H41" s="35"/>
    </row>
    <row r="42" spans="1:8" x14ac:dyDescent="0.2">
      <c r="A42" s="14" t="s">
        <v>9</v>
      </c>
      <c r="B42" s="15"/>
      <c r="C42" s="15"/>
      <c r="D42" s="15"/>
      <c r="E42" s="15"/>
      <c r="F42" s="1155" t="s">
        <v>16</v>
      </c>
      <c r="G42" s="1155"/>
      <c r="H42" s="1156"/>
    </row>
    <row r="43" spans="1:8" ht="25.5" x14ac:dyDescent="0.2">
      <c r="A43" s="16" t="s">
        <v>4</v>
      </c>
      <c r="B43" s="17" t="s">
        <v>5</v>
      </c>
      <c r="C43" s="17" t="s">
        <v>1</v>
      </c>
      <c r="D43" s="17" t="s">
        <v>6</v>
      </c>
      <c r="E43" s="18" t="s">
        <v>7</v>
      </c>
      <c r="F43" s="19" t="s">
        <v>17</v>
      </c>
      <c r="G43" s="19" t="s">
        <v>18</v>
      </c>
      <c r="H43" s="21" t="s">
        <v>19</v>
      </c>
    </row>
    <row r="44" spans="1:8" ht="48.75" thickBot="1" x14ac:dyDescent="0.25">
      <c r="A44" s="23" t="s">
        <v>591</v>
      </c>
      <c r="B44" s="23">
        <f>E20*B21</f>
        <v>166.73850000000002</v>
      </c>
      <c r="C44" s="24" t="s">
        <v>592</v>
      </c>
      <c r="D44" s="616">
        <v>3</v>
      </c>
      <c r="E44" s="25">
        <f>B44*D44</f>
        <v>500.21550000000002</v>
      </c>
      <c r="F44" s="620" t="s">
        <v>593</v>
      </c>
      <c r="G44" s="617">
        <v>2.9</v>
      </c>
      <c r="H44" s="618">
        <v>4</v>
      </c>
    </row>
    <row r="45" spans="1:8" ht="13.5" thickBot="1" x14ac:dyDescent="0.25">
      <c r="A45" s="45"/>
      <c r="B45" s="23"/>
      <c r="C45" s="24"/>
      <c r="D45" s="23" t="str">
        <f>IF(A45="","",VLOOKUP(A45,$O$3:$P$15,2,FALSE))</f>
        <v/>
      </c>
      <c r="E45" s="25" t="str">
        <f>IF(A45="","",B45*D45)</f>
        <v/>
      </c>
      <c r="F45" s="12"/>
      <c r="G45" s="12"/>
      <c r="H45" s="13"/>
    </row>
  </sheetData>
  <mergeCells count="21">
    <mergeCell ref="A1:C1"/>
    <mergeCell ref="D1:H1"/>
    <mergeCell ref="A2:C2"/>
    <mergeCell ref="D2:H2"/>
    <mergeCell ref="A3:A4"/>
    <mergeCell ref="B3:D4"/>
    <mergeCell ref="F42:H42"/>
    <mergeCell ref="A6:H6"/>
    <mergeCell ref="G11:H11"/>
    <mergeCell ref="G12:H12"/>
    <mergeCell ref="G13:H13"/>
    <mergeCell ref="A15:H15"/>
    <mergeCell ref="G9:H9"/>
    <mergeCell ref="G10:H10"/>
    <mergeCell ref="C9:D9"/>
    <mergeCell ref="C10:D10"/>
    <mergeCell ref="A5:H5"/>
    <mergeCell ref="A7:D7"/>
    <mergeCell ref="E7:H7"/>
    <mergeCell ref="C8:D8"/>
    <mergeCell ref="G8:H8"/>
  </mergeCells>
  <pageMargins left="0.25" right="0.25" top="0.75" bottom="0.75" header="0.3" footer="0.3"/>
  <pageSetup paperSize="9" scale="68"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9"/>
  <sheetViews>
    <sheetView showGridLines="0" topLeftCell="A10" zoomScale="85" zoomScaleNormal="85" workbookViewId="0">
      <selection activeCell="H45" sqref="H45"/>
    </sheetView>
  </sheetViews>
  <sheetFormatPr baseColWidth="10" defaultRowHeight="12.75" x14ac:dyDescent="0.2"/>
  <cols>
    <col min="1" max="1" width="25.5703125" customWidth="1"/>
    <col min="2" max="2" width="6.42578125" customWidth="1"/>
    <col min="3" max="3" width="26.42578125" customWidth="1"/>
    <col min="4" max="4" width="26.7109375" bestFit="1" customWidth="1"/>
    <col min="5" max="5" width="15.7109375" customWidth="1"/>
    <col min="6" max="6" width="15" customWidth="1"/>
    <col min="7" max="7" width="12.42578125" customWidth="1"/>
    <col min="8" max="8" width="13.7109375"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164" t="s">
        <v>425</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13</v>
      </c>
      <c r="F4" s="70" t="s">
        <v>1</v>
      </c>
      <c r="G4" s="8" t="s">
        <v>636</v>
      </c>
      <c r="H4" s="10" t="s">
        <v>637</v>
      </c>
    </row>
    <row r="5" spans="1:8" x14ac:dyDescent="0.2">
      <c r="A5" s="1175" t="s">
        <v>14</v>
      </c>
      <c r="B5" s="1176"/>
      <c r="C5" s="1176"/>
      <c r="D5" s="1176"/>
      <c r="E5" s="1176"/>
      <c r="F5" s="1176"/>
      <c r="G5" s="1176"/>
      <c r="H5" s="1177"/>
    </row>
    <row r="6" spans="1:8" ht="138.75" customHeight="1" x14ac:dyDescent="0.2">
      <c r="A6" s="1190" t="s">
        <v>424</v>
      </c>
      <c r="B6" s="1191"/>
      <c r="C6" s="1191"/>
      <c r="D6" s="1191"/>
      <c r="E6" s="1191"/>
      <c r="F6" s="1191"/>
      <c r="G6" s="1191"/>
      <c r="H6" s="1192"/>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x14ac:dyDescent="0.2">
      <c r="A9" s="20" t="s">
        <v>585</v>
      </c>
      <c r="B9" s="1">
        <v>1</v>
      </c>
      <c r="C9" s="1181" t="s">
        <v>247</v>
      </c>
      <c r="D9" s="1181"/>
      <c r="E9" s="1" t="s">
        <v>586</v>
      </c>
      <c r="F9" s="1">
        <v>1</v>
      </c>
      <c r="G9" s="1181" t="s">
        <v>310</v>
      </c>
      <c r="H9" s="1182"/>
    </row>
    <row r="10" spans="1:8" x14ac:dyDescent="0.2">
      <c r="A10" s="20" t="s">
        <v>320</v>
      </c>
      <c r="B10" s="1">
        <v>2</v>
      </c>
      <c r="C10" s="1181" t="s">
        <v>587</v>
      </c>
      <c r="D10" s="1181"/>
      <c r="E10" s="1" t="s">
        <v>588</v>
      </c>
      <c r="F10" s="1">
        <v>2</v>
      </c>
      <c r="G10" s="1181" t="s">
        <v>311</v>
      </c>
      <c r="H10" s="1182"/>
    </row>
    <row r="11" spans="1:8" ht="18.75" customHeight="1" x14ac:dyDescent="0.2">
      <c r="A11" s="20"/>
      <c r="B11" s="1"/>
      <c r="C11" s="26"/>
      <c r="D11" s="26"/>
      <c r="E11" s="1" t="s">
        <v>303</v>
      </c>
      <c r="F11" s="1">
        <v>1</v>
      </c>
      <c r="G11" s="1181" t="s">
        <v>594</v>
      </c>
      <c r="H11" s="1182"/>
    </row>
    <row r="12" spans="1:8" x14ac:dyDescent="0.2">
      <c r="A12" s="20"/>
      <c r="B12" s="1"/>
      <c r="C12" s="26"/>
      <c r="D12" s="26"/>
      <c r="E12" s="1" t="s">
        <v>595</v>
      </c>
      <c r="F12" s="1">
        <v>1</v>
      </c>
      <c r="G12" s="1181" t="s">
        <v>596</v>
      </c>
      <c r="H12" s="1182"/>
    </row>
    <row r="13" spans="1:8" ht="13.5" customHeight="1" x14ac:dyDescent="0.2">
      <c r="A13" s="20"/>
      <c r="B13" s="1"/>
      <c r="C13" s="26"/>
      <c r="D13" s="26"/>
      <c r="E13" s="1" t="s">
        <v>597</v>
      </c>
      <c r="F13" s="1">
        <v>1</v>
      </c>
      <c r="G13" s="1181" t="s">
        <v>598</v>
      </c>
      <c r="H13" s="1182"/>
    </row>
    <row r="14" spans="1:8" ht="13.5" customHeight="1" x14ac:dyDescent="0.2">
      <c r="A14" s="31" t="s">
        <v>11</v>
      </c>
      <c r="B14" s="30"/>
      <c r="C14" s="30"/>
      <c r="D14" s="30"/>
      <c r="E14" s="30"/>
      <c r="F14" s="30"/>
      <c r="G14" s="30"/>
      <c r="H14" s="32"/>
    </row>
    <row r="15" spans="1:8" ht="43.5" customHeight="1" x14ac:dyDescent="0.2">
      <c r="A15" s="1193" t="s">
        <v>599</v>
      </c>
      <c r="B15" s="1193"/>
      <c r="C15" s="1193"/>
      <c r="D15" s="1193"/>
      <c r="E15" s="1193"/>
      <c r="F15" s="1193"/>
      <c r="G15" s="1193"/>
      <c r="H15" s="1193"/>
    </row>
    <row r="16" spans="1:8" ht="13.5" customHeight="1" x14ac:dyDescent="0.2">
      <c r="A16" s="31" t="s">
        <v>20</v>
      </c>
      <c r="B16" s="29"/>
      <c r="C16" s="29"/>
      <c r="D16" s="29"/>
      <c r="E16" s="29"/>
      <c r="F16" s="29"/>
      <c r="G16" s="29"/>
      <c r="H16" s="38"/>
    </row>
    <row r="17" spans="1:13" ht="13.5" customHeight="1" x14ac:dyDescent="0.2">
      <c r="A17" s="61" t="s">
        <v>25</v>
      </c>
      <c r="B17" s="62" t="s">
        <v>0</v>
      </c>
      <c r="C17" s="61" t="s">
        <v>25</v>
      </c>
      <c r="D17" s="62" t="s">
        <v>0</v>
      </c>
      <c r="E17" s="61" t="s">
        <v>25</v>
      </c>
      <c r="F17" s="62" t="s">
        <v>0</v>
      </c>
      <c r="G17" s="28"/>
      <c r="H17" s="33"/>
    </row>
    <row r="18" spans="1:13" x14ac:dyDescent="0.2">
      <c r="A18" s="623" t="s">
        <v>605</v>
      </c>
      <c r="B18" s="56"/>
      <c r="C18" s="53" t="s">
        <v>590</v>
      </c>
      <c r="D18" s="56">
        <f>(1.5-0.8)/2+0.8</f>
        <v>1.1499999999999999</v>
      </c>
      <c r="E18" s="51" t="s">
        <v>41</v>
      </c>
      <c r="F18" s="56"/>
      <c r="G18" s="521" t="s">
        <v>623</v>
      </c>
      <c r="H18" s="33"/>
    </row>
    <row r="19" spans="1:13" ht="13.5" customHeight="1" x14ac:dyDescent="0.2">
      <c r="A19" s="623" t="s">
        <v>609</v>
      </c>
      <c r="B19" s="56">
        <v>1</v>
      </c>
      <c r="C19" s="53" t="s">
        <v>193</v>
      </c>
      <c r="D19" s="56">
        <v>0.9</v>
      </c>
      <c r="E19" s="54" t="s">
        <v>42</v>
      </c>
      <c r="F19" s="56">
        <v>26</v>
      </c>
      <c r="G19" s="385">
        <f>H25/D20</f>
        <v>7.453703703703702E-4</v>
      </c>
      <c r="H19" s="35"/>
    </row>
    <row r="20" spans="1:13" ht="13.5" customHeight="1" x14ac:dyDescent="0.2">
      <c r="A20" s="54" t="s">
        <v>286</v>
      </c>
      <c r="B20" s="56">
        <f>0.8*1.2</f>
        <v>0.96</v>
      </c>
      <c r="C20" s="54" t="s">
        <v>603</v>
      </c>
      <c r="D20" s="56">
        <v>13</v>
      </c>
      <c r="E20" s="54" t="s">
        <v>24</v>
      </c>
      <c r="F20" s="56">
        <v>1.5</v>
      </c>
      <c r="G20" s="26"/>
      <c r="H20" s="35"/>
    </row>
    <row r="21" spans="1:13" ht="13.5" customHeight="1" x14ac:dyDescent="0.2">
      <c r="A21" s="54" t="s">
        <v>346</v>
      </c>
      <c r="B21" s="275">
        <v>1</v>
      </c>
      <c r="C21" s="52" t="s">
        <v>60</v>
      </c>
      <c r="D21" s="275">
        <f>D20*D18*D19</f>
        <v>13.455</v>
      </c>
      <c r="E21" s="54" t="s">
        <v>43</v>
      </c>
      <c r="F21" s="56">
        <f>F19/F20</f>
        <v>17.333333333333332</v>
      </c>
      <c r="G21" s="26"/>
      <c r="H21" s="35"/>
    </row>
    <row r="22" spans="1:13" ht="13.5" customHeight="1" x14ac:dyDescent="0.2">
      <c r="A22" s="54" t="s">
        <v>611</v>
      </c>
      <c r="B22" s="56"/>
      <c r="C22" s="51" t="s">
        <v>1000</v>
      </c>
      <c r="D22" s="56"/>
      <c r="E22" s="65" t="s">
        <v>44</v>
      </c>
      <c r="F22" s="56">
        <f>F21/D24</f>
        <v>21.666666666666664</v>
      </c>
      <c r="G22" s="26"/>
      <c r="H22" s="35"/>
    </row>
    <row r="23" spans="1:13" ht="13.5" customHeight="1" x14ac:dyDescent="0.2">
      <c r="A23" s="54" t="s">
        <v>610</v>
      </c>
      <c r="B23" s="56"/>
      <c r="C23" s="54" t="s">
        <v>26</v>
      </c>
      <c r="D23" s="56">
        <v>800</v>
      </c>
      <c r="E23" s="66" t="s">
        <v>37</v>
      </c>
      <c r="F23" s="56">
        <f>ROUNDUP(F22,0)</f>
        <v>22</v>
      </c>
      <c r="G23" s="523" t="s">
        <v>181</v>
      </c>
      <c r="H23" s="524"/>
    </row>
    <row r="24" spans="1:13" ht="13.5" customHeight="1" x14ac:dyDescent="0.2">
      <c r="A24" s="51" t="s">
        <v>606</v>
      </c>
      <c r="B24" s="56">
        <v>6</v>
      </c>
      <c r="C24" s="54" t="s">
        <v>27</v>
      </c>
      <c r="D24" s="56">
        <f>D23/1000</f>
        <v>0.8</v>
      </c>
      <c r="E24" s="54" t="s">
        <v>45</v>
      </c>
      <c r="F24" s="56">
        <f>F23*D33</f>
        <v>821.33333333333326</v>
      </c>
      <c r="G24" s="527" t="s">
        <v>179</v>
      </c>
      <c r="H24" s="525">
        <v>8</v>
      </c>
    </row>
    <row r="25" spans="1:13" ht="13.5" customHeight="1" x14ac:dyDescent="0.25">
      <c r="A25" s="54" t="s">
        <v>286</v>
      </c>
      <c r="B25" s="11">
        <f>0.5*0.65</f>
        <v>0.32500000000000001</v>
      </c>
      <c r="C25" s="43" t="s">
        <v>69</v>
      </c>
      <c r="D25" s="11">
        <f>D21/D24</f>
        <v>16.818749999999998</v>
      </c>
      <c r="E25" s="66" t="s">
        <v>46</v>
      </c>
      <c r="F25" s="56">
        <f>F24/60</f>
        <v>13.688888888888888</v>
      </c>
      <c r="G25" s="293" t="s">
        <v>178</v>
      </c>
      <c r="H25" s="526">
        <f>D39</f>
        <v>9.6898148148148126E-3</v>
      </c>
    </row>
    <row r="26" spans="1:13" ht="13.5" customHeight="1" x14ac:dyDescent="0.2">
      <c r="A26" s="54" t="s">
        <v>346</v>
      </c>
      <c r="B26" s="56"/>
      <c r="C26" s="54" t="s">
        <v>29</v>
      </c>
      <c r="D26" s="56">
        <v>10</v>
      </c>
      <c r="E26" s="65" t="s">
        <v>47</v>
      </c>
      <c r="F26" s="67">
        <f>G44</f>
        <v>2.9</v>
      </c>
      <c r="G26" s="527" t="s">
        <v>175</v>
      </c>
      <c r="H26" s="528">
        <f>H25/H24</f>
        <v>1.2112268518518516E-3</v>
      </c>
      <c r="M26" s="41"/>
    </row>
    <row r="27" spans="1:13" ht="13.5" customHeight="1" x14ac:dyDescent="0.2">
      <c r="A27" s="54" t="s">
        <v>611</v>
      </c>
      <c r="B27" s="56"/>
      <c r="C27" s="54" t="s">
        <v>30</v>
      </c>
      <c r="D27" s="56">
        <v>6</v>
      </c>
      <c r="E27" s="65" t="s">
        <v>48</v>
      </c>
      <c r="F27" s="67">
        <v>45</v>
      </c>
      <c r="G27" s="26"/>
      <c r="H27" s="35"/>
      <c r="M27" s="50"/>
    </row>
    <row r="28" spans="1:13" ht="13.5" customHeight="1" x14ac:dyDescent="0.2">
      <c r="A28" s="54" t="s">
        <v>610</v>
      </c>
      <c r="B28" s="56"/>
      <c r="C28" s="54" t="s">
        <v>31</v>
      </c>
      <c r="D28" s="56">
        <v>6</v>
      </c>
      <c r="E28" s="65" t="s">
        <v>49</v>
      </c>
      <c r="F28" s="67">
        <f>F26/F27*60</f>
        <v>3.8666666666666667</v>
      </c>
      <c r="G28" s="26"/>
      <c r="H28" s="35"/>
    </row>
    <row r="29" spans="1:13" ht="13.5" customHeight="1" x14ac:dyDescent="0.2">
      <c r="A29" s="51" t="s">
        <v>607</v>
      </c>
      <c r="B29" s="56">
        <v>1</v>
      </c>
      <c r="C29" s="54" t="s">
        <v>32</v>
      </c>
      <c r="D29" s="56">
        <v>6</v>
      </c>
      <c r="E29" s="54" t="s">
        <v>50</v>
      </c>
      <c r="F29" s="56">
        <f>F25</f>
        <v>13.688888888888888</v>
      </c>
      <c r="G29" s="26"/>
      <c r="H29" s="35"/>
    </row>
    <row r="30" spans="1:13" ht="13.5" customHeight="1" x14ac:dyDescent="0.2">
      <c r="A30" s="54" t="s">
        <v>286</v>
      </c>
      <c r="B30" s="56">
        <f>1.5*0.8</f>
        <v>1.2000000000000002</v>
      </c>
      <c r="C30" s="54" t="s">
        <v>35</v>
      </c>
      <c r="D30" s="56">
        <f>SUM(D26:D29)</f>
        <v>28</v>
      </c>
      <c r="E30" s="54" t="s">
        <v>51</v>
      </c>
      <c r="F30" s="56">
        <f>F28</f>
        <v>3.8666666666666667</v>
      </c>
      <c r="G30" s="26"/>
      <c r="H30" s="35"/>
    </row>
    <row r="31" spans="1:13" ht="13.5" customHeight="1" x14ac:dyDescent="0.2">
      <c r="A31" s="54" t="s">
        <v>346</v>
      </c>
      <c r="B31" s="57"/>
      <c r="C31" s="54" t="s">
        <v>64</v>
      </c>
      <c r="D31" s="57">
        <f>60/80</f>
        <v>0.75</v>
      </c>
      <c r="E31" s="54" t="s">
        <v>52</v>
      </c>
      <c r="F31" s="56">
        <v>2</v>
      </c>
      <c r="G31" s="26"/>
      <c r="H31" s="35"/>
      <c r="J31" s="3"/>
    </row>
    <row r="32" spans="1:13" ht="13.5" customHeight="1" x14ac:dyDescent="0.2">
      <c r="A32" s="54" t="s">
        <v>611</v>
      </c>
      <c r="B32" s="58"/>
      <c r="C32" s="55" t="s">
        <v>65</v>
      </c>
      <c r="D32" s="58">
        <f>80/60</f>
        <v>1.3333333333333333</v>
      </c>
      <c r="E32" s="54" t="s">
        <v>53</v>
      </c>
      <c r="F32" s="56">
        <f>F28</f>
        <v>3.8666666666666667</v>
      </c>
      <c r="G32" s="26"/>
      <c r="H32" s="35"/>
      <c r="J32" s="3"/>
    </row>
    <row r="33" spans="1:10" ht="13.5" customHeight="1" x14ac:dyDescent="0.2">
      <c r="A33" s="54" t="s">
        <v>610</v>
      </c>
      <c r="B33" s="56"/>
      <c r="C33" s="54" t="s">
        <v>34</v>
      </c>
      <c r="D33" s="56">
        <f>D30*D32</f>
        <v>37.333333333333329</v>
      </c>
      <c r="E33" s="54" t="s">
        <v>54</v>
      </c>
      <c r="F33" s="56">
        <f>SUM(F29:F32)</f>
        <v>23.422222222222221</v>
      </c>
      <c r="G33" s="26"/>
      <c r="H33" s="35"/>
      <c r="J33" s="3"/>
    </row>
    <row r="34" spans="1:10" ht="13.5" customHeight="1" x14ac:dyDescent="0.2">
      <c r="A34" s="51" t="s">
        <v>608</v>
      </c>
      <c r="B34" s="275">
        <v>5</v>
      </c>
      <c r="C34" s="54" t="s">
        <v>33</v>
      </c>
      <c r="D34" s="59">
        <f>60/D33</f>
        <v>1.6071428571428574</v>
      </c>
      <c r="E34" s="54" t="s">
        <v>71</v>
      </c>
      <c r="F34" s="56">
        <f>F33/F29</f>
        <v>1.7110389610389609</v>
      </c>
      <c r="G34" s="26"/>
      <c r="H34" s="35"/>
    </row>
    <row r="35" spans="1:10" ht="13.5" customHeight="1" x14ac:dyDescent="0.2">
      <c r="A35" s="54" t="s">
        <v>286</v>
      </c>
      <c r="B35" s="60">
        <f>0.5*0.5</f>
        <v>0.25</v>
      </c>
      <c r="C35" s="54" t="s">
        <v>36</v>
      </c>
      <c r="D35" s="60">
        <f>D34*60</f>
        <v>96.428571428571445</v>
      </c>
      <c r="E35" s="66" t="s">
        <v>23</v>
      </c>
      <c r="F35" s="56">
        <f>ROUNDUP(F34,0)</f>
        <v>2</v>
      </c>
      <c r="G35" s="26"/>
      <c r="H35" s="35"/>
    </row>
    <row r="36" spans="1:10" ht="13.5" customHeight="1" x14ac:dyDescent="0.2">
      <c r="A36" s="54" t="s">
        <v>346</v>
      </c>
      <c r="B36" s="56"/>
      <c r="C36" s="54" t="s">
        <v>40</v>
      </c>
      <c r="D36" s="56">
        <f>D35*D24</f>
        <v>77.142857142857167</v>
      </c>
      <c r="E36" s="54" t="s">
        <v>56</v>
      </c>
      <c r="F36" s="58">
        <f>F35*F21</f>
        <v>34.666666666666664</v>
      </c>
      <c r="G36" s="26"/>
      <c r="H36" s="35"/>
    </row>
    <row r="37" spans="1:10" ht="13.5" customHeight="1" x14ac:dyDescent="0.2">
      <c r="A37" s="54" t="s">
        <v>611</v>
      </c>
      <c r="B37" s="56"/>
      <c r="C37" s="54" t="s">
        <v>39</v>
      </c>
      <c r="D37" s="56">
        <f>D36*D31</f>
        <v>57.857142857142875</v>
      </c>
      <c r="E37" s="54" t="s">
        <v>55</v>
      </c>
      <c r="F37" s="58">
        <f>D21/F36</f>
        <v>0.38812500000000005</v>
      </c>
      <c r="G37" s="26"/>
      <c r="H37" s="35"/>
    </row>
    <row r="38" spans="1:10" ht="13.5" customHeight="1" x14ac:dyDescent="0.2">
      <c r="A38" s="54" t="s">
        <v>610</v>
      </c>
      <c r="B38" s="64"/>
      <c r="C38" s="63" t="s">
        <v>67</v>
      </c>
      <c r="D38" s="64">
        <f>D21/D37</f>
        <v>0.23255555555555549</v>
      </c>
      <c r="E38" s="66" t="s">
        <v>23</v>
      </c>
      <c r="F38" s="56">
        <f>ROUNDUP(F37,0)</f>
        <v>1</v>
      </c>
      <c r="G38" s="26"/>
      <c r="H38" s="35"/>
    </row>
    <row r="39" spans="1:10" ht="13.5" customHeight="1" x14ac:dyDescent="0.2">
      <c r="A39" s="54"/>
      <c r="B39" s="69"/>
      <c r="C39" s="63" t="s">
        <v>66</v>
      </c>
      <c r="D39" s="69">
        <f>D38/24</f>
        <v>9.6898148148148126E-3</v>
      </c>
      <c r="E39" s="55" t="s">
        <v>57</v>
      </c>
      <c r="F39" s="56">
        <f>F38*F33*F35</f>
        <v>46.844444444444441</v>
      </c>
      <c r="H39" s="35"/>
      <c r="I39" s="40"/>
      <c r="J39" s="3"/>
    </row>
    <row r="40" spans="1:10" ht="13.5" customHeight="1" x14ac:dyDescent="0.2">
      <c r="A40" s="52"/>
      <c r="B40" s="56"/>
      <c r="C40" s="52"/>
      <c r="D40" s="56"/>
      <c r="E40" s="71" t="s">
        <v>72</v>
      </c>
      <c r="F40" s="71">
        <f>ROUNDUP(D21/F21,0)</f>
        <v>1</v>
      </c>
      <c r="G40" s="26"/>
      <c r="H40" s="35"/>
    </row>
    <row r="41" spans="1:10" ht="13.5" customHeight="1" x14ac:dyDescent="0.2">
      <c r="B41" s="26"/>
      <c r="C41" s="26"/>
      <c r="E41" s="68" t="s">
        <v>58</v>
      </c>
      <c r="F41" s="69">
        <f>F39/60/24</f>
        <v>3.2530864197530866E-2</v>
      </c>
      <c r="G41" s="26"/>
      <c r="H41" s="35"/>
    </row>
    <row r="42" spans="1:10" ht="13.5" customHeight="1" x14ac:dyDescent="0.2">
      <c r="A42" s="14" t="s">
        <v>9</v>
      </c>
      <c r="B42" s="15"/>
      <c r="C42" s="15"/>
      <c r="D42" s="15"/>
      <c r="E42" s="15"/>
      <c r="F42" s="1155" t="s">
        <v>16</v>
      </c>
      <c r="G42" s="1155"/>
      <c r="H42" s="1156"/>
    </row>
    <row r="43" spans="1:10" ht="25.5" x14ac:dyDescent="0.2">
      <c r="A43" s="507" t="s">
        <v>4</v>
      </c>
      <c r="B43" s="508" t="s">
        <v>5</v>
      </c>
      <c r="C43" s="508" t="s">
        <v>1</v>
      </c>
      <c r="D43" s="508" t="s">
        <v>6</v>
      </c>
      <c r="E43" s="509" t="s">
        <v>7</v>
      </c>
      <c r="F43" s="19" t="s">
        <v>17</v>
      </c>
      <c r="G43" s="19" t="s">
        <v>18</v>
      </c>
      <c r="H43" s="21" t="s">
        <v>19</v>
      </c>
    </row>
    <row r="44" spans="1:10" ht="84.75" thickBot="1" x14ac:dyDescent="0.25">
      <c r="A44" s="514" t="s">
        <v>591</v>
      </c>
      <c r="B44" s="514">
        <f>F20*D21</f>
        <v>20.182500000000001</v>
      </c>
      <c r="C44" s="515" t="s">
        <v>592</v>
      </c>
      <c r="D44" s="621">
        <v>3</v>
      </c>
      <c r="E44" s="516">
        <f>B44*D44</f>
        <v>60.547499999999999</v>
      </c>
      <c r="F44" s="620" t="s">
        <v>593</v>
      </c>
      <c r="G44" s="619">
        <v>2.9</v>
      </c>
      <c r="H44" s="622">
        <v>1</v>
      </c>
    </row>
    <row r="45" spans="1:10" ht="19.5" customHeight="1" x14ac:dyDescent="0.2"/>
    <row r="46" spans="1:10" ht="19.5" customHeight="1" x14ac:dyDescent="0.2"/>
    <row r="47" spans="1:10" ht="19.5" customHeight="1" x14ac:dyDescent="0.2"/>
    <row r="48" spans="1:10"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57" ht="19.5" customHeight="1" x14ac:dyDescent="0.2"/>
    <row r="58" ht="19.5" customHeight="1" x14ac:dyDescent="0.2"/>
    <row r="59" ht="19.5" customHeight="1" x14ac:dyDescent="0.2"/>
    <row r="60" ht="19.5" customHeight="1" x14ac:dyDescent="0.2"/>
    <row r="61" ht="19.5" customHeight="1" x14ac:dyDescent="0.2"/>
    <row r="62" ht="19.5" customHeight="1" x14ac:dyDescent="0.2"/>
    <row r="63" ht="19.5" customHeight="1" x14ac:dyDescent="0.2"/>
    <row r="6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row r="102" ht="19.5" customHeight="1" x14ac:dyDescent="0.2"/>
    <row r="103" ht="19.5" customHeight="1" x14ac:dyDescent="0.2"/>
    <row r="104" ht="19.5" customHeight="1" x14ac:dyDescent="0.2"/>
    <row r="105" ht="19.5" customHeight="1" x14ac:dyDescent="0.2"/>
    <row r="106" ht="19.5" customHeight="1" x14ac:dyDescent="0.2"/>
    <row r="107" ht="19.5" customHeight="1" x14ac:dyDescent="0.2"/>
    <row r="108" ht="19.5" customHeight="1" x14ac:dyDescent="0.2"/>
    <row r="109" ht="19.5" customHeight="1" x14ac:dyDescent="0.2"/>
  </sheetData>
  <mergeCells count="21">
    <mergeCell ref="A1:C1"/>
    <mergeCell ref="D1:H1"/>
    <mergeCell ref="A2:C2"/>
    <mergeCell ref="D2:H2"/>
    <mergeCell ref="A3:A4"/>
    <mergeCell ref="B3:D4"/>
    <mergeCell ref="F42:H42"/>
    <mergeCell ref="A5:H5"/>
    <mergeCell ref="A7:D7"/>
    <mergeCell ref="E7:H7"/>
    <mergeCell ref="C8:D8"/>
    <mergeCell ref="G8:H8"/>
    <mergeCell ref="G9:H9"/>
    <mergeCell ref="G10:H10"/>
    <mergeCell ref="A6:H6"/>
    <mergeCell ref="C9:D9"/>
    <mergeCell ref="C10:D10"/>
    <mergeCell ref="G11:H11"/>
    <mergeCell ref="G12:H12"/>
    <mergeCell ref="G13:H13"/>
    <mergeCell ref="A15:H15"/>
  </mergeCells>
  <printOptions horizontalCentered="1" verticalCentered="1"/>
  <pageMargins left="0" right="0" top="0" bottom="0" header="0" footer="0"/>
  <pageSetup paperSize="9" scale="67" orientation="portrait" r:id="rId1"/>
  <headerFooter alignWithMargins="0"/>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F10" sqref="F10"/>
    </sheetView>
  </sheetViews>
  <sheetFormatPr baseColWidth="10" defaultRowHeight="12.75" x14ac:dyDescent="0.2"/>
  <sheetData>
    <row r="1" spans="1:9" ht="39" thickBot="1" x14ac:dyDescent="0.25">
      <c r="A1" s="645" t="s">
        <v>624</v>
      </c>
      <c r="B1" s="645" t="s">
        <v>625</v>
      </c>
      <c r="C1" s="645" t="s">
        <v>626</v>
      </c>
      <c r="D1" s="646" t="s">
        <v>627</v>
      </c>
      <c r="E1" s="646" t="s">
        <v>628</v>
      </c>
      <c r="F1" s="646" t="s">
        <v>629</v>
      </c>
      <c r="G1" s="647" t="s">
        <v>630</v>
      </c>
    </row>
    <row r="2" spans="1:9" ht="13.5" thickBot="1" x14ac:dyDescent="0.25">
      <c r="A2" s="648">
        <v>0</v>
      </c>
      <c r="B2" s="648">
        <v>77.22</v>
      </c>
      <c r="C2" s="648">
        <f>B2-0.2</f>
        <v>77.02</v>
      </c>
      <c r="D2" s="648">
        <v>77.11</v>
      </c>
      <c r="E2" s="648">
        <f>F2-0.1</f>
        <v>76.210000000000008</v>
      </c>
      <c r="F2" s="648">
        <v>76.31</v>
      </c>
      <c r="G2" s="649">
        <f>D2-0.55</f>
        <v>76.56</v>
      </c>
    </row>
    <row r="3" spans="1:9" ht="13.5" thickBot="1" x14ac:dyDescent="0.25">
      <c r="A3" s="650">
        <v>1</v>
      </c>
      <c r="B3" s="650">
        <v>76.92</v>
      </c>
      <c r="C3" s="650">
        <f t="shared" ref="C3:C6" si="0">B3-0.2</f>
        <v>76.72</v>
      </c>
      <c r="D3" s="650">
        <v>77</v>
      </c>
      <c r="E3" s="648">
        <f t="shared" ref="E3:E6" si="1">F3-0.1</f>
        <v>75.900000000000006</v>
      </c>
      <c r="F3" s="650">
        <v>76</v>
      </c>
      <c r="G3" s="649">
        <f t="shared" ref="G3:G6" si="2">D3-0.55</f>
        <v>76.45</v>
      </c>
    </row>
    <row r="4" spans="1:9" ht="13.5" thickBot="1" x14ac:dyDescent="0.25">
      <c r="A4" s="650">
        <v>2</v>
      </c>
      <c r="B4" s="650">
        <v>76.489999999999995</v>
      </c>
      <c r="C4" s="650">
        <f t="shared" si="0"/>
        <v>76.289999999999992</v>
      </c>
      <c r="D4" s="650">
        <v>76.709999999999994</v>
      </c>
      <c r="E4" s="648">
        <f t="shared" si="1"/>
        <v>75.61</v>
      </c>
      <c r="F4" s="650">
        <v>75.709999999999994</v>
      </c>
      <c r="G4" s="649">
        <f t="shared" si="2"/>
        <v>76.16</v>
      </c>
    </row>
    <row r="5" spans="1:9" ht="13.5" thickBot="1" x14ac:dyDescent="0.25">
      <c r="A5" s="650">
        <v>3</v>
      </c>
      <c r="B5" s="650">
        <v>76.239999999999995</v>
      </c>
      <c r="C5" s="650">
        <f t="shared" si="0"/>
        <v>76.039999999999992</v>
      </c>
      <c r="D5" s="650">
        <v>76.319999999999993</v>
      </c>
      <c r="E5" s="648">
        <f t="shared" si="1"/>
        <v>75.400000000000006</v>
      </c>
      <c r="F5" s="650">
        <v>75.5</v>
      </c>
      <c r="G5" s="649">
        <f t="shared" si="2"/>
        <v>75.77</v>
      </c>
    </row>
    <row r="6" spans="1:9" x14ac:dyDescent="0.2">
      <c r="A6" s="650">
        <v>4</v>
      </c>
      <c r="B6" s="650">
        <v>76.09</v>
      </c>
      <c r="C6" s="650">
        <f t="shared" si="0"/>
        <v>75.89</v>
      </c>
      <c r="D6" s="650">
        <v>76.05</v>
      </c>
      <c r="E6" s="648">
        <f t="shared" si="1"/>
        <v>75.25</v>
      </c>
      <c r="F6" s="650">
        <v>75.349999999999994</v>
      </c>
      <c r="G6" s="649">
        <f t="shared" si="2"/>
        <v>75.5</v>
      </c>
    </row>
    <row r="9" spans="1:9" ht="13.5" thickBot="1" x14ac:dyDescent="0.25"/>
    <row r="10" spans="1:9" ht="39" thickBot="1" x14ac:dyDescent="0.25">
      <c r="A10" s="645" t="s">
        <v>624</v>
      </c>
      <c r="B10" s="645" t="s">
        <v>634</v>
      </c>
      <c r="C10" s="645" t="s">
        <v>625</v>
      </c>
      <c r="D10" s="645" t="s">
        <v>626</v>
      </c>
      <c r="E10" s="645" t="s">
        <v>635</v>
      </c>
      <c r="F10" s="646" t="s">
        <v>627</v>
      </c>
      <c r="G10" s="646" t="s">
        <v>628</v>
      </c>
      <c r="H10" s="646" t="s">
        <v>629</v>
      </c>
      <c r="I10" s="647" t="s">
        <v>630</v>
      </c>
    </row>
    <row r="11" spans="1:9" x14ac:dyDescent="0.2">
      <c r="A11" s="648">
        <v>0</v>
      </c>
      <c r="B11" s="648">
        <v>194.45</v>
      </c>
      <c r="C11" s="648">
        <v>194.35</v>
      </c>
      <c r="D11" s="648">
        <f>C11-0.2</f>
        <v>194.15</v>
      </c>
      <c r="E11" s="648">
        <f>D11-0.4</f>
        <v>193.75</v>
      </c>
      <c r="F11" s="648">
        <v>77.11</v>
      </c>
      <c r="G11" s="648">
        <f>H11-0.1</f>
        <v>76.210000000000008</v>
      </c>
      <c r="H11" s="648">
        <v>76.31</v>
      </c>
      <c r="I11" s="649">
        <f>F11-0.55</f>
        <v>76.56</v>
      </c>
    </row>
  </sheetData>
  <conditionalFormatting sqref="G2:G6 A11 C11">
    <cfRule type="expression" dxfId="12" priority="14">
      <formula>MOD(ROW(),2)</formula>
    </cfRule>
  </conditionalFormatting>
  <conditionalFormatting sqref="A2:B6">
    <cfRule type="expression" dxfId="11" priority="13">
      <formula>MOD(ROW(),2)</formula>
    </cfRule>
  </conditionalFormatting>
  <conditionalFormatting sqref="E2:E6">
    <cfRule type="expression" dxfId="10" priority="12">
      <formula>MOD(ROW(),2)</formula>
    </cfRule>
  </conditionalFormatting>
  <conditionalFormatting sqref="D2:D6">
    <cfRule type="expression" dxfId="9" priority="11">
      <formula>MOD(ROW(),2)</formula>
    </cfRule>
  </conditionalFormatting>
  <conditionalFormatting sqref="F2:F6">
    <cfRule type="expression" dxfId="8" priority="10">
      <formula>MOD(ROW(),2)</formula>
    </cfRule>
  </conditionalFormatting>
  <conditionalFormatting sqref="C2:C6">
    <cfRule type="expression" dxfId="7" priority="9">
      <formula>MOD(ROW(),2)</formula>
    </cfRule>
  </conditionalFormatting>
  <conditionalFormatting sqref="I11">
    <cfRule type="expression" dxfId="6" priority="8">
      <formula>MOD(ROW(),2)</formula>
    </cfRule>
  </conditionalFormatting>
  <conditionalFormatting sqref="G11">
    <cfRule type="expression" dxfId="5" priority="6">
      <formula>MOD(ROW(),2)</formula>
    </cfRule>
  </conditionalFormatting>
  <conditionalFormatting sqref="F11">
    <cfRule type="expression" dxfId="4" priority="5">
      <formula>MOD(ROW(),2)</formula>
    </cfRule>
  </conditionalFormatting>
  <conditionalFormatting sqref="H11">
    <cfRule type="expression" dxfId="3" priority="4">
      <formula>MOD(ROW(),2)</formula>
    </cfRule>
  </conditionalFormatting>
  <conditionalFormatting sqref="D11">
    <cfRule type="expression" dxfId="2" priority="3">
      <formula>MOD(ROW(),2)</formula>
    </cfRule>
  </conditionalFormatting>
  <conditionalFormatting sqref="B11">
    <cfRule type="expression" dxfId="1" priority="2">
      <formula>MOD(ROW(),2)</formula>
    </cfRule>
  </conditionalFormatting>
  <conditionalFormatting sqref="E11">
    <cfRule type="expression" dxfId="0" priority="1">
      <formula>MOD(ROW(),2)</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9"/>
  <sheetViews>
    <sheetView showGridLines="0" zoomScale="85" zoomScaleNormal="85" workbookViewId="0">
      <selection activeCell="F11" sqref="F11"/>
    </sheetView>
  </sheetViews>
  <sheetFormatPr baseColWidth="10" defaultRowHeight="12.75" x14ac:dyDescent="0.2"/>
  <cols>
    <col min="1" max="1" width="25.5703125" customWidth="1"/>
    <col min="2" max="2" width="10.28515625" customWidth="1"/>
    <col min="3" max="3" width="30.5703125" bestFit="1" customWidth="1"/>
    <col min="4" max="4" width="8.85546875" bestFit="1" customWidth="1"/>
    <col min="5" max="5" width="37.5703125" bestFit="1" customWidth="1"/>
    <col min="6" max="6" width="12.42578125" customWidth="1"/>
    <col min="7" max="7" width="31.5703125" customWidth="1"/>
    <col min="8" max="8" width="13.7109375"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205" t="s">
        <v>427</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8.74</v>
      </c>
      <c r="F4" s="70" t="s">
        <v>73</v>
      </c>
      <c r="G4" s="8" t="s">
        <v>666</v>
      </c>
      <c r="H4" s="10" t="s">
        <v>658</v>
      </c>
    </row>
    <row r="5" spans="1:8" x14ac:dyDescent="0.2">
      <c r="A5" s="1175" t="s">
        <v>14</v>
      </c>
      <c r="B5" s="1176"/>
      <c r="C5" s="1176"/>
      <c r="D5" s="1176"/>
      <c r="E5" s="1176"/>
      <c r="F5" s="1176"/>
      <c r="G5" s="1176"/>
      <c r="H5" s="1177"/>
    </row>
    <row r="6" spans="1:8" ht="33" customHeight="1" x14ac:dyDescent="0.2">
      <c r="A6" s="1202" t="s">
        <v>426</v>
      </c>
      <c r="B6" s="1203"/>
      <c r="C6" s="1203"/>
      <c r="D6" s="1203"/>
      <c r="E6" s="1203"/>
      <c r="F6" s="1203"/>
      <c r="G6" s="1203"/>
      <c r="H6" s="1204"/>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24.75" customHeight="1" x14ac:dyDescent="0.2">
      <c r="A9" s="658" t="s">
        <v>638</v>
      </c>
      <c r="B9" s="368">
        <v>1</v>
      </c>
      <c r="C9" s="1197" t="s">
        <v>639</v>
      </c>
      <c r="D9" s="1201"/>
      <c r="E9" s="371" t="s">
        <v>303</v>
      </c>
      <c r="F9" s="368">
        <v>1</v>
      </c>
      <c r="G9" s="1194" t="s">
        <v>664</v>
      </c>
      <c r="H9" s="1195"/>
    </row>
    <row r="10" spans="1:8" x14ac:dyDescent="0.2">
      <c r="A10" s="510" t="s">
        <v>640</v>
      </c>
      <c r="B10" s="661">
        <v>1</v>
      </c>
      <c r="C10" s="1197" t="s">
        <v>641</v>
      </c>
      <c r="D10" s="1201"/>
      <c r="E10" s="368" t="s">
        <v>663</v>
      </c>
      <c r="F10" s="368">
        <v>1</v>
      </c>
      <c r="G10" s="1194" t="s">
        <v>642</v>
      </c>
      <c r="H10" s="1196"/>
    </row>
    <row r="11" spans="1:8" ht="18.75" customHeight="1" x14ac:dyDescent="0.2">
      <c r="A11" s="658"/>
      <c r="B11" s="368"/>
      <c r="C11" s="1197"/>
      <c r="D11" s="1201"/>
      <c r="E11" s="368" t="s">
        <v>597</v>
      </c>
      <c r="F11" s="368">
        <v>1</v>
      </c>
      <c r="G11" s="1197" t="s">
        <v>643</v>
      </c>
      <c r="H11" s="1196"/>
    </row>
    <row r="12" spans="1:8" ht="14.25" x14ac:dyDescent="0.2">
      <c r="A12" s="31" t="s">
        <v>11</v>
      </c>
      <c r="B12" s="30"/>
      <c r="C12" s="30"/>
      <c r="D12" s="30"/>
      <c r="E12" s="30"/>
      <c r="F12" s="30"/>
      <c r="G12" s="30"/>
      <c r="H12" s="32"/>
    </row>
    <row r="13" spans="1:8" ht="79.5" customHeight="1" x14ac:dyDescent="0.2">
      <c r="A13" s="1198" t="s">
        <v>644</v>
      </c>
      <c r="B13" s="1199"/>
      <c r="C13" s="1199"/>
      <c r="D13" s="1199"/>
      <c r="E13" s="1199"/>
      <c r="F13" s="1199"/>
      <c r="G13" s="1199"/>
      <c r="H13" s="1200"/>
    </row>
    <row r="14" spans="1:8" ht="14.25" x14ac:dyDescent="0.2">
      <c r="A14" s="31" t="s">
        <v>20</v>
      </c>
      <c r="B14" s="29"/>
      <c r="C14" s="29"/>
      <c r="D14" s="29"/>
      <c r="E14" s="29"/>
      <c r="F14" s="29"/>
      <c r="G14" s="29"/>
      <c r="H14" s="38"/>
    </row>
    <row r="15" spans="1:8" ht="13.5" customHeight="1" thickBot="1" x14ac:dyDescent="0.25">
      <c r="A15" s="703" t="s">
        <v>25</v>
      </c>
      <c r="B15" s="704" t="s">
        <v>0</v>
      </c>
      <c r="C15" s="684" t="s">
        <v>25</v>
      </c>
      <c r="D15" s="685" t="s">
        <v>0</v>
      </c>
      <c r="E15" s="684" t="s">
        <v>25</v>
      </c>
      <c r="F15" s="685" t="s">
        <v>0</v>
      </c>
      <c r="G15" s="684" t="s">
        <v>25</v>
      </c>
      <c r="H15" s="685" t="s">
        <v>0</v>
      </c>
    </row>
    <row r="16" spans="1:8" ht="13.5" customHeight="1" thickBot="1" x14ac:dyDescent="0.3">
      <c r="A16" s="705" t="s">
        <v>645</v>
      </c>
      <c r="B16" s="686"/>
      <c r="C16" s="720" t="s">
        <v>151</v>
      </c>
      <c r="D16" s="721"/>
      <c r="E16" s="716" t="s">
        <v>533</v>
      </c>
      <c r="F16" s="697"/>
      <c r="G16" s="687" t="s">
        <v>521</v>
      </c>
      <c r="H16" s="688"/>
    </row>
    <row r="17" spans="1:10" ht="13.5" customHeight="1" x14ac:dyDescent="0.25">
      <c r="A17" s="682" t="s">
        <v>149</v>
      </c>
      <c r="B17" s="707">
        <v>0.17</v>
      </c>
      <c r="C17" s="722" t="s">
        <v>148</v>
      </c>
      <c r="D17" s="723">
        <v>3</v>
      </c>
      <c r="E17" s="717" t="s">
        <v>656</v>
      </c>
      <c r="F17" s="698">
        <v>10</v>
      </c>
      <c r="G17" s="669" t="s">
        <v>60</v>
      </c>
      <c r="H17" s="670">
        <f>B28+B23</f>
        <v>0.60218600000000011</v>
      </c>
    </row>
    <row r="18" spans="1:10" ht="13.5" customHeight="1" x14ac:dyDescent="0.25">
      <c r="A18" s="706" t="s">
        <v>146</v>
      </c>
      <c r="B18" s="708">
        <v>0.17</v>
      </c>
      <c r="C18" s="574" t="s">
        <v>124</v>
      </c>
      <c r="D18" s="724">
        <f>D17*B19</f>
        <v>26.22</v>
      </c>
      <c r="E18" s="718" t="s">
        <v>657</v>
      </c>
      <c r="F18" s="699">
        <v>30</v>
      </c>
      <c r="G18" s="671" t="s">
        <v>26</v>
      </c>
      <c r="H18" s="672">
        <v>800</v>
      </c>
    </row>
    <row r="19" spans="1:10" ht="13.5" customHeight="1" thickBot="1" x14ac:dyDescent="0.3">
      <c r="A19" s="706" t="s">
        <v>144</v>
      </c>
      <c r="B19" s="690">
        <v>8.74</v>
      </c>
      <c r="C19" s="725" t="s">
        <v>143</v>
      </c>
      <c r="D19" s="726">
        <f>D18/3600/24</f>
        <v>3.0347222222222217E-4</v>
      </c>
      <c r="E19" s="718" t="s">
        <v>85</v>
      </c>
      <c r="F19" s="700">
        <f>F18*B21/3600/24</f>
        <v>2.4305555555555556E-3</v>
      </c>
      <c r="G19" s="673" t="s">
        <v>27</v>
      </c>
      <c r="H19" s="674">
        <f>H18/1000</f>
        <v>0.8</v>
      </c>
    </row>
    <row r="20" spans="1:10" ht="13.5" customHeight="1" thickBot="1" x14ac:dyDescent="0.3">
      <c r="A20" s="689" t="s">
        <v>646</v>
      </c>
      <c r="B20" s="690">
        <v>1.25</v>
      </c>
      <c r="C20" s="727" t="s">
        <v>140</v>
      </c>
      <c r="D20" s="721"/>
      <c r="E20" s="719" t="s">
        <v>655</v>
      </c>
      <c r="F20" s="701"/>
      <c r="G20" s="671" t="s">
        <v>69</v>
      </c>
      <c r="H20" s="672">
        <f>ROUNDUP(H17/H19,0)</f>
        <v>1</v>
      </c>
    </row>
    <row r="21" spans="1:10" ht="13.5" customHeight="1" x14ac:dyDescent="0.25">
      <c r="A21" s="691" t="s">
        <v>647</v>
      </c>
      <c r="B21" s="709">
        <f>ROUNDUP(B19/B20,0)</f>
        <v>7</v>
      </c>
      <c r="C21" s="728" t="s">
        <v>137</v>
      </c>
      <c r="D21" s="729">
        <v>3</v>
      </c>
      <c r="E21" s="739" t="s">
        <v>82</v>
      </c>
      <c r="F21" s="740">
        <v>8</v>
      </c>
      <c r="G21" s="673" t="s">
        <v>29</v>
      </c>
      <c r="H21" s="674">
        <v>10</v>
      </c>
    </row>
    <row r="22" spans="1:10" ht="13.5" customHeight="1" x14ac:dyDescent="0.2">
      <c r="A22" s="691" t="s">
        <v>651</v>
      </c>
      <c r="B22" s="690">
        <f>B17*B18*B20</f>
        <v>3.6125000000000004E-2</v>
      </c>
      <c r="C22" s="574" t="s">
        <v>124</v>
      </c>
      <c r="D22" s="730">
        <f>D21*B19</f>
        <v>26.22</v>
      </c>
      <c r="E22" s="574" t="s">
        <v>81</v>
      </c>
      <c r="F22" s="144">
        <v>2</v>
      </c>
      <c r="G22" s="671" t="s">
        <v>30</v>
      </c>
      <c r="H22" s="672">
        <v>6</v>
      </c>
    </row>
    <row r="23" spans="1:10" ht="13.5" customHeight="1" thickBot="1" x14ac:dyDescent="0.3">
      <c r="A23" s="695" t="s">
        <v>652</v>
      </c>
      <c r="B23" s="696">
        <f>B17*B18*B19</f>
        <v>0.25258600000000003</v>
      </c>
      <c r="C23" s="725" t="s">
        <v>77</v>
      </c>
      <c r="D23" s="726">
        <f>D22/3600/24</f>
        <v>3.0347222222222217E-4</v>
      </c>
      <c r="E23" s="574" t="s">
        <v>80</v>
      </c>
      <c r="F23" s="741">
        <f>F21*F22</f>
        <v>16</v>
      </c>
      <c r="G23" s="673" t="s">
        <v>31</v>
      </c>
      <c r="H23" s="674">
        <v>6</v>
      </c>
    </row>
    <row r="24" spans="1:10" ht="13.5" customHeight="1" thickBot="1" x14ac:dyDescent="0.3">
      <c r="A24" s="692" t="s">
        <v>135</v>
      </c>
      <c r="B24" s="710"/>
      <c r="C24" s="727" t="s">
        <v>130</v>
      </c>
      <c r="D24" s="721"/>
      <c r="E24" s="668" t="s">
        <v>79</v>
      </c>
      <c r="F24" s="742">
        <v>2</v>
      </c>
      <c r="G24" s="671" t="s">
        <v>32</v>
      </c>
      <c r="H24" s="672">
        <v>4</v>
      </c>
    </row>
    <row r="25" spans="1:10" ht="13.5" customHeight="1" x14ac:dyDescent="0.25">
      <c r="A25" s="682" t="s">
        <v>133</v>
      </c>
      <c r="B25" s="693">
        <f>ROUNDUP(B18+B30+B30,1)</f>
        <v>0.4</v>
      </c>
      <c r="C25" s="728" t="s">
        <v>127</v>
      </c>
      <c r="D25" s="729">
        <v>3</v>
      </c>
      <c r="E25" s="574" t="s">
        <v>78</v>
      </c>
      <c r="F25" s="724">
        <v>4</v>
      </c>
      <c r="G25" s="673" t="s">
        <v>35</v>
      </c>
      <c r="H25" s="674">
        <f>SUM(H21:H24)</f>
        <v>26</v>
      </c>
    </row>
    <row r="26" spans="1:10" ht="13.5" customHeight="1" x14ac:dyDescent="0.25">
      <c r="A26" s="689" t="s">
        <v>131</v>
      </c>
      <c r="B26" s="690">
        <f>0.1</f>
        <v>0.1</v>
      </c>
      <c r="C26" s="574" t="s">
        <v>124</v>
      </c>
      <c r="D26" s="724">
        <f>D25*B19</f>
        <v>26.22</v>
      </c>
      <c r="E26" s="574" t="s">
        <v>77</v>
      </c>
      <c r="F26" s="742">
        <f>F24*F25</f>
        <v>8</v>
      </c>
      <c r="G26" s="671" t="s">
        <v>64</v>
      </c>
      <c r="H26" s="675">
        <f>60/80</f>
        <v>0.75</v>
      </c>
    </row>
    <row r="27" spans="1:10" ht="13.5" customHeight="1" thickBot="1" x14ac:dyDescent="0.3">
      <c r="A27" s="689" t="s">
        <v>128</v>
      </c>
      <c r="B27" s="690">
        <f>B26*B25</f>
        <v>4.0000000000000008E-2</v>
      </c>
      <c r="C27" s="725" t="s">
        <v>77</v>
      </c>
      <c r="D27" s="726">
        <f>D26/3600/24</f>
        <v>3.0347222222222217E-4</v>
      </c>
      <c r="E27" s="736" t="s">
        <v>76</v>
      </c>
      <c r="F27" s="743">
        <f>F26+F23</f>
        <v>24</v>
      </c>
      <c r="G27" s="673" t="s">
        <v>65</v>
      </c>
      <c r="H27" s="676">
        <f>80/60</f>
        <v>1.3333333333333333</v>
      </c>
      <c r="J27" s="3"/>
    </row>
    <row r="28" spans="1:10" ht="13.5" customHeight="1" thickBot="1" x14ac:dyDescent="0.3">
      <c r="A28" s="691" t="s">
        <v>125</v>
      </c>
      <c r="B28" s="694">
        <f>B27*B19</f>
        <v>0.34960000000000008</v>
      </c>
      <c r="C28" s="731" t="s">
        <v>531</v>
      </c>
      <c r="D28" s="732"/>
      <c r="E28" s="578" t="s">
        <v>75</v>
      </c>
      <c r="F28" s="744">
        <f>F27*B19/3600/24</f>
        <v>2.4277777777777774E-3</v>
      </c>
      <c r="G28" s="671" t="s">
        <v>34</v>
      </c>
      <c r="H28" s="672">
        <f>H25*H27</f>
        <v>34.666666666666664</v>
      </c>
      <c r="J28" s="3"/>
    </row>
    <row r="29" spans="1:10" ht="13.5" customHeight="1" thickBot="1" x14ac:dyDescent="0.3">
      <c r="A29" s="692" t="s">
        <v>122</v>
      </c>
      <c r="B29" s="710"/>
      <c r="C29" s="728" t="s">
        <v>117</v>
      </c>
      <c r="D29" s="729">
        <v>30</v>
      </c>
      <c r="F29" s="683"/>
      <c r="G29" s="673" t="s">
        <v>33</v>
      </c>
      <c r="H29" s="677">
        <f>60/H28</f>
        <v>1.7307692307692308</v>
      </c>
      <c r="J29" s="3"/>
    </row>
    <row r="30" spans="1:10" ht="13.5" customHeight="1" x14ac:dyDescent="0.25">
      <c r="A30" s="689" t="s">
        <v>649</v>
      </c>
      <c r="B30" s="690">
        <f>(2/3)*B17</f>
        <v>0.11333333333333334</v>
      </c>
      <c r="C30" s="574" t="s">
        <v>114</v>
      </c>
      <c r="D30" s="724">
        <v>30</v>
      </c>
      <c r="F30" s="681"/>
      <c r="G30" s="671" t="s">
        <v>36</v>
      </c>
      <c r="H30" s="678">
        <f>H29*60</f>
        <v>103.84615384615385</v>
      </c>
    </row>
    <row r="31" spans="1:10" ht="13.5" customHeight="1" thickBot="1" x14ac:dyDescent="0.3">
      <c r="A31" s="689" t="s">
        <v>648</v>
      </c>
      <c r="B31" s="711">
        <f>(B30*B30)/2</f>
        <v>6.4222222222222233E-3</v>
      </c>
      <c r="C31" s="725" t="s">
        <v>110</v>
      </c>
      <c r="D31" s="726">
        <f>(D29+D30)*B39/3600/24</f>
        <v>6.9444444444444447E-4</v>
      </c>
      <c r="F31" s="681"/>
      <c r="G31" s="673" t="s">
        <v>40</v>
      </c>
      <c r="H31" s="674">
        <f>H30*H19</f>
        <v>83.076923076923094</v>
      </c>
    </row>
    <row r="32" spans="1:10" ht="13.5" customHeight="1" thickBot="1" x14ac:dyDescent="0.3">
      <c r="A32" s="689" t="s">
        <v>650</v>
      </c>
      <c r="B32" s="712">
        <f>B31*B19*2</f>
        <v>0.11226044444444447</v>
      </c>
      <c r="C32" s="720" t="s">
        <v>532</v>
      </c>
      <c r="D32" s="732"/>
      <c r="F32" s="681"/>
      <c r="G32" s="671" t="s">
        <v>39</v>
      </c>
      <c r="H32" s="672">
        <f>H31*H26</f>
        <v>62.307692307692321</v>
      </c>
    </row>
    <row r="33" spans="1:10" ht="13.5" customHeight="1" thickBot="1" x14ac:dyDescent="0.3">
      <c r="A33" s="702" t="s">
        <v>98</v>
      </c>
      <c r="B33" s="713">
        <f>B28+B32</f>
        <v>0.46186044444444452</v>
      </c>
      <c r="C33" s="733" t="s">
        <v>104</v>
      </c>
      <c r="D33" s="723">
        <v>5</v>
      </c>
      <c r="F33" s="681"/>
      <c r="G33" s="673" t="s">
        <v>67</v>
      </c>
      <c r="H33" s="674">
        <f>H17/H32</f>
        <v>9.6647135802469131E-3</v>
      </c>
    </row>
    <row r="34" spans="1:10" ht="13.5" customHeight="1" thickBot="1" x14ac:dyDescent="0.3">
      <c r="A34" s="123" t="s">
        <v>659</v>
      </c>
      <c r="B34" s="714"/>
      <c r="C34" s="578" t="s">
        <v>77</v>
      </c>
      <c r="D34" s="734">
        <f>B38*D33/3600/24</f>
        <v>1.0416666666666667E-3</v>
      </c>
      <c r="F34" s="681"/>
      <c r="G34" s="679" t="s">
        <v>66</v>
      </c>
      <c r="H34" s="680">
        <f>H33/24</f>
        <v>4.026963991769547E-4</v>
      </c>
    </row>
    <row r="35" spans="1:10" ht="13.5" customHeight="1" x14ac:dyDescent="0.25">
      <c r="A35" s="120" t="s">
        <v>660</v>
      </c>
      <c r="B35" s="112">
        <v>0.25</v>
      </c>
      <c r="C35" s="574" t="s">
        <v>100</v>
      </c>
      <c r="D35" s="735">
        <v>5</v>
      </c>
      <c r="F35" s="681"/>
      <c r="G35" s="572" t="s">
        <v>102</v>
      </c>
      <c r="H35" s="745">
        <f>D38+D31+D27+D23+D19+F19+F28+H34</f>
        <v>8.9492241769547325E-3</v>
      </c>
      <c r="I35" s="3"/>
      <c r="J35" s="3"/>
    </row>
    <row r="36" spans="1:10" ht="13.5" customHeight="1" thickBot="1" x14ac:dyDescent="0.3">
      <c r="A36" s="117" t="s">
        <v>661</v>
      </c>
      <c r="B36" s="128">
        <f>ROUNDUP(B33/B35,0)</f>
        <v>2</v>
      </c>
      <c r="C36" s="578" t="s">
        <v>77</v>
      </c>
      <c r="D36" s="734">
        <f>D35*B38/3600/24</f>
        <v>1.0416666666666667E-3</v>
      </c>
      <c r="F36" s="681"/>
      <c r="G36" s="574" t="s">
        <v>99</v>
      </c>
      <c r="H36" s="724">
        <f>8/5</f>
        <v>1.6</v>
      </c>
    </row>
    <row r="37" spans="1:10" ht="13.5" customHeight="1" thickBot="1" x14ac:dyDescent="0.3">
      <c r="A37" s="123" t="s">
        <v>653</v>
      </c>
      <c r="B37" s="715"/>
      <c r="C37" s="736" t="s">
        <v>95</v>
      </c>
      <c r="D37" s="737">
        <f>D36+D34</f>
        <v>2.0833333333333333E-3</v>
      </c>
      <c r="F37" s="681"/>
      <c r="G37" s="576" t="s">
        <v>97</v>
      </c>
      <c r="H37" s="577">
        <f>H35*H36</f>
        <v>1.4318758683127573E-2</v>
      </c>
    </row>
    <row r="38" spans="1:10" ht="13.5" customHeight="1" thickBot="1" x14ac:dyDescent="0.3">
      <c r="A38" s="120" t="s">
        <v>654</v>
      </c>
      <c r="B38" s="119">
        <v>18</v>
      </c>
      <c r="C38" s="578" t="s">
        <v>85</v>
      </c>
      <c r="D38" s="738">
        <f>D37*B39</f>
        <v>2.0833333333333333E-3</v>
      </c>
      <c r="G38" s="746" t="s">
        <v>665</v>
      </c>
      <c r="H38" s="747">
        <f>H37/B19</f>
        <v>1.638301908824665E-3</v>
      </c>
    </row>
    <row r="39" spans="1:10" ht="13.5" customHeight="1" x14ac:dyDescent="0.25">
      <c r="A39" s="117" t="s">
        <v>84</v>
      </c>
      <c r="B39" s="116">
        <f>ROUNDUP(B18/B38,0)</f>
        <v>1</v>
      </c>
    </row>
    <row r="40" spans="1:10" ht="26.25" customHeight="1" x14ac:dyDescent="0.2">
      <c r="A40" s="100" t="s">
        <v>9</v>
      </c>
      <c r="B40" s="99"/>
      <c r="C40" s="99"/>
      <c r="D40" s="99"/>
      <c r="E40" s="99"/>
      <c r="F40" s="98" t="s">
        <v>16</v>
      </c>
      <c r="G40" s="98"/>
      <c r="H40" s="97"/>
    </row>
    <row r="41" spans="1:10" ht="18" customHeight="1" x14ac:dyDescent="0.2">
      <c r="A41" s="96" t="s">
        <v>4</v>
      </c>
      <c r="B41" s="95" t="s">
        <v>5</v>
      </c>
      <c r="C41" s="95" t="s">
        <v>1</v>
      </c>
      <c r="D41" s="95" t="s">
        <v>6</v>
      </c>
      <c r="E41" s="94" t="s">
        <v>7</v>
      </c>
      <c r="F41" s="93" t="s">
        <v>17</v>
      </c>
      <c r="G41" s="93" t="s">
        <v>18</v>
      </c>
      <c r="H41" s="92" t="s">
        <v>19</v>
      </c>
    </row>
    <row r="42" spans="1:10" ht="18" customHeight="1" x14ac:dyDescent="0.25">
      <c r="A42" s="433" t="s">
        <v>415</v>
      </c>
      <c r="B42" s="86">
        <f>B33</f>
        <v>0.46186044444444452</v>
      </c>
      <c r="C42" s="653" t="s">
        <v>22</v>
      </c>
      <c r="D42" s="86">
        <v>98</v>
      </c>
      <c r="E42" s="748">
        <f>D42*B42</f>
        <v>45.262323555555561</v>
      </c>
      <c r="F42" s="84"/>
      <c r="G42" s="89"/>
      <c r="H42" s="83"/>
    </row>
    <row r="43" spans="1:10" ht="18" customHeight="1" x14ac:dyDescent="0.25">
      <c r="A43" s="88" t="s">
        <v>662</v>
      </c>
      <c r="B43" s="86"/>
      <c r="C43" s="653"/>
      <c r="D43" s="86"/>
      <c r="E43" s="748"/>
      <c r="F43" s="84"/>
      <c r="G43" s="84"/>
      <c r="H43" s="83"/>
    </row>
    <row r="44" spans="1:10" ht="15" x14ac:dyDescent="0.25">
      <c r="A44" s="88"/>
      <c r="B44" s="86"/>
      <c r="C44" s="653"/>
      <c r="D44" s="86"/>
      <c r="E44" s="748"/>
      <c r="F44" s="84"/>
      <c r="G44" s="84"/>
      <c r="H44" s="83"/>
    </row>
    <row r="45" spans="1:10" ht="15.75" thickBot="1" x14ac:dyDescent="0.3">
      <c r="A45" s="82"/>
      <c r="B45" s="80"/>
      <c r="C45" s="81"/>
      <c r="D45" s="80" t="str">
        <f>IF(A45="","",VLOOKUP(A45,$O$3:$P$12,2,FALSE))</f>
        <v/>
      </c>
      <c r="E45" s="79" t="str">
        <f>IF(A45="","",B45*D45)</f>
        <v/>
      </c>
      <c r="F45" s="78"/>
      <c r="G45" s="78"/>
      <c r="H45" s="77"/>
    </row>
    <row r="46" spans="1:10" ht="19.5" customHeight="1" x14ac:dyDescent="0.2"/>
    <row r="47" spans="1:10" ht="19.5" customHeight="1" x14ac:dyDescent="0.2"/>
    <row r="48" spans="1:10"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57" ht="19.5" customHeight="1" x14ac:dyDescent="0.2"/>
    <row r="58" ht="19.5" customHeight="1" x14ac:dyDescent="0.2"/>
    <row r="59" ht="19.5" customHeight="1" x14ac:dyDescent="0.2"/>
    <row r="60" ht="19.5" customHeight="1" x14ac:dyDescent="0.2"/>
    <row r="61" ht="19.5" customHeight="1" x14ac:dyDescent="0.2"/>
    <row r="62" ht="19.5" customHeight="1" x14ac:dyDescent="0.2"/>
    <row r="63" ht="19.5" customHeight="1" x14ac:dyDescent="0.2"/>
    <row r="6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row r="102" ht="19.5" customHeight="1" x14ac:dyDescent="0.2"/>
    <row r="103" ht="19.5" customHeight="1" x14ac:dyDescent="0.2"/>
    <row r="104" ht="19.5" customHeight="1" x14ac:dyDescent="0.2"/>
    <row r="105" ht="19.5" customHeight="1" x14ac:dyDescent="0.2"/>
    <row r="106" ht="19.5" customHeight="1" x14ac:dyDescent="0.2"/>
    <row r="107" ht="19.5" customHeight="1" x14ac:dyDescent="0.2"/>
    <row r="108" ht="19.5" customHeight="1" x14ac:dyDescent="0.2"/>
    <row r="109" ht="19.5" customHeight="1" x14ac:dyDescent="0.2"/>
  </sheetData>
  <mergeCells count="19">
    <mergeCell ref="A1:C1"/>
    <mergeCell ref="D1:H1"/>
    <mergeCell ref="A2:C2"/>
    <mergeCell ref="D2:H2"/>
    <mergeCell ref="A3:A4"/>
    <mergeCell ref="B3:D4"/>
    <mergeCell ref="A5:H5"/>
    <mergeCell ref="A7:D7"/>
    <mergeCell ref="E7:H7"/>
    <mergeCell ref="C8:D8"/>
    <mergeCell ref="G8:H8"/>
    <mergeCell ref="A6:H6"/>
    <mergeCell ref="G9:H9"/>
    <mergeCell ref="G10:H10"/>
    <mergeCell ref="G11:H11"/>
    <mergeCell ref="A13:H13"/>
    <mergeCell ref="C9:D9"/>
    <mergeCell ref="C10:D10"/>
    <mergeCell ref="C11:D11"/>
  </mergeCells>
  <printOptions horizontalCentered="1" verticalCentered="1"/>
  <pageMargins left="0" right="0" top="0" bottom="0" header="0" footer="0"/>
  <pageSetup paperSize="9" scale="60"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2"/>
  <sheetViews>
    <sheetView showGridLines="0" topLeftCell="A16" zoomScaleNormal="100" workbookViewId="0">
      <selection activeCell="B34" sqref="B34"/>
    </sheetView>
  </sheetViews>
  <sheetFormatPr baseColWidth="10" defaultRowHeight="12.75" x14ac:dyDescent="0.2"/>
  <cols>
    <col min="1" max="1" width="25.5703125" customWidth="1"/>
    <col min="2" max="2" width="10.28515625" customWidth="1"/>
    <col min="3" max="3" width="13.140625" customWidth="1"/>
    <col min="4" max="4" width="26.7109375" bestFit="1" customWidth="1"/>
    <col min="5" max="5" width="12.7109375" bestFit="1" customWidth="1"/>
    <col min="6" max="7" width="12.42578125" customWidth="1"/>
    <col min="8" max="8" width="13.7109375" customWidth="1"/>
    <col min="14" max="14" width="28.28515625" bestFit="1"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164" t="s">
        <v>428</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3</v>
      </c>
      <c r="F4" s="70" t="s">
        <v>1</v>
      </c>
      <c r="G4" s="338"/>
      <c r="H4" s="10"/>
    </row>
    <row r="5" spans="1:8" x14ac:dyDescent="0.2">
      <c r="A5" s="1175" t="s">
        <v>14</v>
      </c>
      <c r="B5" s="1176"/>
      <c r="C5" s="1176"/>
      <c r="D5" s="1176"/>
      <c r="E5" s="1176"/>
      <c r="F5" s="1176"/>
      <c r="G5" s="1176"/>
      <c r="H5" s="1177"/>
    </row>
    <row r="6" spans="1:8" ht="14.25" customHeight="1" x14ac:dyDescent="0.2">
      <c r="A6" s="1206" t="s">
        <v>679</v>
      </c>
      <c r="B6" s="1207"/>
      <c r="C6" s="1207"/>
      <c r="D6" s="1207"/>
      <c r="E6" s="1207"/>
      <c r="F6" s="1207"/>
      <c r="G6" s="1207"/>
      <c r="H6" s="1208"/>
    </row>
    <row r="7" spans="1:8" ht="14.25" customHeight="1" x14ac:dyDescent="0.2">
      <c r="A7" s="1209"/>
      <c r="B7" s="1210"/>
      <c r="C7" s="1210"/>
      <c r="D7" s="1210"/>
      <c r="E7" s="1210"/>
      <c r="F7" s="1210"/>
      <c r="G7" s="1210"/>
      <c r="H7" s="1211"/>
    </row>
    <row r="8" spans="1:8" ht="14.25" customHeight="1" x14ac:dyDescent="0.2">
      <c r="A8" s="1209"/>
      <c r="B8" s="1210"/>
      <c r="C8" s="1210"/>
      <c r="D8" s="1210"/>
      <c r="E8" s="1210"/>
      <c r="F8" s="1210"/>
      <c r="G8" s="1210"/>
      <c r="H8" s="1211"/>
    </row>
    <row r="9" spans="1:8" ht="27" customHeight="1" x14ac:dyDescent="0.2">
      <c r="A9" s="1212"/>
      <c r="B9" s="1213"/>
      <c r="C9" s="1213"/>
      <c r="D9" s="1213"/>
      <c r="E9" s="1213"/>
      <c r="F9" s="1213"/>
      <c r="G9" s="1213"/>
      <c r="H9" s="1214"/>
    </row>
    <row r="10" spans="1:8" ht="14.25" x14ac:dyDescent="0.2">
      <c r="A10" s="1178" t="s">
        <v>8</v>
      </c>
      <c r="B10" s="1179"/>
      <c r="C10" s="1179"/>
      <c r="D10" s="1179"/>
      <c r="E10" s="1179" t="s">
        <v>10</v>
      </c>
      <c r="F10" s="1179"/>
      <c r="G10" s="1179"/>
      <c r="H10" s="1180"/>
    </row>
    <row r="11" spans="1:8" ht="15.75" x14ac:dyDescent="0.25">
      <c r="A11" s="4" t="s">
        <v>4</v>
      </c>
      <c r="B11" s="5" t="s">
        <v>5</v>
      </c>
      <c r="C11" s="1181" t="s">
        <v>15</v>
      </c>
      <c r="D11" s="1181"/>
      <c r="E11" s="39" t="s">
        <v>4</v>
      </c>
      <c r="F11" s="5" t="s">
        <v>0</v>
      </c>
      <c r="G11" s="1181" t="s">
        <v>15</v>
      </c>
      <c r="H11" s="1182"/>
    </row>
    <row r="12" spans="1:8" ht="24.75" customHeight="1" x14ac:dyDescent="0.2">
      <c r="A12" s="367" t="s">
        <v>638</v>
      </c>
      <c r="B12" s="368">
        <v>1</v>
      </c>
      <c r="C12" s="1215"/>
      <c r="D12" s="1216"/>
      <c r="E12" s="368" t="s">
        <v>663</v>
      </c>
      <c r="F12" s="368">
        <v>2</v>
      </c>
      <c r="G12" s="1217" t="s">
        <v>363</v>
      </c>
      <c r="H12" s="1218"/>
    </row>
    <row r="13" spans="1:8" ht="24" customHeight="1" x14ac:dyDescent="0.2">
      <c r="A13" s="20"/>
      <c r="B13" s="1"/>
      <c r="C13" s="49"/>
      <c r="D13" s="26"/>
      <c r="E13" s="337"/>
      <c r="F13" s="1"/>
      <c r="G13" s="49"/>
      <c r="H13" s="35"/>
    </row>
    <row r="14" spans="1:8" ht="18.75" customHeight="1" x14ac:dyDescent="0.2">
      <c r="A14" s="20"/>
      <c r="B14" s="1"/>
      <c r="C14" s="26"/>
      <c r="D14" s="26"/>
      <c r="E14" s="1"/>
      <c r="F14" s="1"/>
      <c r="G14" s="26"/>
      <c r="H14" s="35"/>
    </row>
    <row r="15" spans="1:8" ht="14.25" x14ac:dyDescent="0.2">
      <c r="A15" s="31" t="s">
        <v>11</v>
      </c>
      <c r="B15" s="30"/>
      <c r="C15" s="30"/>
      <c r="D15" s="30"/>
      <c r="E15" s="30"/>
      <c r="F15" s="30"/>
      <c r="G15" s="30"/>
      <c r="H15" s="32"/>
    </row>
    <row r="16" spans="1:8" ht="27.75" customHeight="1" x14ac:dyDescent="0.2">
      <c r="A16" s="1183" t="s">
        <v>667</v>
      </c>
      <c r="B16" s="1184"/>
      <c r="C16" s="1184"/>
      <c r="D16" s="1184"/>
      <c r="E16" s="1184"/>
      <c r="F16" s="1184"/>
      <c r="G16" s="1184"/>
      <c r="H16" s="1185"/>
    </row>
    <row r="17" spans="1:13" ht="14.25" x14ac:dyDescent="0.2">
      <c r="A17" s="31" t="s">
        <v>20</v>
      </c>
      <c r="B17" s="29"/>
      <c r="C17" s="29"/>
      <c r="D17" s="29"/>
      <c r="E17" s="29"/>
      <c r="F17" s="29"/>
      <c r="G17" s="29"/>
      <c r="H17" s="38"/>
    </row>
    <row r="18" spans="1:13" ht="13.5" customHeight="1" thickBot="1" x14ac:dyDescent="0.25">
      <c r="A18" s="61" t="s">
        <v>25</v>
      </c>
      <c r="B18" s="62" t="s">
        <v>0</v>
      </c>
      <c r="C18" s="28"/>
      <c r="D18" s="61" t="s">
        <v>25</v>
      </c>
      <c r="E18" s="62" t="s">
        <v>0</v>
      </c>
      <c r="F18" s="28"/>
      <c r="G18" s="61" t="s">
        <v>25</v>
      </c>
      <c r="H18" s="62" t="s">
        <v>0</v>
      </c>
    </row>
    <row r="19" spans="1:13" ht="24.75" thickBot="1" x14ac:dyDescent="0.25">
      <c r="A19" s="753" t="s">
        <v>671</v>
      </c>
      <c r="B19" s="749"/>
      <c r="C19" s="28"/>
      <c r="D19" s="327"/>
      <c r="E19" s="326"/>
      <c r="F19" s="28"/>
      <c r="G19" s="382" t="s">
        <v>350</v>
      </c>
      <c r="H19" s="378"/>
    </row>
    <row r="20" spans="1:13" ht="13.5" thickBot="1" x14ac:dyDescent="0.25">
      <c r="A20" s="663" t="s">
        <v>367</v>
      </c>
      <c r="B20" s="664">
        <v>0.7</v>
      </c>
      <c r="C20" s="26"/>
      <c r="D20" s="323"/>
      <c r="E20" s="322"/>
      <c r="F20" s="26"/>
      <c r="G20" s="376" t="s">
        <v>204</v>
      </c>
      <c r="H20" s="376">
        <v>1.59</v>
      </c>
    </row>
    <row r="21" spans="1:13" x14ac:dyDescent="0.2">
      <c r="A21" s="663" t="s">
        <v>668</v>
      </c>
      <c r="B21" s="664">
        <v>2</v>
      </c>
      <c r="C21" s="26"/>
      <c r="D21" s="319"/>
      <c r="E21" s="318"/>
      <c r="F21" s="26"/>
      <c r="G21" s="376" t="s">
        <v>202</v>
      </c>
      <c r="H21" s="376">
        <v>0.53</v>
      </c>
    </row>
    <row r="22" spans="1:13" x14ac:dyDescent="0.2">
      <c r="A22" s="663" t="s">
        <v>368</v>
      </c>
      <c r="B22" s="664">
        <v>0.1</v>
      </c>
      <c r="C22" s="26"/>
      <c r="D22" s="71"/>
      <c r="E22" s="267"/>
      <c r="F22" s="26"/>
      <c r="G22" s="376" t="s">
        <v>346</v>
      </c>
      <c r="H22" s="376">
        <v>0.52</v>
      </c>
    </row>
    <row r="23" spans="1:13" x14ac:dyDescent="0.2">
      <c r="A23" s="663" t="s">
        <v>369</v>
      </c>
      <c r="B23" s="664">
        <v>0.25</v>
      </c>
      <c r="C23" s="26"/>
      <c r="D23" s="75"/>
      <c r="E23" s="284"/>
      <c r="F23" s="26"/>
      <c r="G23" s="378" t="s">
        <v>351</v>
      </c>
      <c r="H23" s="378">
        <v>2</v>
      </c>
    </row>
    <row r="24" spans="1:13" x14ac:dyDescent="0.2">
      <c r="A24" s="663" t="s">
        <v>370</v>
      </c>
      <c r="B24" s="664">
        <v>0.2</v>
      </c>
      <c r="C24" s="26"/>
      <c r="D24" s="71"/>
      <c r="E24" s="285"/>
      <c r="F24" s="26"/>
      <c r="G24" s="381" t="s">
        <v>352</v>
      </c>
      <c r="H24" s="378"/>
    </row>
    <row r="25" spans="1:13" x14ac:dyDescent="0.2">
      <c r="A25" s="663" t="s">
        <v>371</v>
      </c>
      <c r="B25" s="659">
        <f>B20*B21*B22+B23*B24</f>
        <v>0.19</v>
      </c>
      <c r="C25" s="26"/>
      <c r="D25" s="75"/>
      <c r="E25" s="317"/>
      <c r="F25" s="26"/>
      <c r="G25" s="378" t="s">
        <v>60</v>
      </c>
      <c r="H25" s="378">
        <f>H20*H21*0.1*H23</f>
        <v>0.16854000000000002</v>
      </c>
      <c r="M25" s="41"/>
    </row>
    <row r="26" spans="1:13" ht="13.5" customHeight="1" x14ac:dyDescent="0.2">
      <c r="A26" s="754" t="s">
        <v>372</v>
      </c>
      <c r="B26" s="751"/>
      <c r="C26" s="26"/>
      <c r="D26" s="316"/>
      <c r="E26" s="280"/>
      <c r="F26" s="26"/>
      <c r="G26" s="54" t="s">
        <v>353</v>
      </c>
      <c r="H26" s="383">
        <f>5/60/24</f>
        <v>3.472222222222222E-3</v>
      </c>
      <c r="M26" s="50"/>
    </row>
    <row r="27" spans="1:13" ht="25.5" x14ac:dyDescent="0.2">
      <c r="A27" s="462" t="s">
        <v>373</v>
      </c>
      <c r="B27" s="655">
        <v>120</v>
      </c>
      <c r="C27" s="26"/>
      <c r="D27" s="75"/>
      <c r="E27" s="299"/>
      <c r="F27" s="26"/>
      <c r="G27" s="54" t="s">
        <v>85</v>
      </c>
      <c r="H27" s="370">
        <f>H26*H23</f>
        <v>6.9444444444444441E-3</v>
      </c>
    </row>
    <row r="28" spans="1:13" ht="25.5" x14ac:dyDescent="0.2">
      <c r="A28" s="462" t="s">
        <v>374</v>
      </c>
      <c r="B28" s="655">
        <v>360</v>
      </c>
      <c r="C28" s="26"/>
      <c r="D28" s="71"/>
      <c r="E28" s="267"/>
      <c r="F28" s="26"/>
      <c r="G28" s="51" t="s">
        <v>354</v>
      </c>
      <c r="H28" s="56"/>
    </row>
    <row r="29" spans="1:13" ht="13.5" customHeight="1" thickBot="1" x14ac:dyDescent="0.25">
      <c r="A29" s="462" t="s">
        <v>375</v>
      </c>
      <c r="B29" s="655">
        <v>300</v>
      </c>
      <c r="C29" s="26"/>
      <c r="D29" s="314"/>
      <c r="E29" s="313"/>
      <c r="F29" s="26"/>
      <c r="G29" s="54" t="s">
        <v>60</v>
      </c>
      <c r="H29" s="56">
        <f>H20*H21*0.1*2</f>
        <v>0.16854000000000002</v>
      </c>
    </row>
    <row r="30" spans="1:13" ht="13.5" customHeight="1" x14ac:dyDescent="0.2">
      <c r="A30" s="462" t="s">
        <v>376</v>
      </c>
      <c r="B30" s="655">
        <v>180</v>
      </c>
      <c r="C30" s="26"/>
      <c r="D30" s="312"/>
      <c r="E30" s="279"/>
      <c r="F30" s="26"/>
      <c r="G30" s="54" t="s">
        <v>353</v>
      </c>
      <c r="H30" s="383">
        <f>3/60/24</f>
        <v>2.0833333333333333E-3</v>
      </c>
      <c r="J30" s="3"/>
    </row>
    <row r="31" spans="1:13" ht="13.5" customHeight="1" x14ac:dyDescent="0.2">
      <c r="A31" s="462" t="s">
        <v>669</v>
      </c>
      <c r="B31" s="655">
        <v>3</v>
      </c>
      <c r="C31" s="26"/>
      <c r="D31" s="310"/>
      <c r="E31" s="280"/>
      <c r="F31" s="26"/>
      <c r="G31" s="54" t="s">
        <v>85</v>
      </c>
      <c r="H31" s="370">
        <f>H30*H23</f>
        <v>4.1666666666666666E-3</v>
      </c>
      <c r="J31" s="3"/>
    </row>
    <row r="32" spans="1:13" ht="13.5" customHeight="1" x14ac:dyDescent="0.2">
      <c r="A32" s="663" t="s">
        <v>347</v>
      </c>
      <c r="B32" s="750" t="s">
        <v>377</v>
      </c>
      <c r="C32" s="26"/>
      <c r="D32" s="307"/>
      <c r="E32" s="281"/>
      <c r="F32" s="26"/>
      <c r="G32" s="51" t="s">
        <v>355</v>
      </c>
      <c r="H32" s="59"/>
      <c r="J32" s="3"/>
    </row>
    <row r="33" spans="1:10" ht="13.5" customHeight="1" x14ac:dyDescent="0.2">
      <c r="A33" s="755" t="s">
        <v>670</v>
      </c>
      <c r="B33" s="752">
        <f>(B27+B28+B29+B30)*B31*6/5/60/60/24</f>
        <v>0.04</v>
      </c>
      <c r="C33" s="26"/>
      <c r="D33" s="297"/>
      <c r="E33" s="282"/>
      <c r="F33" s="26"/>
      <c r="G33" s="54" t="s">
        <v>60</v>
      </c>
      <c r="H33" s="377">
        <f>H22*H21*0.1*H23</f>
        <v>5.5120000000000002E-2</v>
      </c>
    </row>
    <row r="34" spans="1:10" ht="38.25" x14ac:dyDescent="0.2">
      <c r="A34" s="266"/>
      <c r="B34" s="306"/>
      <c r="C34" s="26"/>
      <c r="D34" s="307"/>
      <c r="E34" s="283"/>
      <c r="F34" s="26"/>
      <c r="G34" s="65" t="s">
        <v>356</v>
      </c>
      <c r="H34" s="383">
        <f>3/60/24</f>
        <v>2.0833333333333333E-3</v>
      </c>
    </row>
    <row r="35" spans="1:10" ht="13.5" customHeight="1" x14ac:dyDescent="0.2">
      <c r="A35" s="266"/>
      <c r="B35" s="56"/>
      <c r="C35" s="26"/>
      <c r="D35" s="75"/>
      <c r="E35" s="305"/>
      <c r="F35" s="26"/>
      <c r="G35" s="54" t="s">
        <v>85</v>
      </c>
      <c r="H35" s="370">
        <f>H34*H23</f>
        <v>4.1666666666666666E-3</v>
      </c>
    </row>
    <row r="36" spans="1:10" ht="24" x14ac:dyDescent="0.2">
      <c r="A36" s="266"/>
      <c r="B36" s="56"/>
      <c r="C36" s="26"/>
      <c r="D36" s="3"/>
      <c r="E36" s="278"/>
      <c r="F36" s="26"/>
      <c r="G36" s="380" t="s">
        <v>357</v>
      </c>
      <c r="H36" s="383">
        <f>3/60/24</f>
        <v>2.0833333333333333E-3</v>
      </c>
    </row>
    <row r="37" spans="1:10" ht="13.5" customHeight="1" x14ac:dyDescent="0.2">
      <c r="A37" s="266"/>
      <c r="B37" s="56"/>
      <c r="C37" s="26"/>
      <c r="D37" s="3"/>
      <c r="E37" s="278"/>
      <c r="F37" s="26"/>
      <c r="G37" s="54" t="s">
        <v>85</v>
      </c>
      <c r="H37" s="370">
        <f>H36*H23</f>
        <v>4.1666666666666666E-3</v>
      </c>
    </row>
    <row r="38" spans="1:10" ht="13.5" customHeight="1" x14ac:dyDescent="0.2">
      <c r="A38" s="266"/>
      <c r="B38" s="56"/>
      <c r="C38" s="26"/>
      <c r="D38" s="301"/>
      <c r="E38" s="267"/>
      <c r="F38" s="26"/>
      <c r="G38" s="384" t="s">
        <v>358</v>
      </c>
      <c r="H38" s="383">
        <f>5/60/24</f>
        <v>3.472222222222222E-3</v>
      </c>
      <c r="I38" s="40"/>
      <c r="J38" s="3"/>
    </row>
    <row r="39" spans="1:10" ht="13.5" customHeight="1" x14ac:dyDescent="0.2">
      <c r="A39" s="266"/>
      <c r="B39" s="275"/>
      <c r="C39" s="26"/>
      <c r="D39" s="75"/>
      <c r="E39" s="299"/>
      <c r="F39" s="26"/>
      <c r="G39" s="54" t="s">
        <v>85</v>
      </c>
      <c r="H39" s="370">
        <f>H38*H23</f>
        <v>6.9444444444444441E-3</v>
      </c>
    </row>
    <row r="40" spans="1:10" ht="13.5" customHeight="1" x14ac:dyDescent="0.25">
      <c r="A40" s="266"/>
      <c r="B40" s="275"/>
      <c r="C40" s="26"/>
      <c r="D40" s="75"/>
      <c r="E40" s="298"/>
      <c r="F40" s="26"/>
      <c r="G40" s="376" t="s">
        <v>347</v>
      </c>
      <c r="H40" s="379">
        <f>6/5</f>
        <v>1.2</v>
      </c>
    </row>
    <row r="41" spans="1:10" ht="13.5" customHeight="1" x14ac:dyDescent="0.2">
      <c r="A41" s="266"/>
      <c r="B41" s="275"/>
      <c r="C41" s="26"/>
      <c r="D41" s="297"/>
      <c r="E41" s="296"/>
      <c r="F41" s="26"/>
      <c r="G41" s="26"/>
      <c r="H41" s="35"/>
    </row>
    <row r="42" spans="1:10" ht="13.5" customHeight="1" x14ac:dyDescent="0.2">
      <c r="A42" s="266"/>
      <c r="B42" s="275"/>
      <c r="C42" s="26"/>
      <c r="D42" s="68"/>
      <c r="E42" s="69"/>
      <c r="F42" s="26"/>
      <c r="G42" s="26"/>
      <c r="H42" s="35"/>
    </row>
    <row r="43" spans="1:10" ht="19.5" customHeight="1" x14ac:dyDescent="0.2">
      <c r="A43" s="14" t="s">
        <v>9</v>
      </c>
      <c r="B43" s="15"/>
      <c r="C43" s="15"/>
      <c r="D43" s="15"/>
      <c r="E43" s="15"/>
      <c r="F43" s="72" t="s">
        <v>16</v>
      </c>
      <c r="G43" s="72"/>
      <c r="H43" s="73"/>
    </row>
    <row r="44" spans="1:10" ht="25.5" x14ac:dyDescent="0.2">
      <c r="A44" s="16" t="s">
        <v>4</v>
      </c>
      <c r="B44" s="17" t="s">
        <v>5</v>
      </c>
      <c r="C44" s="17" t="s">
        <v>1</v>
      </c>
      <c r="D44" s="17" t="s">
        <v>6</v>
      </c>
      <c r="E44" s="18" t="s">
        <v>7</v>
      </c>
      <c r="F44" s="19" t="s">
        <v>17</v>
      </c>
      <c r="G44" s="19" t="s">
        <v>18</v>
      </c>
      <c r="H44" s="21" t="s">
        <v>19</v>
      </c>
    </row>
    <row r="45" spans="1:10" ht="19.5" customHeight="1" x14ac:dyDescent="0.2">
      <c r="A45" s="756" t="s">
        <v>364</v>
      </c>
      <c r="B45" s="757">
        <f>B31*B25</f>
        <v>0.57000000000000006</v>
      </c>
      <c r="C45" s="654" t="s">
        <v>22</v>
      </c>
      <c r="D45" s="758">
        <v>98</v>
      </c>
      <c r="E45" s="759">
        <f>D45*B45</f>
        <v>55.860000000000007</v>
      </c>
      <c r="F45" s="664" t="s">
        <v>672</v>
      </c>
      <c r="G45" s="659" t="s">
        <v>673</v>
      </c>
      <c r="H45" s="22"/>
    </row>
    <row r="46" spans="1:10" ht="19.5" customHeight="1" thickBot="1" x14ac:dyDescent="0.25">
      <c r="A46" s="756" t="s">
        <v>365</v>
      </c>
      <c r="B46" s="757">
        <v>1</v>
      </c>
      <c r="C46" s="652" t="s">
        <v>366</v>
      </c>
      <c r="D46" s="761">
        <v>5.15</v>
      </c>
      <c r="E46" s="2">
        <f>B46*D46</f>
        <v>5.15</v>
      </c>
      <c r="F46" s="664" t="s">
        <v>674</v>
      </c>
      <c r="G46" s="664" t="s">
        <v>675</v>
      </c>
      <c r="H46" s="13"/>
    </row>
    <row r="47" spans="1:10" ht="19.5" customHeight="1" thickBot="1" x14ac:dyDescent="0.25">
      <c r="A47" s="663" t="s">
        <v>676</v>
      </c>
      <c r="B47" s="662">
        <v>3</v>
      </c>
      <c r="C47" s="652" t="s">
        <v>366</v>
      </c>
      <c r="D47" s="760">
        <v>25</v>
      </c>
      <c r="E47" s="2">
        <f>+B47*D47</f>
        <v>75</v>
      </c>
      <c r="F47" s="664" t="s">
        <v>677</v>
      </c>
      <c r="G47" s="664" t="s">
        <v>678</v>
      </c>
      <c r="H47" s="13"/>
    </row>
    <row r="48" spans="1:10"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57" ht="19.5" customHeight="1" x14ac:dyDescent="0.2"/>
    <row r="58" ht="19.5" customHeight="1" x14ac:dyDescent="0.2"/>
    <row r="59" ht="19.5" customHeight="1" x14ac:dyDescent="0.2"/>
    <row r="60" ht="19.5" customHeight="1" x14ac:dyDescent="0.2"/>
    <row r="61" ht="19.5" customHeight="1" x14ac:dyDescent="0.2"/>
    <row r="62" ht="19.5" customHeight="1" x14ac:dyDescent="0.2"/>
    <row r="63" ht="19.5" customHeight="1" x14ac:dyDescent="0.2"/>
    <row r="6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row r="102" ht="19.5" customHeight="1" x14ac:dyDescent="0.2"/>
  </sheetData>
  <mergeCells count="15">
    <mergeCell ref="A1:C1"/>
    <mergeCell ref="D1:H1"/>
    <mergeCell ref="A2:C2"/>
    <mergeCell ref="D2:H2"/>
    <mergeCell ref="A3:A4"/>
    <mergeCell ref="B3:D4"/>
    <mergeCell ref="A16:H16"/>
    <mergeCell ref="A6:H9"/>
    <mergeCell ref="A5:H5"/>
    <mergeCell ref="A10:D10"/>
    <mergeCell ref="E10:H10"/>
    <mergeCell ref="C11:D11"/>
    <mergeCell ref="G11:H11"/>
    <mergeCell ref="C12:D12"/>
    <mergeCell ref="G12:H12"/>
  </mergeCells>
  <printOptions horizontalCentered="1" verticalCentered="1"/>
  <pageMargins left="0" right="0" top="0" bottom="0" header="0" footer="0"/>
  <pageSetup paperSize="9" scale="75" orientation="portrait" r:id="rId1"/>
  <headerFooter alignWithMargins="0"/>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5"/>
  <sheetViews>
    <sheetView showGridLines="0" topLeftCell="A19" zoomScale="85" zoomScaleNormal="85" workbookViewId="0">
      <selection activeCell="A13" sqref="A13"/>
    </sheetView>
  </sheetViews>
  <sheetFormatPr baseColWidth="10" defaultRowHeight="12.75" x14ac:dyDescent="0.2"/>
  <cols>
    <col min="1" max="1" width="25.5703125" customWidth="1"/>
    <col min="2" max="2" width="10.28515625" customWidth="1"/>
    <col min="3" max="3" width="13.140625" customWidth="1"/>
    <col min="4" max="4" width="28.5703125" customWidth="1"/>
    <col min="5" max="5" width="12.7109375" bestFit="1" customWidth="1"/>
    <col min="6" max="7" width="12.42578125" customWidth="1"/>
    <col min="8" max="8" width="13.7109375" customWidth="1"/>
  </cols>
  <sheetData>
    <row r="1" spans="1:8" ht="15.75" x14ac:dyDescent="0.25">
      <c r="A1" s="1157" t="s">
        <v>12</v>
      </c>
      <c r="B1" s="1158"/>
      <c r="C1" s="1159"/>
      <c r="D1" s="1157" t="s">
        <v>13</v>
      </c>
      <c r="E1" s="1158"/>
      <c r="F1" s="1158"/>
      <c r="G1" s="1158"/>
      <c r="H1" s="1160"/>
    </row>
    <row r="2" spans="1:8" ht="18.75" customHeight="1" thickBot="1" x14ac:dyDescent="0.25">
      <c r="A2" s="1161" t="s">
        <v>548</v>
      </c>
      <c r="B2" s="1162"/>
      <c r="C2" s="1163"/>
      <c r="D2" s="1164" t="s">
        <v>428</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1</v>
      </c>
      <c r="F4" s="70" t="s">
        <v>1</v>
      </c>
      <c r="G4" s="8"/>
      <c r="H4" s="10"/>
    </row>
    <row r="5" spans="1:8" x14ac:dyDescent="0.2">
      <c r="A5" s="1175" t="s">
        <v>14</v>
      </c>
      <c r="B5" s="1176"/>
      <c r="C5" s="1176"/>
      <c r="D5" s="1176"/>
      <c r="E5" s="1176"/>
      <c r="F5" s="1176"/>
      <c r="G5" s="1176"/>
      <c r="H5" s="1177"/>
    </row>
    <row r="6" spans="1:8" ht="14.25" customHeight="1" x14ac:dyDescent="0.2">
      <c r="A6" s="1206" t="s">
        <v>429</v>
      </c>
      <c r="B6" s="1207"/>
      <c r="C6" s="1207"/>
      <c r="D6" s="1207"/>
      <c r="E6" s="1207"/>
      <c r="F6" s="1207"/>
      <c r="G6" s="1207"/>
      <c r="H6" s="1208"/>
    </row>
    <row r="7" spans="1:8" ht="14.25" customHeight="1" x14ac:dyDescent="0.2">
      <c r="A7" s="1209"/>
      <c r="B7" s="1210"/>
      <c r="C7" s="1210"/>
      <c r="D7" s="1210"/>
      <c r="E7" s="1210"/>
      <c r="F7" s="1210"/>
      <c r="G7" s="1210"/>
      <c r="H7" s="1211"/>
    </row>
    <row r="8" spans="1:8" ht="14.25" customHeight="1" x14ac:dyDescent="0.2">
      <c r="A8" s="1209"/>
      <c r="B8" s="1210"/>
      <c r="C8" s="1210"/>
      <c r="D8" s="1210"/>
      <c r="E8" s="1210"/>
      <c r="F8" s="1210"/>
      <c r="G8" s="1210"/>
      <c r="H8" s="1211"/>
    </row>
    <row r="9" spans="1:8" ht="51" customHeight="1" x14ac:dyDescent="0.2">
      <c r="A9" s="1212"/>
      <c r="B9" s="1213"/>
      <c r="C9" s="1213"/>
      <c r="D9" s="1213"/>
      <c r="E9" s="1213"/>
      <c r="F9" s="1213"/>
      <c r="G9" s="1213"/>
      <c r="H9" s="1214"/>
    </row>
    <row r="10" spans="1:8" ht="14.25" x14ac:dyDescent="0.2">
      <c r="A10" s="1178" t="s">
        <v>8</v>
      </c>
      <c r="B10" s="1179"/>
      <c r="C10" s="1179"/>
      <c r="D10" s="1179"/>
      <c r="E10" s="1179" t="s">
        <v>10</v>
      </c>
      <c r="F10" s="1179"/>
      <c r="G10" s="1179"/>
      <c r="H10" s="1180"/>
    </row>
    <row r="11" spans="1:8" ht="15.75" x14ac:dyDescent="0.2">
      <c r="A11" s="511" t="s">
        <v>4</v>
      </c>
      <c r="B11" s="512" t="s">
        <v>5</v>
      </c>
      <c r="C11" s="1217" t="s">
        <v>15</v>
      </c>
      <c r="D11" s="1217"/>
      <c r="E11" s="513" t="s">
        <v>4</v>
      </c>
      <c r="F11" s="512" t="s">
        <v>0</v>
      </c>
      <c r="G11" s="1217" t="s">
        <v>15</v>
      </c>
      <c r="H11" s="1218"/>
    </row>
    <row r="12" spans="1:8" ht="51" customHeight="1" x14ac:dyDescent="0.2">
      <c r="A12" s="512" t="s">
        <v>269</v>
      </c>
      <c r="B12" s="512">
        <v>1</v>
      </c>
      <c r="C12" s="1217" t="s">
        <v>680</v>
      </c>
      <c r="D12" s="1217"/>
      <c r="E12" s="512" t="s">
        <v>303</v>
      </c>
      <c r="F12" s="339">
        <v>1</v>
      </c>
      <c r="G12" s="1217" t="s">
        <v>682</v>
      </c>
      <c r="H12" s="1218"/>
    </row>
    <row r="13" spans="1:8" ht="89.25" customHeight="1" x14ac:dyDescent="0.2">
      <c r="A13" s="512" t="s">
        <v>638</v>
      </c>
      <c r="B13" s="512">
        <v>1</v>
      </c>
      <c r="C13" s="1222" t="s">
        <v>744</v>
      </c>
      <c r="D13" s="1222"/>
      <c r="E13" s="339" t="s">
        <v>743</v>
      </c>
      <c r="F13" s="339">
        <v>2</v>
      </c>
      <c r="G13" s="1217" t="s">
        <v>684</v>
      </c>
      <c r="H13" s="1218"/>
    </row>
    <row r="14" spans="1:8" ht="25.5" x14ac:dyDescent="0.2">
      <c r="A14" s="339"/>
      <c r="B14" s="339"/>
      <c r="C14" s="1223"/>
      <c r="D14" s="1223"/>
      <c r="E14" s="339" t="s">
        <v>597</v>
      </c>
      <c r="F14" s="339">
        <v>1</v>
      </c>
      <c r="G14" s="1217" t="s">
        <v>685</v>
      </c>
      <c r="H14" s="1218"/>
    </row>
    <row r="15" spans="1:8" ht="13.5" customHeight="1" x14ac:dyDescent="0.2">
      <c r="A15" s="31" t="s">
        <v>11</v>
      </c>
      <c r="B15" s="30"/>
      <c r="C15" s="30"/>
      <c r="D15" s="30"/>
      <c r="E15" s="30"/>
      <c r="F15" s="30"/>
      <c r="G15" s="30"/>
      <c r="H15" s="32"/>
    </row>
    <row r="16" spans="1:8" ht="36.75" customHeight="1" x14ac:dyDescent="0.2">
      <c r="A16" s="1219" t="s">
        <v>742</v>
      </c>
      <c r="B16" s="1220"/>
      <c r="C16" s="1220"/>
      <c r="D16" s="1220"/>
      <c r="E16" s="1220"/>
      <c r="F16" s="1220"/>
      <c r="G16" s="1220"/>
      <c r="H16" s="1221"/>
    </row>
    <row r="17" spans="1:8" ht="13.5" customHeight="1" x14ac:dyDescent="0.2">
      <c r="A17" s="31" t="s">
        <v>20</v>
      </c>
      <c r="B17" s="29"/>
      <c r="C17" s="29"/>
      <c r="D17" s="29"/>
      <c r="E17" s="29"/>
      <c r="F17" s="29"/>
      <c r="G17" s="29"/>
      <c r="H17" s="38"/>
    </row>
    <row r="18" spans="1:8" ht="13.5" customHeight="1" x14ac:dyDescent="0.2">
      <c r="A18" s="61" t="s">
        <v>25</v>
      </c>
      <c r="B18" s="62" t="s">
        <v>0</v>
      </c>
      <c r="C18" s="28"/>
      <c r="D18" s="61" t="s">
        <v>25</v>
      </c>
      <c r="E18" s="62" t="s">
        <v>0</v>
      </c>
      <c r="F18" s="28"/>
      <c r="G18" s="28"/>
      <c r="H18" s="33"/>
    </row>
    <row r="19" spans="1:8" x14ac:dyDescent="0.2">
      <c r="A19" s="763" t="s">
        <v>360</v>
      </c>
      <c r="B19" s="662">
        <v>60</v>
      </c>
      <c r="D19" s="768" t="s">
        <v>699</v>
      </c>
      <c r="E19" s="662">
        <v>300</v>
      </c>
      <c r="F19" s="28"/>
      <c r="G19" s="28"/>
      <c r="H19" s="33"/>
    </row>
    <row r="20" spans="1:8" ht="13.5" customHeight="1" x14ac:dyDescent="0.2">
      <c r="A20" s="664" t="s">
        <v>686</v>
      </c>
      <c r="B20" s="664">
        <v>0.77</v>
      </c>
      <c r="D20" s="768" t="s">
        <v>401</v>
      </c>
      <c r="E20" s="770">
        <v>120</v>
      </c>
      <c r="F20" s="26"/>
      <c r="G20" s="26"/>
      <c r="H20" s="35"/>
    </row>
    <row r="21" spans="1:8" ht="13.5" customHeight="1" x14ac:dyDescent="0.2">
      <c r="A21" s="664" t="s">
        <v>687</v>
      </c>
      <c r="B21" s="664">
        <v>1.44</v>
      </c>
      <c r="D21" s="769" t="s">
        <v>361</v>
      </c>
      <c r="E21" s="665">
        <f>B19+B24+B29+B31+B32+B34+E19+E20</f>
        <v>1620</v>
      </c>
      <c r="F21" s="26"/>
      <c r="G21" s="26"/>
      <c r="H21" s="35"/>
    </row>
    <row r="22" spans="1:8" ht="13.5" customHeight="1" x14ac:dyDescent="0.25">
      <c r="A22" s="664" t="s">
        <v>370</v>
      </c>
      <c r="B22" s="664">
        <v>0.2</v>
      </c>
      <c r="D22" s="769" t="s">
        <v>700</v>
      </c>
      <c r="E22" s="765">
        <f>B23+B28</f>
        <v>0.52349999999999997</v>
      </c>
      <c r="F22" s="26"/>
      <c r="G22" s="26"/>
      <c r="H22" s="35"/>
    </row>
    <row r="23" spans="1:8" ht="13.5" customHeight="1" x14ac:dyDescent="0.2">
      <c r="A23" s="664" t="s">
        <v>688</v>
      </c>
      <c r="B23" s="764">
        <f>B21*B22</f>
        <v>0.28799999999999998</v>
      </c>
      <c r="D23" s="769" t="s">
        <v>347</v>
      </c>
      <c r="E23" s="766" t="s">
        <v>377</v>
      </c>
      <c r="F23" s="26"/>
      <c r="G23" s="26"/>
      <c r="H23" s="35"/>
    </row>
    <row r="24" spans="1:8" x14ac:dyDescent="0.2">
      <c r="A24" s="767" t="s">
        <v>689</v>
      </c>
      <c r="B24" s="764">
        <v>120</v>
      </c>
      <c r="C24" s="26"/>
      <c r="D24" s="771" t="s">
        <v>701</v>
      </c>
      <c r="E24" s="772">
        <f>E21*6/5/60/60/24</f>
        <v>2.2499999999999996E-2</v>
      </c>
      <c r="F24" s="26"/>
      <c r="G24" s="26"/>
      <c r="H24" s="35"/>
    </row>
    <row r="25" spans="1:8" ht="26.25" customHeight="1" x14ac:dyDescent="0.2">
      <c r="A25" s="767" t="s">
        <v>690</v>
      </c>
      <c r="B25" s="662">
        <v>3.14</v>
      </c>
      <c r="C25" s="26"/>
      <c r="D25" s="320"/>
      <c r="E25" s="320"/>
      <c r="F25" s="26"/>
      <c r="G25" s="26"/>
      <c r="H25" s="33"/>
    </row>
    <row r="26" spans="1:8" x14ac:dyDescent="0.2">
      <c r="A26" s="767" t="s">
        <v>691</v>
      </c>
      <c r="B26" s="662">
        <v>0.15</v>
      </c>
      <c r="C26" s="26"/>
      <c r="D26" s="11"/>
      <c r="E26" s="11"/>
      <c r="F26" s="26"/>
      <c r="G26" s="26"/>
      <c r="H26" s="35"/>
    </row>
    <row r="27" spans="1:8" ht="18" customHeight="1" x14ac:dyDescent="0.2">
      <c r="A27" s="767" t="s">
        <v>692</v>
      </c>
      <c r="B27" s="662">
        <v>0.5</v>
      </c>
      <c r="C27" s="26"/>
      <c r="D27" s="11"/>
      <c r="E27" s="11"/>
      <c r="F27" s="26"/>
      <c r="G27" s="26"/>
      <c r="H27" s="35"/>
    </row>
    <row r="28" spans="1:8" ht="18" customHeight="1" x14ac:dyDescent="0.2">
      <c r="A28" s="767" t="s">
        <v>693</v>
      </c>
      <c r="B28" s="665">
        <f>B25*B26*B27</f>
        <v>0.23549999999999999</v>
      </c>
      <c r="C28" s="26"/>
      <c r="D28" s="11"/>
      <c r="E28" s="11"/>
      <c r="F28" s="26"/>
      <c r="G28" s="26"/>
      <c r="H28" s="35"/>
    </row>
    <row r="29" spans="1:8" ht="18" customHeight="1" x14ac:dyDescent="0.2">
      <c r="A29" s="767" t="s">
        <v>694</v>
      </c>
      <c r="B29" s="665">
        <v>600</v>
      </c>
      <c r="C29" s="26"/>
      <c r="D29" s="11"/>
      <c r="E29" s="11"/>
      <c r="F29" s="26"/>
      <c r="G29" s="26"/>
      <c r="H29" s="33"/>
    </row>
    <row r="30" spans="1:8" ht="18" customHeight="1" x14ac:dyDescent="0.2">
      <c r="A30" s="767" t="s">
        <v>695</v>
      </c>
      <c r="B30" s="662">
        <v>0.15</v>
      </c>
      <c r="C30" s="26"/>
      <c r="D30" s="11"/>
      <c r="E30" s="11"/>
      <c r="F30" s="26"/>
      <c r="G30" s="26"/>
      <c r="H30" s="35"/>
    </row>
    <row r="31" spans="1:8" ht="19.5" customHeight="1" x14ac:dyDescent="0.2">
      <c r="A31" s="767" t="s">
        <v>696</v>
      </c>
      <c r="B31" s="662">
        <v>60</v>
      </c>
      <c r="C31" s="26"/>
      <c r="D31" s="11"/>
      <c r="E31" s="11"/>
      <c r="F31" s="26"/>
      <c r="G31" s="26"/>
      <c r="H31" s="35"/>
    </row>
    <row r="32" spans="1:8" ht="19.5" customHeight="1" x14ac:dyDescent="0.2">
      <c r="A32" s="767" t="s">
        <v>376</v>
      </c>
      <c r="B32" s="662">
        <v>300</v>
      </c>
      <c r="C32" s="26"/>
      <c r="D32" s="11"/>
      <c r="E32" s="11"/>
      <c r="F32" s="26"/>
      <c r="G32" s="26"/>
      <c r="H32" s="35"/>
    </row>
    <row r="33" spans="1:8" ht="19.5" customHeight="1" x14ac:dyDescent="0.2">
      <c r="A33" s="767" t="s">
        <v>697</v>
      </c>
      <c r="B33" s="662">
        <v>1</v>
      </c>
      <c r="C33" s="26"/>
      <c r="D33" s="11"/>
      <c r="E33" s="11"/>
      <c r="F33" s="26"/>
      <c r="G33" s="26"/>
      <c r="H33" s="33"/>
    </row>
    <row r="34" spans="1:8" ht="19.5" customHeight="1" x14ac:dyDescent="0.2">
      <c r="A34" s="768" t="s">
        <v>698</v>
      </c>
      <c r="B34" s="662">
        <v>60</v>
      </c>
      <c r="C34" s="26"/>
      <c r="D34" s="11"/>
      <c r="E34" s="11"/>
      <c r="F34" s="26"/>
      <c r="G34" s="26"/>
      <c r="H34" s="35"/>
    </row>
    <row r="35" spans="1:8" ht="19.5" customHeight="1" x14ac:dyDescent="0.2">
      <c r="A35" s="767"/>
      <c r="B35" s="662"/>
      <c r="C35" s="26"/>
      <c r="D35" s="11"/>
      <c r="E35" s="11"/>
      <c r="F35" s="26"/>
      <c r="G35" s="26"/>
      <c r="H35" s="33"/>
    </row>
    <row r="36" spans="1:8" ht="19.5" customHeight="1" x14ac:dyDescent="0.2">
      <c r="A36" s="767"/>
      <c r="B36" s="662"/>
      <c r="C36" s="26"/>
      <c r="D36" s="11"/>
      <c r="E36" s="11"/>
      <c r="F36" s="26"/>
      <c r="G36" s="26"/>
      <c r="H36" s="35"/>
    </row>
    <row r="37" spans="1:8" ht="19.5" customHeight="1" x14ac:dyDescent="0.2">
      <c r="A37" s="767"/>
      <c r="B37" s="662"/>
      <c r="C37" s="26"/>
      <c r="D37" s="11"/>
      <c r="E37" s="11"/>
      <c r="F37" s="26"/>
      <c r="G37" s="26"/>
      <c r="H37" s="35"/>
    </row>
    <row r="38" spans="1:8" ht="19.5" customHeight="1" x14ac:dyDescent="0.2">
      <c r="A38" s="767"/>
      <c r="B38" s="662"/>
      <c r="C38" s="26"/>
      <c r="D38" s="11"/>
      <c r="E38" s="11"/>
      <c r="F38" s="26"/>
      <c r="G38" s="26"/>
      <c r="H38" s="35"/>
    </row>
    <row r="39" spans="1:8" ht="19.5" customHeight="1" x14ac:dyDescent="0.2">
      <c r="A39" s="767"/>
      <c r="B39" s="662"/>
      <c r="C39" s="26"/>
      <c r="D39" s="11"/>
      <c r="E39" s="11"/>
      <c r="F39" s="26"/>
      <c r="G39" s="26"/>
      <c r="H39" s="35"/>
    </row>
    <row r="40" spans="1:8" ht="19.5" customHeight="1" x14ac:dyDescent="0.2">
      <c r="A40" s="780"/>
      <c r="B40" s="651"/>
      <c r="C40" s="26"/>
      <c r="D40" s="11"/>
      <c r="E40" s="11"/>
      <c r="F40" s="26"/>
      <c r="G40" s="26"/>
      <c r="H40" s="35"/>
    </row>
    <row r="41" spans="1:8" ht="19.5" customHeight="1" x14ac:dyDescent="0.2">
      <c r="A41" s="773" t="s">
        <v>9</v>
      </c>
      <c r="B41" s="774"/>
      <c r="C41" s="774"/>
      <c r="D41" s="774"/>
      <c r="E41" s="774"/>
      <c r="F41" s="774"/>
      <c r="G41" s="15" t="s">
        <v>16</v>
      </c>
      <c r="H41" s="775"/>
    </row>
    <row r="42" spans="1:8" ht="19.5" customHeight="1" x14ac:dyDescent="0.2">
      <c r="A42" s="16" t="s">
        <v>4</v>
      </c>
      <c r="B42" s="17" t="s">
        <v>5</v>
      </c>
      <c r="C42" s="17" t="s">
        <v>1</v>
      </c>
      <c r="D42" s="17" t="s">
        <v>6</v>
      </c>
      <c r="E42" s="18" t="s">
        <v>7</v>
      </c>
      <c r="F42" s="656" t="s">
        <v>17</v>
      </c>
      <c r="G42" s="656" t="s">
        <v>18</v>
      </c>
      <c r="H42" s="657" t="s">
        <v>19</v>
      </c>
    </row>
    <row r="43" spans="1:8" ht="19.5" customHeight="1" x14ac:dyDescent="0.2">
      <c r="A43" s="776" t="s">
        <v>702</v>
      </c>
      <c r="B43" s="757">
        <v>1</v>
      </c>
      <c r="C43" s="652" t="s">
        <v>366</v>
      </c>
      <c r="D43" s="777">
        <v>76.959999999999994</v>
      </c>
      <c r="E43" s="2">
        <f>B43*D43</f>
        <v>76.959999999999994</v>
      </c>
      <c r="F43" s="664" t="s">
        <v>703</v>
      </c>
      <c r="G43" s="664" t="s">
        <v>704</v>
      </c>
      <c r="H43" s="778">
        <v>1</v>
      </c>
    </row>
    <row r="44" spans="1:8" ht="19.5" customHeight="1" x14ac:dyDescent="0.2">
      <c r="A44" s="776" t="s">
        <v>705</v>
      </c>
      <c r="B44" s="1">
        <f>E22</f>
        <v>0.52349999999999997</v>
      </c>
      <c r="C44" s="652" t="s">
        <v>22</v>
      </c>
      <c r="D44" s="777">
        <v>98</v>
      </c>
      <c r="E44" s="2">
        <f>B44*D44</f>
        <v>51.302999999999997</v>
      </c>
      <c r="F44" s="664" t="s">
        <v>672</v>
      </c>
      <c r="G44" s="659" t="s">
        <v>673</v>
      </c>
      <c r="H44" s="779">
        <v>1</v>
      </c>
    </row>
    <row r="45" spans="1:8" ht="19.5" customHeight="1" x14ac:dyDescent="0.2">
      <c r="A45" s="776"/>
      <c r="B45" s="757"/>
      <c r="C45" s="652"/>
      <c r="D45" s="777"/>
      <c r="E45" s="2"/>
      <c r="F45" s="11"/>
      <c r="G45" s="11"/>
      <c r="H45" s="22"/>
    </row>
    <row r="46" spans="1:8" ht="19.5" customHeight="1" x14ac:dyDescent="0.2">
      <c r="A46" s="2"/>
      <c r="B46" s="1"/>
      <c r="C46" s="652"/>
      <c r="D46" s="11"/>
      <c r="E46" s="2"/>
      <c r="F46" s="11"/>
      <c r="G46" s="11"/>
      <c r="H46" s="22"/>
    </row>
    <row r="47" spans="1:8" ht="19.5" customHeight="1" thickBot="1" x14ac:dyDescent="0.25">
      <c r="A47" s="25"/>
      <c r="B47" s="23"/>
      <c r="C47" s="24"/>
      <c r="D47" s="12"/>
      <c r="E47" s="12"/>
      <c r="F47" s="12"/>
      <c r="G47" s="12"/>
      <c r="H47" s="13"/>
    </row>
    <row r="48" spans="1:8"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57" ht="19.5" customHeight="1" x14ac:dyDescent="0.2"/>
    <row r="58" ht="19.5" customHeight="1" x14ac:dyDescent="0.2"/>
    <row r="59" ht="19.5" customHeight="1" x14ac:dyDescent="0.2"/>
    <row r="60" ht="19.5" customHeight="1" x14ac:dyDescent="0.2"/>
    <row r="61" ht="19.5" customHeight="1" x14ac:dyDescent="0.2"/>
    <row r="62" ht="19.5" customHeight="1" x14ac:dyDescent="0.2"/>
    <row r="63" ht="19.5" customHeight="1" x14ac:dyDescent="0.2"/>
    <row r="64"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sheetData>
  <mergeCells count="19">
    <mergeCell ref="A1:C1"/>
    <mergeCell ref="D1:H1"/>
    <mergeCell ref="A2:C2"/>
    <mergeCell ref="D2:H2"/>
    <mergeCell ref="A3:A4"/>
    <mergeCell ref="B3:D4"/>
    <mergeCell ref="A6:H9"/>
    <mergeCell ref="A5:H5"/>
    <mergeCell ref="A10:D10"/>
    <mergeCell ref="E10:H10"/>
    <mergeCell ref="C11:D11"/>
    <mergeCell ref="G11:H11"/>
    <mergeCell ref="A16:H16"/>
    <mergeCell ref="C12:D12"/>
    <mergeCell ref="C13:D13"/>
    <mergeCell ref="C14:D14"/>
    <mergeCell ref="G12:H12"/>
    <mergeCell ref="G13:H13"/>
    <mergeCell ref="G14:H14"/>
  </mergeCells>
  <printOptions horizontalCentered="1" verticalCentered="1"/>
  <pageMargins left="0" right="0" top="0" bottom="0" header="0" footer="0"/>
  <pageSetup paperSize="9" scale="80" orientation="portrait" r:id="rId1"/>
  <headerFooter alignWithMargins="0"/>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3"/>
  <sheetViews>
    <sheetView showGridLines="0" topLeftCell="A34" zoomScale="85" zoomScaleNormal="85" workbookViewId="0">
      <selection activeCell="J57" sqref="J57"/>
    </sheetView>
  </sheetViews>
  <sheetFormatPr baseColWidth="10" defaultRowHeight="12.75" x14ac:dyDescent="0.2"/>
  <cols>
    <col min="1" max="1" width="25.5703125" customWidth="1"/>
    <col min="2" max="2" width="10.28515625" customWidth="1"/>
    <col min="3" max="3" width="27.140625" bestFit="1" customWidth="1"/>
    <col min="4" max="4" width="17.140625" customWidth="1"/>
    <col min="5" max="5" width="31.140625" customWidth="1"/>
    <col min="6" max="6" width="14.28515625" customWidth="1"/>
    <col min="7" max="7" width="27.28515625" customWidth="1"/>
    <col min="8" max="8" width="13.7109375" customWidth="1"/>
  </cols>
  <sheetData>
    <row r="1" spans="1:8" ht="15.75" x14ac:dyDescent="0.25">
      <c r="A1" s="1157" t="s">
        <v>12</v>
      </c>
      <c r="B1" s="1158"/>
      <c r="C1" s="1159"/>
      <c r="D1" s="1157" t="s">
        <v>13</v>
      </c>
      <c r="E1" s="1158"/>
      <c r="F1" s="1158"/>
      <c r="G1" s="1158"/>
      <c r="H1" s="1160"/>
    </row>
    <row r="2" spans="1:8" ht="53.25" customHeight="1" thickBot="1" x14ac:dyDescent="0.25">
      <c r="A2" s="1161" t="s">
        <v>548</v>
      </c>
      <c r="B2" s="1162"/>
      <c r="C2" s="1163"/>
      <c r="D2" s="1224" t="s">
        <v>430</v>
      </c>
      <c r="E2" s="1225"/>
      <c r="F2" s="1225"/>
      <c r="G2" s="1225"/>
      <c r="H2" s="1226"/>
    </row>
    <row r="3" spans="1:8" x14ac:dyDescent="0.2">
      <c r="A3" s="1167" t="s">
        <v>21</v>
      </c>
      <c r="B3" s="1169"/>
      <c r="C3" s="1170"/>
      <c r="D3" s="1171"/>
      <c r="E3" s="6" t="s">
        <v>0</v>
      </c>
      <c r="F3" s="6" t="s">
        <v>1</v>
      </c>
      <c r="G3" s="6" t="s">
        <v>2</v>
      </c>
      <c r="H3" s="7" t="s">
        <v>3</v>
      </c>
    </row>
    <row r="4" spans="1:8" ht="16.5" thickBot="1" x14ac:dyDescent="0.25">
      <c r="A4" s="1168"/>
      <c r="B4" s="1172"/>
      <c r="C4" s="1173"/>
      <c r="D4" s="1174"/>
      <c r="E4" s="8">
        <v>40</v>
      </c>
      <c r="F4" s="70" t="s">
        <v>73</v>
      </c>
      <c r="G4" s="8"/>
      <c r="H4" s="10"/>
    </row>
    <row r="5" spans="1:8" x14ac:dyDescent="0.2">
      <c r="A5" s="1175" t="s">
        <v>14</v>
      </c>
      <c r="B5" s="1176"/>
      <c r="C5" s="1176"/>
      <c r="D5" s="1176"/>
      <c r="E5" s="1176"/>
      <c r="F5" s="1176"/>
      <c r="G5" s="1176"/>
      <c r="H5" s="1177"/>
    </row>
    <row r="6" spans="1:8" ht="14.25" customHeight="1" x14ac:dyDescent="0.2">
      <c r="A6" s="1206" t="s">
        <v>431</v>
      </c>
      <c r="B6" s="1207"/>
      <c r="C6" s="1207"/>
      <c r="D6" s="1207"/>
      <c r="E6" s="1207"/>
      <c r="F6" s="1207"/>
      <c r="G6" s="1207"/>
      <c r="H6" s="1208"/>
    </row>
    <row r="7" spans="1:8" ht="14.25" customHeight="1" x14ac:dyDescent="0.2">
      <c r="A7" s="1209"/>
      <c r="B7" s="1210"/>
      <c r="C7" s="1210"/>
      <c r="D7" s="1210"/>
      <c r="E7" s="1210"/>
      <c r="F7" s="1210"/>
      <c r="G7" s="1210"/>
      <c r="H7" s="1211"/>
    </row>
    <row r="8" spans="1:8" ht="14.25" customHeight="1" x14ac:dyDescent="0.2">
      <c r="A8" s="1209"/>
      <c r="B8" s="1210"/>
      <c r="C8" s="1210"/>
      <c r="D8" s="1210"/>
      <c r="E8" s="1210"/>
      <c r="F8" s="1210"/>
      <c r="G8" s="1210"/>
      <c r="H8" s="1211"/>
    </row>
    <row r="9" spans="1:8" ht="89.25" customHeight="1" x14ac:dyDescent="0.2">
      <c r="A9" s="1212"/>
      <c r="B9" s="1213"/>
      <c r="C9" s="1213"/>
      <c r="D9" s="1213"/>
      <c r="E9" s="1213"/>
      <c r="F9" s="1213"/>
      <c r="G9" s="1213"/>
      <c r="H9" s="1214"/>
    </row>
    <row r="10" spans="1:8" ht="14.25" x14ac:dyDescent="0.2">
      <c r="A10" s="1178" t="s">
        <v>8</v>
      </c>
      <c r="B10" s="1179"/>
      <c r="C10" s="1179"/>
      <c r="D10" s="1179"/>
      <c r="E10" s="1179" t="s">
        <v>10</v>
      </c>
      <c r="F10" s="1179"/>
      <c r="G10" s="1179"/>
      <c r="H10" s="1180"/>
    </row>
    <row r="11" spans="1:8" ht="15.75" x14ac:dyDescent="0.25">
      <c r="A11" s="4" t="s">
        <v>4</v>
      </c>
      <c r="B11" s="5" t="s">
        <v>5</v>
      </c>
      <c r="C11" s="1181" t="s">
        <v>15</v>
      </c>
      <c r="D11" s="1181"/>
      <c r="E11" s="39" t="s">
        <v>4</v>
      </c>
      <c r="F11" s="5" t="s">
        <v>0</v>
      </c>
      <c r="G11" s="1181" t="s">
        <v>15</v>
      </c>
      <c r="H11" s="1182"/>
    </row>
    <row r="12" spans="1:8" x14ac:dyDescent="0.2">
      <c r="A12" s="793" t="s">
        <v>710</v>
      </c>
      <c r="B12" s="1">
        <v>1</v>
      </c>
      <c r="C12" s="1232" t="s">
        <v>681</v>
      </c>
      <c r="D12" s="1233"/>
      <c r="E12" s="762" t="s">
        <v>303</v>
      </c>
      <c r="F12" s="1">
        <v>2</v>
      </c>
      <c r="G12" s="1215"/>
      <c r="H12" s="1227"/>
    </row>
    <row r="13" spans="1:8" x14ac:dyDescent="0.2">
      <c r="A13" s="793" t="s">
        <v>711</v>
      </c>
      <c r="B13" s="1">
        <v>1</v>
      </c>
      <c r="C13" s="1232" t="s">
        <v>683</v>
      </c>
      <c r="D13" s="1233"/>
      <c r="E13" s="1" t="s">
        <v>707</v>
      </c>
      <c r="F13" s="1">
        <v>1</v>
      </c>
      <c r="G13" s="1228" t="s">
        <v>708</v>
      </c>
      <c r="H13" s="1229"/>
    </row>
    <row r="14" spans="1:8" ht="18.75" customHeight="1" x14ac:dyDescent="0.2">
      <c r="A14" s="794" t="s">
        <v>712</v>
      </c>
      <c r="B14" s="1">
        <v>1</v>
      </c>
      <c r="C14" s="1232" t="s">
        <v>709</v>
      </c>
      <c r="D14" s="1233"/>
      <c r="E14" s="1" t="s">
        <v>595</v>
      </c>
      <c r="F14" s="1">
        <v>1</v>
      </c>
      <c r="G14" s="1228" t="s">
        <v>596</v>
      </c>
      <c r="H14" s="1229"/>
    </row>
    <row r="15" spans="1:8" ht="18.75" customHeight="1" x14ac:dyDescent="0.2">
      <c r="A15" s="20"/>
      <c r="B15" s="1"/>
      <c r="C15" s="26"/>
      <c r="D15" s="26"/>
      <c r="E15" s="1"/>
      <c r="F15" s="1"/>
      <c r="G15" s="26"/>
      <c r="H15" s="35"/>
    </row>
    <row r="16" spans="1:8" ht="14.25" x14ac:dyDescent="0.2">
      <c r="A16" s="31" t="s">
        <v>11</v>
      </c>
      <c r="B16" s="30"/>
      <c r="C16" s="30"/>
      <c r="D16" s="30"/>
      <c r="E16" s="30"/>
      <c r="F16" s="30"/>
      <c r="G16" s="30"/>
      <c r="H16" s="32"/>
    </row>
    <row r="17" spans="1:8" ht="13.5" customHeight="1" x14ac:dyDescent="0.2">
      <c r="A17" s="796" t="s">
        <v>713</v>
      </c>
      <c r="B17" s="797"/>
      <c r="C17" s="798"/>
      <c r="D17" s="798"/>
      <c r="E17" s="28"/>
      <c r="F17" s="28"/>
      <c r="G17" s="28"/>
      <c r="H17" s="33"/>
    </row>
    <row r="18" spans="1:8" ht="13.5" customHeight="1" x14ac:dyDescent="0.2">
      <c r="A18" s="47" t="s">
        <v>714</v>
      </c>
      <c r="B18" s="799" t="s">
        <v>715</v>
      </c>
      <c r="C18" s="800"/>
      <c r="D18" s="801" t="s">
        <v>716</v>
      </c>
      <c r="E18" s="26"/>
      <c r="F18" s="26"/>
      <c r="G18" s="26"/>
      <c r="H18" s="35"/>
    </row>
    <row r="19" spans="1:8" ht="13.5" customHeight="1" x14ac:dyDescent="0.2">
      <c r="A19" s="47" t="s">
        <v>717</v>
      </c>
      <c r="B19" s="521"/>
      <c r="C19" s="49"/>
      <c r="D19" s="49"/>
      <c r="E19" s="26"/>
      <c r="F19" s="26"/>
      <c r="G19" s="26"/>
      <c r="H19" s="35"/>
    </row>
    <row r="20" spans="1:8" ht="13.5" customHeight="1" x14ac:dyDescent="0.2">
      <c r="A20" s="47"/>
      <c r="B20" s="26"/>
      <c r="C20" s="26"/>
      <c r="D20" s="26"/>
      <c r="E20" s="26"/>
      <c r="F20" s="26"/>
      <c r="G20" s="26"/>
      <c r="H20" s="35"/>
    </row>
    <row r="21" spans="1:8" ht="13.5" customHeight="1" x14ac:dyDescent="0.2">
      <c r="A21" s="47"/>
      <c r="B21" s="26"/>
      <c r="C21" s="26"/>
      <c r="D21" s="26"/>
      <c r="E21" s="26"/>
      <c r="F21" s="26"/>
      <c r="G21" s="26"/>
      <c r="H21" s="35"/>
    </row>
    <row r="22" spans="1:8" ht="13.5" customHeight="1" x14ac:dyDescent="0.2">
      <c r="A22" s="34"/>
      <c r="B22" s="26"/>
      <c r="C22" s="26"/>
      <c r="D22" s="26"/>
      <c r="E22" s="26"/>
      <c r="F22" s="26"/>
      <c r="G22" s="26"/>
      <c r="H22" s="35"/>
    </row>
    <row r="23" spans="1:8" ht="13.5" customHeight="1" x14ac:dyDescent="0.2">
      <c r="A23" s="34"/>
      <c r="B23" s="26"/>
      <c r="C23" s="26"/>
      <c r="D23" s="26"/>
      <c r="E23" s="26"/>
      <c r="F23" s="26"/>
      <c r="G23" s="26"/>
      <c r="H23" s="35"/>
    </row>
    <row r="24" spans="1:8" ht="13.5" customHeight="1" x14ac:dyDescent="0.2">
      <c r="A24" s="36"/>
      <c r="B24" s="27"/>
      <c r="C24" s="27"/>
      <c r="D24" s="27"/>
      <c r="E24" s="27"/>
      <c r="F24" s="27"/>
      <c r="G24" s="27"/>
      <c r="H24" s="37"/>
    </row>
    <row r="25" spans="1:8" ht="15" thickBot="1" x14ac:dyDescent="0.25">
      <c r="A25" s="277" t="s">
        <v>20</v>
      </c>
      <c r="B25" s="276"/>
      <c r="C25" s="276"/>
      <c r="D25" s="276"/>
      <c r="E25" s="276"/>
      <c r="F25" s="276"/>
      <c r="G25" s="29"/>
      <c r="H25" s="38"/>
    </row>
    <row r="26" spans="1:8" ht="13.5" thickBot="1" x14ac:dyDescent="0.25">
      <c r="A26" s="482" t="s">
        <v>268</v>
      </c>
      <c r="B26" s="484"/>
      <c r="C26" s="466" t="s">
        <v>267</v>
      </c>
      <c r="D26" s="467">
        <f>B41</f>
        <v>41.6</v>
      </c>
      <c r="E26" s="461"/>
      <c r="F26" s="467"/>
      <c r="G26" s="459"/>
      <c r="H26" s="371"/>
    </row>
    <row r="27" spans="1:8" ht="13.5" thickBot="1" x14ac:dyDescent="0.25">
      <c r="A27" s="480" t="s">
        <v>261</v>
      </c>
      <c r="B27" s="481">
        <f>0.8+0.4</f>
        <v>1.2000000000000002</v>
      </c>
      <c r="C27" s="462" t="s">
        <v>266</v>
      </c>
      <c r="D27" s="468">
        <v>0.1</v>
      </c>
      <c r="E27" s="482" t="s">
        <v>181</v>
      </c>
      <c r="F27" s="483"/>
      <c r="G27" s="459"/>
      <c r="H27" s="371"/>
    </row>
    <row r="28" spans="1:8" x14ac:dyDescent="0.2">
      <c r="A28" s="462" t="s">
        <v>259</v>
      </c>
      <c r="B28" s="463">
        <f>1+0.4</f>
        <v>1.4</v>
      </c>
      <c r="C28" s="462" t="s">
        <v>265</v>
      </c>
      <c r="D28" s="463">
        <f>D27*B36*B40</f>
        <v>3.2000000000000006</v>
      </c>
      <c r="E28" s="480" t="s">
        <v>179</v>
      </c>
      <c r="F28" s="481">
        <v>8</v>
      </c>
      <c r="G28" s="459"/>
      <c r="H28" s="371"/>
    </row>
    <row r="29" spans="1:8" ht="13.5" thickBot="1" x14ac:dyDescent="0.25">
      <c r="A29" s="485" t="s">
        <v>257</v>
      </c>
      <c r="B29" s="486">
        <f>AVERAGE(B27:B28)</f>
        <v>1.3</v>
      </c>
      <c r="C29" s="462" t="s">
        <v>264</v>
      </c>
      <c r="D29" s="468">
        <v>0.1</v>
      </c>
      <c r="E29" s="462" t="s">
        <v>241</v>
      </c>
      <c r="F29" s="463">
        <f>F28*60*60</f>
        <v>28800</v>
      </c>
      <c r="G29" s="459"/>
      <c r="H29" s="371"/>
    </row>
    <row r="30" spans="1:8" ht="26.25" thickBot="1" x14ac:dyDescent="0.25">
      <c r="A30" s="482" t="s">
        <v>263</v>
      </c>
      <c r="B30" s="483"/>
      <c r="C30" s="462" t="s">
        <v>262</v>
      </c>
      <c r="D30" s="463">
        <f>(D29*B36*B40)-(3.14*B34/2/1000*B34/2/1000*B40)</f>
        <v>1.9440000000000008</v>
      </c>
      <c r="E30" s="462" t="s">
        <v>178</v>
      </c>
      <c r="F30" s="1148">
        <f>B55+D42+D38+D51+F46</f>
        <v>5.5925925925925921E-2</v>
      </c>
      <c r="G30" s="459"/>
      <c r="H30" s="371"/>
    </row>
    <row r="31" spans="1:8" ht="13.5" customHeight="1" x14ac:dyDescent="0.2">
      <c r="A31" s="480" t="s">
        <v>261</v>
      </c>
      <c r="B31" s="481">
        <f>0.8+0.1</f>
        <v>0.9</v>
      </c>
      <c r="C31" s="462" t="s">
        <v>260</v>
      </c>
      <c r="D31" s="468">
        <f>B33-(D29+D27+D33)</f>
        <v>0.65000000000000013</v>
      </c>
      <c r="E31" s="462" t="s">
        <v>238</v>
      </c>
      <c r="F31" s="478">
        <f>F30/196</f>
        <v>2.8533635676492817E-4</v>
      </c>
      <c r="G31" s="459"/>
      <c r="H31" s="371"/>
    </row>
    <row r="32" spans="1:8" ht="13.5" customHeight="1" thickBot="1" x14ac:dyDescent="0.25">
      <c r="A32" s="462" t="s">
        <v>259</v>
      </c>
      <c r="B32" s="463">
        <v>0.8</v>
      </c>
      <c r="C32" s="462" t="s">
        <v>258</v>
      </c>
      <c r="D32" s="463">
        <f>D31*B36*B40</f>
        <v>20.800000000000004</v>
      </c>
      <c r="E32" s="465" t="s">
        <v>175</v>
      </c>
      <c r="F32" s="479">
        <f>F30/F28</f>
        <v>6.9907407407407401E-3</v>
      </c>
      <c r="G32" s="459"/>
      <c r="H32" s="371"/>
    </row>
    <row r="33" spans="1:13" x14ac:dyDescent="0.2">
      <c r="A33" s="462" t="s">
        <v>257</v>
      </c>
      <c r="B33" s="463">
        <f>AVERAGE(B31:B32)</f>
        <v>0.85000000000000009</v>
      </c>
      <c r="C33" s="462"/>
      <c r="D33" s="468"/>
      <c r="E33" s="466"/>
      <c r="F33" s="467"/>
      <c r="G33" s="459"/>
      <c r="H33" s="371"/>
      <c r="M33" s="41"/>
    </row>
    <row r="34" spans="1:13" ht="13.5" customHeight="1" thickBot="1" x14ac:dyDescent="0.25">
      <c r="A34" s="788" t="s">
        <v>256</v>
      </c>
      <c r="B34" s="789">
        <v>200</v>
      </c>
      <c r="C34" s="465"/>
      <c r="D34" s="469"/>
      <c r="E34" s="485"/>
      <c r="F34" s="486"/>
      <c r="G34" s="459"/>
      <c r="H34" s="371"/>
      <c r="M34" s="50"/>
    </row>
    <row r="35" spans="1:13" ht="13.5" customHeight="1" thickBot="1" x14ac:dyDescent="0.25">
      <c r="A35" s="790" t="s">
        <v>706</v>
      </c>
      <c r="B35" s="791">
        <f>IF(B34&lt;=599,30,60)</f>
        <v>30</v>
      </c>
      <c r="C35" s="461" t="s">
        <v>255</v>
      </c>
      <c r="D35" s="467"/>
      <c r="E35" s="482"/>
      <c r="F35" s="483"/>
      <c r="G35" s="459"/>
      <c r="H35" s="371"/>
    </row>
    <row r="36" spans="1:13" ht="13.5" customHeight="1" x14ac:dyDescent="0.2">
      <c r="A36" s="792" t="s">
        <v>231</v>
      </c>
      <c r="B36" s="789">
        <f>B34/1000+B35*2/100+B38*2/100</f>
        <v>0.8</v>
      </c>
      <c r="C36" s="462" t="s">
        <v>254</v>
      </c>
      <c r="D36" s="463">
        <v>0.8</v>
      </c>
      <c r="E36" s="490"/>
      <c r="F36" s="481"/>
      <c r="G36" s="459"/>
      <c r="H36" s="371"/>
    </row>
    <row r="37" spans="1:13" x14ac:dyDescent="0.2">
      <c r="A37" s="790" t="s">
        <v>253</v>
      </c>
      <c r="B37" s="791" t="b">
        <v>0</v>
      </c>
      <c r="C37" s="462" t="s">
        <v>239</v>
      </c>
      <c r="D37" s="463">
        <f>ROUNDUP(D28/D36,0)</f>
        <v>4</v>
      </c>
      <c r="E37" s="462"/>
      <c r="F37" s="463"/>
      <c r="G37" s="459"/>
      <c r="H37" s="371"/>
    </row>
    <row r="38" spans="1:13" ht="13.5" customHeight="1" thickBot="1" x14ac:dyDescent="0.25">
      <c r="A38" s="788" t="s">
        <v>252</v>
      </c>
      <c r="B38" s="789"/>
      <c r="C38" s="465" t="s">
        <v>251</v>
      </c>
      <c r="D38" s="488">
        <f>B40*D37/3600/24</f>
        <v>1.8518518518518519E-3</v>
      </c>
      <c r="E38" s="462"/>
      <c r="F38" s="463"/>
      <c r="G38" s="459"/>
      <c r="H38" s="371"/>
      <c r="J38" s="3"/>
    </row>
    <row r="39" spans="1:13" ht="25.5" x14ac:dyDescent="0.2">
      <c r="A39" s="788" t="s">
        <v>718</v>
      </c>
      <c r="B39" s="789">
        <f>ROUNDUP(B40/3,0)</f>
        <v>14</v>
      </c>
      <c r="C39" s="461" t="s">
        <v>249</v>
      </c>
      <c r="D39" s="467" t="s">
        <v>112</v>
      </c>
      <c r="E39" s="462"/>
      <c r="F39" s="470"/>
      <c r="G39" s="459"/>
      <c r="H39" s="371"/>
      <c r="J39" s="3"/>
    </row>
    <row r="40" spans="1:13" ht="25.5" x14ac:dyDescent="0.2">
      <c r="A40" s="464" t="s">
        <v>250</v>
      </c>
      <c r="B40" s="463">
        <v>40</v>
      </c>
      <c r="C40" s="462" t="s">
        <v>248</v>
      </c>
      <c r="D40" s="463">
        <v>10</v>
      </c>
      <c r="E40" s="462"/>
      <c r="F40" s="470"/>
      <c r="G40" s="459"/>
      <c r="H40" s="371"/>
      <c r="J40" s="3"/>
    </row>
    <row r="41" spans="1:13" ht="13.5" customHeight="1" thickBot="1" x14ac:dyDescent="0.25">
      <c r="A41" s="485" t="s">
        <v>60</v>
      </c>
      <c r="B41" s="487">
        <f>B29*B36*B40</f>
        <v>41.6</v>
      </c>
      <c r="C41" s="462" t="s">
        <v>246</v>
      </c>
      <c r="D41" s="470">
        <f>B40*B36*D40/3600/24</f>
        <v>3.7037037037037038E-3</v>
      </c>
      <c r="E41" s="462"/>
      <c r="F41" s="463"/>
      <c r="G41" s="459"/>
      <c r="H41" s="371"/>
    </row>
    <row r="42" spans="1:13" ht="13.5" customHeight="1" thickBot="1" x14ac:dyDescent="0.25">
      <c r="A42" s="482" t="s">
        <v>247</v>
      </c>
      <c r="B42" s="483"/>
      <c r="C42" s="465" t="s">
        <v>245</v>
      </c>
      <c r="D42" s="488">
        <f>D41*B52</f>
        <v>4.9382716049382715E-3</v>
      </c>
      <c r="E42" s="462"/>
      <c r="F42" s="463"/>
      <c r="G42" s="371"/>
      <c r="H42" s="371"/>
    </row>
    <row r="43" spans="1:13" ht="13.5" customHeight="1" thickBot="1" x14ac:dyDescent="0.25">
      <c r="A43" s="480" t="s">
        <v>26</v>
      </c>
      <c r="B43" s="481">
        <v>800</v>
      </c>
      <c r="C43" s="781" t="s">
        <v>244</v>
      </c>
      <c r="D43" s="782"/>
      <c r="E43" s="462"/>
      <c r="F43" s="470"/>
      <c r="G43" s="459"/>
      <c r="H43" s="371"/>
    </row>
    <row r="44" spans="1:13" ht="46.5" customHeight="1" x14ac:dyDescent="0.2">
      <c r="A44" s="462" t="s">
        <v>27</v>
      </c>
      <c r="B44" s="463">
        <f>B43/1000</f>
        <v>0.8</v>
      </c>
      <c r="C44" s="783" t="s">
        <v>243</v>
      </c>
      <c r="D44" s="784">
        <f>3/60/24</f>
        <v>2.0833333333333333E-3</v>
      </c>
      <c r="E44" s="462"/>
      <c r="F44" s="468"/>
      <c r="G44" s="459"/>
      <c r="H44" s="371"/>
    </row>
    <row r="45" spans="1:13" ht="13.5" customHeight="1" thickBot="1" x14ac:dyDescent="0.25">
      <c r="A45" s="462" t="s">
        <v>69</v>
      </c>
      <c r="B45" s="463">
        <f>ROUNDUP(B41/B44,0)</f>
        <v>52</v>
      </c>
      <c r="C45" s="785" t="s">
        <v>242</v>
      </c>
      <c r="D45" s="786">
        <f>D44*8/6</f>
        <v>2.7777777777777779E-3</v>
      </c>
      <c r="E45" s="462"/>
      <c r="F45" s="470"/>
      <c r="G45" s="459"/>
      <c r="H45" s="371"/>
    </row>
    <row r="46" spans="1:13" ht="13.5" customHeight="1" thickBot="1" x14ac:dyDescent="0.25">
      <c r="A46" s="462" t="s">
        <v>29</v>
      </c>
      <c r="B46" s="463">
        <v>10</v>
      </c>
      <c r="C46" s="307" t="s">
        <v>345</v>
      </c>
      <c r="D46" s="787">
        <f>D45*B39</f>
        <v>3.888888888888889E-2</v>
      </c>
      <c r="E46" s="465"/>
      <c r="F46" s="491"/>
      <c r="G46" s="372"/>
      <c r="H46" s="371"/>
      <c r="I46" s="40"/>
      <c r="J46" s="3"/>
    </row>
    <row r="47" spans="1:13" ht="13.5" customHeight="1" x14ac:dyDescent="0.2">
      <c r="A47" s="462" t="s">
        <v>30</v>
      </c>
      <c r="B47" s="463">
        <v>4</v>
      </c>
      <c r="C47" s="461" t="s">
        <v>240</v>
      </c>
      <c r="D47" s="475"/>
      <c r="E47" s="461"/>
      <c r="F47" s="473"/>
      <c r="G47" s="459"/>
      <c r="H47" s="371"/>
    </row>
    <row r="48" spans="1:13" ht="13.5" thickBot="1" x14ac:dyDescent="0.25">
      <c r="A48" s="462" t="s">
        <v>31</v>
      </c>
      <c r="B48" s="463">
        <v>4</v>
      </c>
      <c r="C48" s="462" t="s">
        <v>239</v>
      </c>
      <c r="D48" s="660">
        <f>ROUNDUP(D30/D36,0)</f>
        <v>3</v>
      </c>
      <c r="E48" s="465"/>
      <c r="F48" s="488"/>
      <c r="G48" s="459"/>
      <c r="H48" s="371"/>
    </row>
    <row r="49" spans="1:8" ht="25.5" x14ac:dyDescent="0.2">
      <c r="A49" s="462" t="s">
        <v>32</v>
      </c>
      <c r="B49" s="463">
        <v>4</v>
      </c>
      <c r="C49" s="462" t="s">
        <v>237</v>
      </c>
      <c r="D49" s="474">
        <f>60/3*B40*D48/3600/24</f>
        <v>2.7777777777777776E-2</v>
      </c>
      <c r="E49" s="476"/>
      <c r="F49" s="477"/>
      <c r="G49" s="371"/>
      <c r="H49" s="371"/>
    </row>
    <row r="50" spans="1:8" ht="13.5" customHeight="1" x14ac:dyDescent="0.2">
      <c r="A50" s="462" t="s">
        <v>35</v>
      </c>
      <c r="B50" s="463">
        <f>SUM(B46:B49)</f>
        <v>22</v>
      </c>
      <c r="C50" s="462" t="s">
        <v>236</v>
      </c>
      <c r="D50" s="470">
        <f>D41</f>
        <v>3.7037037037037038E-3</v>
      </c>
      <c r="G50" s="371"/>
      <c r="H50" s="371"/>
    </row>
    <row r="51" spans="1:8" ht="15.75" thickBot="1" x14ac:dyDescent="0.25">
      <c r="A51" s="462" t="s">
        <v>64</v>
      </c>
      <c r="B51" s="463">
        <f>60/80</f>
        <v>0.75</v>
      </c>
      <c r="C51" s="465" t="s">
        <v>102</v>
      </c>
      <c r="D51" s="492">
        <f>D49+D50</f>
        <v>3.1481481481481478E-2</v>
      </c>
      <c r="G51" s="371"/>
      <c r="H51" s="371"/>
    </row>
    <row r="52" spans="1:8" x14ac:dyDescent="0.2">
      <c r="A52" s="464" t="s">
        <v>65</v>
      </c>
      <c r="B52" s="660">
        <f>80/60</f>
        <v>1.3333333333333333</v>
      </c>
      <c r="G52" s="371"/>
      <c r="H52" s="371"/>
    </row>
    <row r="53" spans="1:8" x14ac:dyDescent="0.2">
      <c r="A53" s="462" t="s">
        <v>34</v>
      </c>
      <c r="B53" s="660">
        <f>B50*B52</f>
        <v>29.333333333333332</v>
      </c>
      <c r="G53" s="371"/>
      <c r="H53" s="371"/>
    </row>
    <row r="54" spans="1:8" x14ac:dyDescent="0.2">
      <c r="A54" s="462" t="s">
        <v>235</v>
      </c>
      <c r="B54" s="471">
        <f>B53*B45</f>
        <v>1525.3333333333333</v>
      </c>
      <c r="G54" s="371"/>
      <c r="H54" s="371"/>
    </row>
    <row r="55" spans="1:8" ht="13.5" thickBot="1" x14ac:dyDescent="0.25">
      <c r="A55" s="465" t="s">
        <v>344</v>
      </c>
      <c r="B55" s="489">
        <f>B54/3600/24</f>
        <v>1.7654320987654321E-2</v>
      </c>
      <c r="G55" s="371"/>
      <c r="H55" s="371"/>
    </row>
    <row r="56" spans="1:8" ht="18" customHeight="1" x14ac:dyDescent="0.2">
      <c r="A56" s="460"/>
      <c r="B56" s="472"/>
      <c r="E56" s="459"/>
      <c r="F56" s="371"/>
      <c r="G56" s="371"/>
      <c r="H56" s="371"/>
    </row>
    <row r="57" spans="1:8" ht="18" customHeight="1" x14ac:dyDescent="0.2">
      <c r="A57" s="860" t="s">
        <v>9</v>
      </c>
      <c r="B57" s="861"/>
      <c r="C57" s="862"/>
      <c r="D57" s="861"/>
      <c r="E57" s="1230" t="s">
        <v>16</v>
      </c>
      <c r="F57" s="1230"/>
      <c r="G57" s="1230"/>
      <c r="H57" s="1231"/>
    </row>
    <row r="58" spans="1:8" ht="26.25" customHeight="1" x14ac:dyDescent="0.2">
      <c r="A58" s="848" t="s">
        <v>4</v>
      </c>
      <c r="B58" s="849" t="s">
        <v>5</v>
      </c>
      <c r="C58" s="850" t="s">
        <v>1</v>
      </c>
      <c r="D58" s="849" t="s">
        <v>6</v>
      </c>
      <c r="E58" s="851" t="s">
        <v>7</v>
      </c>
      <c r="F58" s="852" t="s">
        <v>17</v>
      </c>
      <c r="G58" s="852" t="s">
        <v>18</v>
      </c>
      <c r="H58" s="853" t="s">
        <v>19</v>
      </c>
    </row>
    <row r="59" spans="1:8" ht="29.25" customHeight="1" x14ac:dyDescent="0.2">
      <c r="A59" s="854" t="s">
        <v>746</v>
      </c>
      <c r="B59" s="855">
        <v>40</v>
      </c>
      <c r="C59" s="855" t="s">
        <v>73</v>
      </c>
      <c r="D59" s="856">
        <v>7.41</v>
      </c>
      <c r="E59" s="857">
        <f>B59*D59</f>
        <v>296.39999999999998</v>
      </c>
      <c r="F59" s="858" t="s">
        <v>677</v>
      </c>
      <c r="G59" s="858" t="s">
        <v>747</v>
      </c>
      <c r="H59" s="859"/>
    </row>
    <row r="60" spans="1:8" ht="29.25" customHeight="1" x14ac:dyDescent="0.2">
      <c r="A60" s="854"/>
      <c r="B60" s="855"/>
      <c r="C60" s="855"/>
      <c r="D60" s="856"/>
      <c r="E60" s="857"/>
      <c r="F60" s="858"/>
      <c r="G60" s="858"/>
      <c r="H60" s="859"/>
    </row>
    <row r="61" spans="1:8" ht="19.5" customHeight="1" x14ac:dyDescent="0.2">
      <c r="A61" s="859" t="s">
        <v>1001</v>
      </c>
      <c r="B61" s="859">
        <f>D28+D30</f>
        <v>5.1440000000000019</v>
      </c>
      <c r="C61" s="859"/>
      <c r="D61" s="859"/>
      <c r="E61" s="859"/>
      <c r="F61" s="859"/>
      <c r="G61" s="859"/>
      <c r="H61" s="859"/>
    </row>
    <row r="62" spans="1:8" ht="19.5" customHeight="1" x14ac:dyDescent="0.2">
      <c r="D62" s="403"/>
    </row>
    <row r="63" spans="1:8" ht="19.5" customHeight="1" x14ac:dyDescent="0.2"/>
    <row r="64" spans="1:8" ht="19.5" customHeight="1" x14ac:dyDescent="0.2"/>
    <row r="65" ht="19.5" customHeight="1" x14ac:dyDescent="0.2"/>
    <row r="66" ht="19.5" customHeight="1" x14ac:dyDescent="0.2"/>
    <row r="67" ht="19.5" customHeight="1" x14ac:dyDescent="0.2"/>
    <row r="68" ht="19.5" customHeight="1" x14ac:dyDescent="0.2"/>
    <row r="69" ht="19.5" customHeight="1" x14ac:dyDescent="0.2"/>
    <row r="70" ht="19.5" customHeight="1" x14ac:dyDescent="0.2"/>
    <row r="71" ht="19.5" customHeight="1" x14ac:dyDescent="0.2"/>
    <row r="72" ht="19.5" customHeight="1" x14ac:dyDescent="0.2"/>
    <row r="73" ht="19.5" customHeight="1" x14ac:dyDescent="0.2"/>
    <row r="74" ht="19.5" customHeight="1" x14ac:dyDescent="0.2"/>
    <row r="75" ht="19.5" customHeight="1" x14ac:dyDescent="0.2"/>
    <row r="76" ht="19.5" customHeight="1" x14ac:dyDescent="0.2"/>
    <row r="77" ht="19.5" customHeight="1" x14ac:dyDescent="0.2"/>
    <row r="78" ht="19.5" customHeight="1" x14ac:dyDescent="0.2"/>
    <row r="79" ht="19.5" customHeight="1" x14ac:dyDescent="0.2"/>
    <row r="80" ht="19.5" customHeight="1" x14ac:dyDescent="0.2"/>
    <row r="81" ht="19.5" customHeight="1" x14ac:dyDescent="0.2"/>
    <row r="82" ht="19.5" customHeight="1" x14ac:dyDescent="0.2"/>
    <row r="83" ht="19.5" customHeight="1" x14ac:dyDescent="0.2"/>
    <row r="84" ht="19.5" customHeight="1" x14ac:dyDescent="0.2"/>
    <row r="85" ht="19.5" customHeight="1" x14ac:dyDescent="0.2"/>
    <row r="86" ht="19.5" customHeight="1" x14ac:dyDescent="0.2"/>
    <row r="87" ht="19.5" customHeight="1" x14ac:dyDescent="0.2"/>
    <row r="88" ht="19.5" customHeight="1" x14ac:dyDescent="0.2"/>
    <row r="89" ht="19.5" customHeight="1" x14ac:dyDescent="0.2"/>
    <row r="90" ht="19.5" customHeight="1" x14ac:dyDescent="0.2"/>
    <row r="91" ht="19.5" customHeight="1" x14ac:dyDescent="0.2"/>
    <row r="92" ht="19.5" customHeight="1" x14ac:dyDescent="0.2"/>
    <row r="93" ht="19.5" customHeight="1" x14ac:dyDescent="0.2"/>
    <row r="94" ht="19.5" customHeight="1" x14ac:dyDescent="0.2"/>
    <row r="95" ht="19.5" customHeight="1" x14ac:dyDescent="0.2"/>
    <row r="96" ht="19.5" customHeight="1" x14ac:dyDescent="0.2"/>
    <row r="97" ht="19.5" customHeight="1" x14ac:dyDescent="0.2"/>
    <row r="98" ht="19.5" customHeight="1" x14ac:dyDescent="0.2"/>
    <row r="99" ht="19.5" customHeight="1" x14ac:dyDescent="0.2"/>
    <row r="100" ht="19.5" customHeight="1" x14ac:dyDescent="0.2"/>
    <row r="101" ht="19.5" customHeight="1" x14ac:dyDescent="0.2"/>
    <row r="102" ht="19.5" customHeight="1" x14ac:dyDescent="0.2"/>
    <row r="103" ht="19.5" customHeight="1" x14ac:dyDescent="0.2"/>
    <row r="104" ht="19.5" customHeight="1" x14ac:dyDescent="0.2"/>
    <row r="105" ht="19.5" customHeight="1" x14ac:dyDescent="0.2"/>
    <row r="106" ht="19.5" customHeight="1" x14ac:dyDescent="0.2"/>
    <row r="107" ht="19.5" customHeight="1" x14ac:dyDescent="0.2"/>
    <row r="108" ht="19.5" customHeight="1" x14ac:dyDescent="0.2"/>
    <row r="109" ht="19.5" customHeight="1" x14ac:dyDescent="0.2"/>
    <row r="110" ht="19.5" customHeight="1" x14ac:dyDescent="0.2"/>
    <row r="111" ht="19.5" customHeight="1" x14ac:dyDescent="0.2"/>
    <row r="112" ht="19.5" customHeight="1" x14ac:dyDescent="0.2"/>
    <row r="113" ht="19.5" customHeight="1" x14ac:dyDescent="0.2"/>
    <row r="114" ht="19.5" customHeight="1" x14ac:dyDescent="0.2"/>
    <row r="115" ht="19.5" customHeight="1" x14ac:dyDescent="0.2"/>
    <row r="116" ht="19.5" customHeight="1" x14ac:dyDescent="0.2"/>
    <row r="117" ht="19.5" customHeight="1" x14ac:dyDescent="0.2"/>
    <row r="118" ht="19.5" customHeight="1" x14ac:dyDescent="0.2"/>
    <row r="119" ht="19.5" customHeight="1" x14ac:dyDescent="0.2"/>
    <row r="120" ht="19.5" customHeight="1" x14ac:dyDescent="0.2"/>
    <row r="121" ht="19.5" customHeight="1" x14ac:dyDescent="0.2"/>
    <row r="122" ht="19.5" customHeight="1" x14ac:dyDescent="0.2"/>
    <row r="123" ht="19.5" customHeight="1" x14ac:dyDescent="0.2"/>
  </sheetData>
  <mergeCells count="19">
    <mergeCell ref="G12:H12"/>
    <mergeCell ref="G14:H14"/>
    <mergeCell ref="E57:H57"/>
    <mergeCell ref="C12:D12"/>
    <mergeCell ref="C13:D13"/>
    <mergeCell ref="C14:D14"/>
    <mergeCell ref="G13:H13"/>
    <mergeCell ref="A1:C1"/>
    <mergeCell ref="D1:H1"/>
    <mergeCell ref="A2:C2"/>
    <mergeCell ref="D2:H2"/>
    <mergeCell ref="A3:A4"/>
    <mergeCell ref="B3:D4"/>
    <mergeCell ref="A6:H9"/>
    <mergeCell ref="A5:H5"/>
    <mergeCell ref="A10:D10"/>
    <mergeCell ref="E10:H10"/>
    <mergeCell ref="C11:D11"/>
    <mergeCell ref="G11:H11"/>
  </mergeCells>
  <printOptions horizontalCentered="1" verticalCentered="1"/>
  <pageMargins left="0" right="0" top="0" bottom="0" header="0" footer="0"/>
  <pageSetup paperSize="9" scale="58"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7"/>
  <sheetViews>
    <sheetView zoomScale="70" zoomScaleNormal="70" workbookViewId="0">
      <selection activeCell="E11" sqref="E11"/>
    </sheetView>
  </sheetViews>
  <sheetFormatPr baseColWidth="10" defaultRowHeight="12.75" x14ac:dyDescent="0.2"/>
  <cols>
    <col min="1" max="1" width="28.42578125" customWidth="1"/>
    <col min="2" max="2" width="12" bestFit="1" customWidth="1"/>
    <col min="3" max="3" width="30.7109375" customWidth="1"/>
    <col min="4" max="4" width="11.5703125" customWidth="1"/>
    <col min="5" max="5" width="24.28515625" customWidth="1"/>
    <col min="7" max="7" width="3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432</v>
      </c>
      <c r="E2" s="1165"/>
      <c r="F2" s="1165"/>
      <c r="G2" s="1165"/>
      <c r="H2" s="1166"/>
    </row>
    <row r="3" spans="1:8" ht="12.75" customHeight="1" x14ac:dyDescent="0.2">
      <c r="A3" s="1167" t="s">
        <v>21</v>
      </c>
      <c r="B3" s="1169"/>
      <c r="C3" s="1170"/>
      <c r="D3" s="1171"/>
      <c r="E3" s="6" t="s">
        <v>0</v>
      </c>
      <c r="F3" s="6" t="s">
        <v>1</v>
      </c>
      <c r="G3" s="6" t="s">
        <v>2</v>
      </c>
      <c r="H3" s="7" t="s">
        <v>3</v>
      </c>
    </row>
    <row r="4" spans="1:8" ht="16.5" thickBot="1" x14ac:dyDescent="0.25">
      <c r="A4" s="1168"/>
      <c r="B4" s="1172"/>
      <c r="C4" s="1173"/>
      <c r="D4" s="1174"/>
      <c r="E4" s="8">
        <v>122</v>
      </c>
      <c r="F4" s="70" t="s">
        <v>73</v>
      </c>
      <c r="G4" s="8" t="s">
        <v>726</v>
      </c>
      <c r="H4" s="10" t="s">
        <v>727</v>
      </c>
    </row>
    <row r="5" spans="1:8" x14ac:dyDescent="0.2">
      <c r="A5" s="1175" t="s">
        <v>14</v>
      </c>
      <c r="B5" s="1176"/>
      <c r="C5" s="1176"/>
      <c r="D5" s="1176"/>
      <c r="E5" s="1176"/>
      <c r="F5" s="1176"/>
      <c r="G5" s="1176"/>
      <c r="H5" s="1177"/>
    </row>
    <row r="6" spans="1:8" ht="95.25" customHeight="1" x14ac:dyDescent="0.2">
      <c r="A6" s="1206" t="s">
        <v>433</v>
      </c>
      <c r="B6" s="1207"/>
      <c r="C6" s="1207"/>
      <c r="D6" s="1207"/>
      <c r="E6" s="1207"/>
      <c r="F6" s="1207"/>
      <c r="G6" s="1207"/>
      <c r="H6" s="1208"/>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x14ac:dyDescent="0.2">
      <c r="A9" s="20" t="s">
        <v>269</v>
      </c>
      <c r="B9" s="1">
        <v>1</v>
      </c>
      <c r="C9" s="49" t="s">
        <v>730</v>
      </c>
      <c r="D9" s="26"/>
      <c r="E9" s="1" t="s">
        <v>303</v>
      </c>
      <c r="F9" s="1">
        <v>1</v>
      </c>
      <c r="G9" s="49" t="s">
        <v>728</v>
      </c>
      <c r="H9" s="35"/>
    </row>
    <row r="10" spans="1:8" x14ac:dyDescent="0.2">
      <c r="A10" s="20" t="s">
        <v>320</v>
      </c>
      <c r="B10" s="1">
        <v>1</v>
      </c>
      <c r="C10" s="49" t="s">
        <v>734</v>
      </c>
      <c r="D10" s="26"/>
      <c r="E10" s="1" t="s">
        <v>1002</v>
      </c>
      <c r="F10" s="1">
        <v>1</v>
      </c>
      <c r="G10" s="49" t="s">
        <v>729</v>
      </c>
      <c r="H10" s="35"/>
    </row>
    <row r="11" spans="1:8" x14ac:dyDescent="0.2">
      <c r="A11" s="20"/>
      <c r="B11" s="1"/>
      <c r="C11" s="49"/>
      <c r="D11" s="26"/>
      <c r="E11" s="1" t="s">
        <v>412</v>
      </c>
      <c r="F11" s="1">
        <v>1</v>
      </c>
      <c r="G11" s="49" t="s">
        <v>735</v>
      </c>
      <c r="H11" s="35"/>
    </row>
    <row r="12" spans="1:8" x14ac:dyDescent="0.2">
      <c r="A12" s="20"/>
      <c r="B12" s="1"/>
      <c r="C12" s="49"/>
      <c r="D12" s="26"/>
      <c r="E12" s="1"/>
      <c r="F12" s="1"/>
      <c r="G12" s="49"/>
      <c r="H12" s="35"/>
    </row>
    <row r="13" spans="1:8" x14ac:dyDescent="0.2">
      <c r="A13" s="20"/>
      <c r="B13" s="1"/>
      <c r="C13" s="26"/>
      <c r="D13" s="26"/>
      <c r="E13" s="1"/>
      <c r="F13" s="1"/>
      <c r="G13" s="26"/>
      <c r="H13" s="35"/>
    </row>
    <row r="14" spans="1:8" x14ac:dyDescent="0.2">
      <c r="A14" s="20"/>
      <c r="B14" s="1"/>
      <c r="C14" s="26"/>
      <c r="D14" s="26"/>
      <c r="E14" s="1"/>
      <c r="F14" s="1"/>
      <c r="G14" s="26"/>
      <c r="H14" s="35"/>
    </row>
    <row r="15" spans="1:8" x14ac:dyDescent="0.2">
      <c r="A15" s="20"/>
      <c r="B15" s="1"/>
      <c r="C15" s="26"/>
      <c r="D15" s="26"/>
      <c r="E15" s="1"/>
      <c r="F15" s="1"/>
      <c r="G15" s="26"/>
      <c r="H15" s="35"/>
    </row>
    <row r="16" spans="1:8" ht="13.5" thickBot="1" x14ac:dyDescent="0.25">
      <c r="A16" s="818"/>
      <c r="B16" s="819"/>
      <c r="C16" s="27"/>
      <c r="D16" s="27"/>
      <c r="E16" s="819"/>
      <c r="F16" s="819"/>
      <c r="G16" s="27"/>
      <c r="H16" s="37"/>
    </row>
    <row r="17" spans="1:8" ht="15" thickBot="1" x14ac:dyDescent="0.25">
      <c r="A17" s="820" t="s">
        <v>20</v>
      </c>
      <c r="B17" s="821"/>
      <c r="C17" s="821"/>
      <c r="D17" s="821"/>
      <c r="E17" s="821"/>
      <c r="F17" s="821"/>
      <c r="G17" s="821"/>
      <c r="H17" s="822"/>
    </row>
    <row r="18" spans="1:8" ht="13.5" thickBot="1" x14ac:dyDescent="0.25">
      <c r="A18" s="332" t="s">
        <v>25</v>
      </c>
      <c r="B18" s="331" t="s">
        <v>0</v>
      </c>
      <c r="C18" s="330" t="s">
        <v>307</v>
      </c>
      <c r="D18" s="330" t="s">
        <v>490</v>
      </c>
      <c r="E18" s="26"/>
      <c r="F18" s="26"/>
      <c r="G18" s="26"/>
      <c r="H18" s="35"/>
    </row>
    <row r="19" spans="1:8" ht="13.5" thickBot="1" x14ac:dyDescent="0.25">
      <c r="A19" s="272" t="s">
        <v>719</v>
      </c>
      <c r="B19" s="268"/>
      <c r="C19" s="814" t="s">
        <v>725</v>
      </c>
      <c r="D19" s="817">
        <f>B43/B20</f>
        <v>9.2181069958847719E-5</v>
      </c>
      <c r="E19" s="26"/>
      <c r="F19" s="26"/>
      <c r="G19" s="26"/>
      <c r="H19" s="35"/>
    </row>
    <row r="20" spans="1:8" x14ac:dyDescent="0.2">
      <c r="A20" s="271" t="s">
        <v>233</v>
      </c>
      <c r="B20" s="321">
        <v>122</v>
      </c>
      <c r="C20" s="826" t="s">
        <v>41</v>
      </c>
      <c r="D20" s="273"/>
      <c r="E20" s="26"/>
      <c r="F20" s="26"/>
      <c r="G20" s="26"/>
      <c r="H20" s="35"/>
    </row>
    <row r="21" spans="1:8" x14ac:dyDescent="0.2">
      <c r="A21" s="303" t="s">
        <v>231</v>
      </c>
      <c r="B21" s="302">
        <v>0.16</v>
      </c>
      <c r="C21" s="334" t="s">
        <v>42</v>
      </c>
      <c r="D21" s="307">
        <v>13.9</v>
      </c>
      <c r="E21" s="26"/>
      <c r="F21" s="26"/>
      <c r="G21" s="26"/>
      <c r="H21" s="35"/>
    </row>
    <row r="22" spans="1:8" x14ac:dyDescent="0.2">
      <c r="A22" s="266" t="s">
        <v>721</v>
      </c>
      <c r="B22" s="56">
        <v>0.3</v>
      </c>
      <c r="C22" s="307" t="s">
        <v>43</v>
      </c>
      <c r="D22" s="812">
        <f>D21/B24</f>
        <v>7.7222222222222223</v>
      </c>
      <c r="E22" s="26"/>
      <c r="F22" s="26"/>
      <c r="G22" s="26"/>
      <c r="H22" s="35"/>
    </row>
    <row r="23" spans="1:8" x14ac:dyDescent="0.2">
      <c r="A23" s="303" t="s">
        <v>722</v>
      </c>
      <c r="B23" s="302">
        <f>B22*B21*B20</f>
        <v>5.8559999999999999</v>
      </c>
      <c r="C23" s="297" t="s">
        <v>47</v>
      </c>
      <c r="D23" s="813">
        <v>10</v>
      </c>
      <c r="E23" s="26"/>
      <c r="F23" s="26"/>
      <c r="G23" s="26"/>
      <c r="H23" s="35"/>
    </row>
    <row r="24" spans="1:8" x14ac:dyDescent="0.2">
      <c r="A24" s="266" t="s">
        <v>213</v>
      </c>
      <c r="B24" s="56">
        <v>1.8</v>
      </c>
      <c r="C24" s="307" t="s">
        <v>48</v>
      </c>
      <c r="D24" s="812">
        <v>20</v>
      </c>
      <c r="E24" s="26"/>
      <c r="F24" s="26"/>
      <c r="G24" s="26"/>
      <c r="H24" s="35"/>
    </row>
    <row r="25" spans="1:8" ht="13.5" thickBot="1" x14ac:dyDescent="0.25">
      <c r="A25" s="815" t="s">
        <v>318</v>
      </c>
      <c r="B25" s="816">
        <f>B24*B23</f>
        <v>10.540800000000001</v>
      </c>
      <c r="C25" s="297" t="s">
        <v>49</v>
      </c>
      <c r="D25" s="827">
        <f>D23/D24/24</f>
        <v>2.0833333333333332E-2</v>
      </c>
      <c r="E25" s="26"/>
      <c r="F25" s="26"/>
      <c r="G25" s="26"/>
      <c r="H25" s="35"/>
    </row>
    <row r="26" spans="1:8" ht="13.5" thickBot="1" x14ac:dyDescent="0.25">
      <c r="A26" s="269" t="s">
        <v>723</v>
      </c>
      <c r="B26" s="325"/>
      <c r="C26" s="307" t="s">
        <v>731</v>
      </c>
      <c r="D26" s="825">
        <f>10/60/24</f>
        <v>6.9444444444444441E-3</v>
      </c>
      <c r="E26" s="26"/>
      <c r="F26" s="26"/>
      <c r="G26" s="26"/>
      <c r="H26" s="35"/>
    </row>
    <row r="27" spans="1:8" x14ac:dyDescent="0.2">
      <c r="A27" s="823" t="s">
        <v>26</v>
      </c>
      <c r="B27" s="320">
        <v>300</v>
      </c>
      <c r="C27" s="297" t="s">
        <v>732</v>
      </c>
      <c r="D27" s="824">
        <f>D25</f>
        <v>2.0833333333333332E-2</v>
      </c>
      <c r="E27" s="26"/>
      <c r="F27" s="26"/>
      <c r="G27" s="26"/>
      <c r="H27" s="35"/>
    </row>
    <row r="28" spans="1:8" x14ac:dyDescent="0.2">
      <c r="A28" s="266" t="s">
        <v>27</v>
      </c>
      <c r="B28" s="11">
        <f>B27/1000</f>
        <v>0.3</v>
      </c>
      <c r="C28" s="307" t="s">
        <v>733</v>
      </c>
      <c r="D28" s="825">
        <f>5/60/24</f>
        <v>3.472222222222222E-3</v>
      </c>
      <c r="E28" s="26"/>
      <c r="F28" s="26"/>
      <c r="G28" s="26"/>
      <c r="H28" s="35"/>
    </row>
    <row r="29" spans="1:8" x14ac:dyDescent="0.2">
      <c r="A29" s="266" t="s">
        <v>69</v>
      </c>
      <c r="B29" s="11">
        <f>B23/B28</f>
        <v>19.52</v>
      </c>
      <c r="C29" s="307" t="s">
        <v>54</v>
      </c>
      <c r="D29" s="825">
        <f>SUM(D26:D28)</f>
        <v>3.125E-2</v>
      </c>
      <c r="E29" s="26"/>
      <c r="F29" s="26"/>
      <c r="G29" s="26"/>
      <c r="H29" s="35"/>
    </row>
    <row r="30" spans="1:8" x14ac:dyDescent="0.2">
      <c r="A30" s="266" t="s">
        <v>29</v>
      </c>
      <c r="B30" s="11">
        <v>10</v>
      </c>
      <c r="C30" s="297" t="s">
        <v>72</v>
      </c>
      <c r="D30" s="813">
        <f>ROUNDUP(B23/D22,0)</f>
        <v>1</v>
      </c>
      <c r="E30" s="26"/>
      <c r="F30" s="26"/>
      <c r="G30" s="26"/>
      <c r="H30" s="35"/>
    </row>
    <row r="31" spans="1:8" x14ac:dyDescent="0.2">
      <c r="A31" s="266" t="s">
        <v>30</v>
      </c>
      <c r="B31" s="11">
        <v>6</v>
      </c>
      <c r="C31" s="297" t="s">
        <v>56</v>
      </c>
      <c r="D31" s="813">
        <f>D30*D22</f>
        <v>7.7222222222222223</v>
      </c>
      <c r="E31" s="26"/>
      <c r="F31" s="26"/>
      <c r="G31" s="26"/>
      <c r="H31" s="35"/>
    </row>
    <row r="32" spans="1:8" x14ac:dyDescent="0.2">
      <c r="A32" s="266" t="s">
        <v>31</v>
      </c>
      <c r="B32" s="11">
        <v>6</v>
      </c>
      <c r="C32" s="307" t="s">
        <v>55</v>
      </c>
      <c r="D32" s="812">
        <f>B23/D31</f>
        <v>0.75833093525179851</v>
      </c>
      <c r="E32" s="26"/>
      <c r="F32" s="26"/>
      <c r="G32" s="26"/>
      <c r="H32" s="35"/>
    </row>
    <row r="33" spans="1:8" x14ac:dyDescent="0.2">
      <c r="A33" s="266" t="s">
        <v>32</v>
      </c>
      <c r="B33" s="11">
        <v>6</v>
      </c>
      <c r="C33" s="457" t="s">
        <v>23</v>
      </c>
      <c r="D33" s="813">
        <f>ROUNDUP(D32,0)</f>
        <v>1</v>
      </c>
      <c r="E33" s="26"/>
      <c r="F33" s="26"/>
      <c r="G33" s="26"/>
      <c r="H33" s="35"/>
    </row>
    <row r="34" spans="1:8" x14ac:dyDescent="0.2">
      <c r="A34" s="266" t="s">
        <v>35</v>
      </c>
      <c r="B34" s="11">
        <f>SUM(B30:B33)</f>
        <v>28</v>
      </c>
      <c r="C34" s="307" t="s">
        <v>57</v>
      </c>
      <c r="D34" s="828">
        <f>D29*D33*D30*D33</f>
        <v>3.125E-2</v>
      </c>
      <c r="E34" s="26"/>
      <c r="F34" s="26"/>
      <c r="G34" s="26"/>
      <c r="H34" s="35"/>
    </row>
    <row r="35" spans="1:8" x14ac:dyDescent="0.2">
      <c r="A35" s="266" t="s">
        <v>64</v>
      </c>
      <c r="B35" s="315">
        <f>60/80</f>
        <v>0.75</v>
      </c>
      <c r="D35" s="273"/>
      <c r="E35" s="26"/>
      <c r="F35" s="26"/>
      <c r="G35" s="26"/>
      <c r="H35" s="35"/>
    </row>
    <row r="36" spans="1:8" x14ac:dyDescent="0.2">
      <c r="A36" s="270" t="s">
        <v>65</v>
      </c>
      <c r="B36" s="43">
        <f>80/60</f>
        <v>1.3333333333333333</v>
      </c>
      <c r="D36" s="273"/>
      <c r="E36" s="26"/>
      <c r="F36" s="26"/>
      <c r="G36" s="26"/>
      <c r="H36" s="35"/>
    </row>
    <row r="37" spans="1:8" x14ac:dyDescent="0.2">
      <c r="A37" s="266" t="s">
        <v>34</v>
      </c>
      <c r="B37" s="11">
        <f>B34*B36</f>
        <v>37.333333333333329</v>
      </c>
      <c r="D37" s="273"/>
      <c r="E37" s="26"/>
      <c r="F37" s="26"/>
      <c r="G37" s="26"/>
      <c r="H37" s="35"/>
    </row>
    <row r="38" spans="1:8" ht="15" x14ac:dyDescent="0.25">
      <c r="A38" s="266" t="s">
        <v>33</v>
      </c>
      <c r="B38" s="309">
        <f>60/B37</f>
        <v>1.6071428571428574</v>
      </c>
      <c r="C38" s="307"/>
      <c r="D38" s="455"/>
      <c r="E38" s="26"/>
      <c r="F38" s="26"/>
      <c r="G38" s="26"/>
      <c r="H38" s="35"/>
    </row>
    <row r="39" spans="1:8" x14ac:dyDescent="0.2">
      <c r="A39" s="266" t="s">
        <v>36</v>
      </c>
      <c r="B39" s="308">
        <f>B38*60</f>
        <v>96.428571428571445</v>
      </c>
      <c r="D39" s="273"/>
      <c r="E39" s="26"/>
      <c r="F39" s="26"/>
      <c r="G39" s="26"/>
      <c r="H39" s="35"/>
    </row>
    <row r="40" spans="1:8" x14ac:dyDescent="0.2">
      <c r="A40" s="266" t="s">
        <v>40</v>
      </c>
      <c r="B40" s="11">
        <f>B39*B28</f>
        <v>28.928571428571431</v>
      </c>
      <c r="D40" s="273"/>
      <c r="E40" s="26"/>
      <c r="F40" s="26"/>
      <c r="G40" s="26"/>
      <c r="H40" s="35"/>
    </row>
    <row r="41" spans="1:8" x14ac:dyDescent="0.2">
      <c r="A41" s="266" t="s">
        <v>39</v>
      </c>
      <c r="B41" s="11">
        <f>B40*B35</f>
        <v>21.696428571428573</v>
      </c>
      <c r="D41" s="273"/>
      <c r="E41" s="26"/>
      <c r="F41" s="26"/>
      <c r="G41" s="26"/>
      <c r="H41" s="35"/>
    </row>
    <row r="42" spans="1:8" x14ac:dyDescent="0.2">
      <c r="A42" s="266" t="s">
        <v>67</v>
      </c>
      <c r="B42" s="11">
        <f>B23/B41</f>
        <v>0.26990617283950613</v>
      </c>
      <c r="D42" s="273"/>
      <c r="E42" s="26"/>
      <c r="F42" s="26"/>
      <c r="G42" s="26"/>
      <c r="H42" s="35"/>
    </row>
    <row r="43" spans="1:8" x14ac:dyDescent="0.2">
      <c r="A43" s="266" t="s">
        <v>66</v>
      </c>
      <c r="B43" s="363">
        <f>B42/24</f>
        <v>1.1246090534979422E-2</v>
      </c>
      <c r="D43" s="273"/>
      <c r="E43" s="26"/>
      <c r="F43" s="26"/>
      <c r="G43" s="26"/>
      <c r="H43" s="35"/>
    </row>
    <row r="44" spans="1:8" x14ac:dyDescent="0.2">
      <c r="A44" s="289" t="s">
        <v>9</v>
      </c>
      <c r="B44" s="288"/>
      <c r="C44" s="288"/>
      <c r="D44" s="288"/>
      <c r="E44" s="288"/>
      <c r="F44" s="1234" t="s">
        <v>16</v>
      </c>
      <c r="G44" s="1234"/>
      <c r="H44" s="1235"/>
    </row>
    <row r="45" spans="1:8" ht="25.5" x14ac:dyDescent="0.2">
      <c r="A45" s="16" t="s">
        <v>4</v>
      </c>
      <c r="B45" s="17" t="s">
        <v>5</v>
      </c>
      <c r="C45" s="17" t="s">
        <v>1</v>
      </c>
      <c r="D45" s="17" t="s">
        <v>6</v>
      </c>
      <c r="E45" s="18" t="s">
        <v>7</v>
      </c>
      <c r="F45" s="19" t="s">
        <v>17</v>
      </c>
      <c r="G45" s="19" t="s">
        <v>18</v>
      </c>
      <c r="H45" s="21" t="s">
        <v>19</v>
      </c>
    </row>
    <row r="46" spans="1:8" x14ac:dyDescent="0.2">
      <c r="A46" s="74" t="s">
        <v>724</v>
      </c>
      <c r="B46" s="1">
        <f>B25</f>
        <v>10.540800000000001</v>
      </c>
      <c r="C46" s="666" t="s">
        <v>319</v>
      </c>
      <c r="D46" s="405"/>
      <c r="E46" s="2"/>
      <c r="F46" s="11"/>
      <c r="G46" s="43"/>
      <c r="H46" s="22"/>
    </row>
    <row r="47" spans="1:8" ht="13.5" thickBot="1" x14ac:dyDescent="0.25">
      <c r="A47" s="45"/>
      <c r="B47" s="23"/>
      <c r="C47" s="24"/>
      <c r="D47" s="23" t="str">
        <f>IF(A47="","",VLOOKUP(A47,$O$3:$P$20,2,FALSE))</f>
        <v/>
      </c>
      <c r="E47" s="25" t="str">
        <f>IF(A47="","",B47*D47)</f>
        <v/>
      </c>
      <c r="F47" s="12"/>
      <c r="G47" s="12"/>
      <c r="H47" s="13"/>
    </row>
  </sheetData>
  <mergeCells count="13">
    <mergeCell ref="A1:C1"/>
    <mergeCell ref="D1:H1"/>
    <mergeCell ref="A2:C2"/>
    <mergeCell ref="D2:H2"/>
    <mergeCell ref="A3:A4"/>
    <mergeCell ref="B3:D4"/>
    <mergeCell ref="F44:H44"/>
    <mergeCell ref="A6:H6"/>
    <mergeCell ref="A5:H5"/>
    <mergeCell ref="A7:D7"/>
    <mergeCell ref="E7:H7"/>
    <mergeCell ref="C8:D8"/>
    <mergeCell ref="G8:H8"/>
  </mergeCells>
  <pageMargins left="0.25" right="0.25" top="0.75" bottom="0.75" header="0.3" footer="0.3"/>
  <pageSetup paperSize="9" scale="62"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4"/>
  <sheetViews>
    <sheetView zoomScale="80" zoomScaleNormal="80" workbookViewId="0">
      <selection activeCell="C10" sqref="C1:C1048576"/>
    </sheetView>
  </sheetViews>
  <sheetFormatPr baseColWidth="10" defaultRowHeight="12.75" x14ac:dyDescent="0.2"/>
  <cols>
    <col min="1" max="1" width="19" customWidth="1"/>
    <col min="3" max="3" width="13.85546875" customWidth="1"/>
    <col min="5" max="5" width="19" customWidth="1"/>
    <col min="7" max="7" width="22.8554687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434</v>
      </c>
      <c r="E2" s="1165"/>
      <c r="F2" s="1165"/>
      <c r="G2" s="1165"/>
      <c r="H2" s="1166"/>
    </row>
    <row r="3" spans="1:8" ht="12.75" customHeight="1" x14ac:dyDescent="0.2">
      <c r="A3" s="1167" t="s">
        <v>21</v>
      </c>
      <c r="B3" s="1169"/>
      <c r="C3" s="1170"/>
      <c r="D3" s="1171"/>
      <c r="E3" s="830" t="s">
        <v>0</v>
      </c>
      <c r="F3" s="830" t="s">
        <v>1</v>
      </c>
      <c r="G3" s="830" t="s">
        <v>2</v>
      </c>
      <c r="H3" s="831" t="s">
        <v>3</v>
      </c>
    </row>
    <row r="4" spans="1:8" ht="16.5" thickBot="1" x14ac:dyDescent="0.25">
      <c r="A4" s="1168"/>
      <c r="B4" s="1172"/>
      <c r="C4" s="1173"/>
      <c r="D4" s="1174"/>
      <c r="E4" s="8">
        <v>1</v>
      </c>
      <c r="F4" s="9" t="s">
        <v>435</v>
      </c>
      <c r="G4" s="837" t="s">
        <v>736</v>
      </c>
      <c r="H4" s="838" t="s">
        <v>736</v>
      </c>
    </row>
    <row r="5" spans="1:8" x14ac:dyDescent="0.2">
      <c r="A5" s="1175" t="s">
        <v>14</v>
      </c>
      <c r="B5" s="1176"/>
      <c r="C5" s="1176"/>
      <c r="D5" s="1176"/>
      <c r="E5" s="1176"/>
      <c r="F5" s="1176"/>
      <c r="G5" s="1176"/>
      <c r="H5" s="1177"/>
    </row>
    <row r="6" spans="1:8" ht="77.25" customHeight="1" x14ac:dyDescent="0.2">
      <c r="A6" s="1206" t="s">
        <v>737</v>
      </c>
      <c r="B6" s="1207"/>
      <c r="C6" s="1207"/>
      <c r="D6" s="1207"/>
      <c r="E6" s="1207"/>
      <c r="F6" s="1207"/>
      <c r="G6" s="1207"/>
      <c r="H6" s="1208"/>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25.5" customHeight="1" x14ac:dyDescent="0.2">
      <c r="A9" s="832"/>
      <c r="B9" s="829"/>
      <c r="C9" s="1236"/>
      <c r="D9" s="1237"/>
      <c r="E9" s="368"/>
      <c r="F9" s="368"/>
      <c r="G9" s="1238"/>
      <c r="H9" s="1239"/>
    </row>
    <row r="10" spans="1:8" x14ac:dyDescent="0.2">
      <c r="A10" s="20"/>
      <c r="B10" s="1"/>
      <c r="C10" s="49"/>
      <c r="D10" s="26"/>
      <c r="E10" s="1"/>
      <c r="F10" s="1"/>
      <c r="G10" s="49"/>
      <c r="H10" s="35"/>
    </row>
    <row r="11" spans="1:8" x14ac:dyDescent="0.2">
      <c r="A11" s="20"/>
      <c r="B11" s="1"/>
      <c r="C11" s="49"/>
      <c r="D11" s="26"/>
      <c r="E11" s="1"/>
      <c r="F11" s="1"/>
      <c r="G11" s="49"/>
      <c r="H11" s="35"/>
    </row>
    <row r="12" spans="1:8" x14ac:dyDescent="0.2">
      <c r="A12" s="20"/>
      <c r="B12" s="1"/>
      <c r="C12" s="26"/>
      <c r="D12" s="26"/>
      <c r="E12" s="1"/>
      <c r="F12" s="1"/>
      <c r="G12" s="26"/>
      <c r="H12" s="35"/>
    </row>
    <row r="13" spans="1:8" ht="15" thickBot="1" x14ac:dyDescent="0.25">
      <c r="A13" s="833" t="s">
        <v>20</v>
      </c>
      <c r="B13" s="834"/>
      <c r="C13" s="834"/>
      <c r="D13" s="834"/>
      <c r="E13" s="834"/>
      <c r="F13" s="834"/>
      <c r="G13" s="834"/>
      <c r="H13" s="835"/>
    </row>
    <row r="14" spans="1:8" x14ac:dyDescent="0.2">
      <c r="A14" s="49"/>
      <c r="B14" s="49"/>
      <c r="C14" s="49"/>
      <c r="D14" s="49"/>
      <c r="E14" s="49"/>
      <c r="F14" s="49"/>
      <c r="G14" s="49"/>
      <c r="H14" s="35"/>
    </row>
    <row r="15" spans="1:8" x14ac:dyDescent="0.2">
      <c r="A15" s="49"/>
      <c r="B15" s="49"/>
      <c r="C15" s="49"/>
      <c r="D15" s="49"/>
      <c r="E15" s="49"/>
      <c r="F15" s="49"/>
      <c r="G15" s="49"/>
      <c r="H15" s="35"/>
    </row>
    <row r="16" spans="1:8" x14ac:dyDescent="0.2">
      <c r="A16" s="49"/>
      <c r="B16" s="49"/>
      <c r="C16" s="49"/>
      <c r="D16" s="49"/>
      <c r="E16" s="49"/>
      <c r="F16" s="49"/>
      <c r="G16" s="49"/>
      <c r="H16" s="35"/>
    </row>
    <row r="17" spans="1:8" x14ac:dyDescent="0.2">
      <c r="A17" s="49"/>
      <c r="B17" s="49"/>
      <c r="C17" s="49"/>
      <c r="D17" s="49"/>
      <c r="E17" s="49"/>
      <c r="F17" s="49"/>
      <c r="G17" s="49"/>
      <c r="H17" s="35"/>
    </row>
    <row r="18" spans="1:8" x14ac:dyDescent="0.2">
      <c r="A18" s="49"/>
      <c r="B18" s="49"/>
      <c r="C18" s="49"/>
      <c r="D18" s="49"/>
      <c r="E18" s="49"/>
      <c r="F18" s="49"/>
      <c r="G18" s="49"/>
      <c r="H18" s="35"/>
    </row>
    <row r="19" spans="1:8" x14ac:dyDescent="0.2">
      <c r="A19" s="49"/>
      <c r="B19" s="49"/>
      <c r="C19" s="49"/>
      <c r="D19" s="49"/>
      <c r="E19" s="49"/>
      <c r="F19" s="49"/>
      <c r="G19" s="49"/>
      <c r="H19" s="35"/>
    </row>
    <row r="20" spans="1:8" x14ac:dyDescent="0.2">
      <c r="A20" s="49"/>
      <c r="B20" s="49"/>
      <c r="C20" s="49"/>
      <c r="D20" s="49"/>
      <c r="E20" s="49"/>
      <c r="F20" s="49"/>
      <c r="G20" s="49"/>
      <c r="H20" s="35"/>
    </row>
    <row r="21" spans="1:8" x14ac:dyDescent="0.2">
      <c r="A21" s="289" t="s">
        <v>9</v>
      </c>
      <c r="B21" s="288"/>
      <c r="C21" s="288"/>
      <c r="D21" s="288"/>
      <c r="E21" s="288"/>
      <c r="F21" s="1234" t="s">
        <v>16</v>
      </c>
      <c r="G21" s="1234"/>
      <c r="H21" s="1235"/>
    </row>
    <row r="22" spans="1:8" ht="25.5" x14ac:dyDescent="0.2">
      <c r="A22" s="16" t="s">
        <v>4</v>
      </c>
      <c r="B22" s="17" t="s">
        <v>5</v>
      </c>
      <c r="C22" s="17" t="s">
        <v>1</v>
      </c>
      <c r="D22" s="17" t="s">
        <v>6</v>
      </c>
      <c r="E22" s="18" t="s">
        <v>7</v>
      </c>
      <c r="F22" s="19" t="s">
        <v>17</v>
      </c>
      <c r="G22" s="19" t="s">
        <v>18</v>
      </c>
      <c r="H22" s="21" t="s">
        <v>19</v>
      </c>
    </row>
    <row r="23" spans="1:8" x14ac:dyDescent="0.2">
      <c r="A23" s="74"/>
      <c r="B23" s="1"/>
      <c r="C23" s="375"/>
      <c r="D23" s="405"/>
      <c r="E23" s="2"/>
      <c r="F23" s="11"/>
      <c r="G23" s="43"/>
      <c r="H23" s="22"/>
    </row>
    <row r="24" spans="1:8" ht="13.5" thickBot="1" x14ac:dyDescent="0.25">
      <c r="A24" s="45"/>
      <c r="B24" s="23"/>
      <c r="C24" s="24"/>
      <c r="D24" s="23" t="str">
        <f>IF(A24="","",VLOOKUP(A24,$O$3:$P$16,2,FALSE))</f>
        <v/>
      </c>
      <c r="E24" s="25" t="str">
        <f>IF(A24="","",B24*D24)</f>
        <v/>
      </c>
      <c r="F24" s="12"/>
      <c r="G24" s="12"/>
      <c r="H24" s="13"/>
    </row>
  </sheetData>
  <mergeCells count="15">
    <mergeCell ref="A1:C1"/>
    <mergeCell ref="D1:H1"/>
    <mergeCell ref="A2:C2"/>
    <mergeCell ref="D2:H2"/>
    <mergeCell ref="A3:A4"/>
    <mergeCell ref="B3:D4"/>
    <mergeCell ref="F21:H21"/>
    <mergeCell ref="A5:H5"/>
    <mergeCell ref="A7:D7"/>
    <mergeCell ref="E7:H7"/>
    <mergeCell ref="C8:D8"/>
    <mergeCell ref="G8:H8"/>
    <mergeCell ref="A6:H6"/>
    <mergeCell ref="C9:D9"/>
    <mergeCell ref="G9:H9"/>
  </mergeCells>
  <pageMargins left="0.25" right="0.25" top="0.75" bottom="0.75" header="0.3" footer="0.3"/>
  <pageSetup paperSize="9" scale="83"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workbookViewId="0">
      <selection activeCell="A31" sqref="A31:XFD40"/>
    </sheetView>
  </sheetViews>
  <sheetFormatPr baseColWidth="10" defaultRowHeight="15" x14ac:dyDescent="0.25"/>
  <cols>
    <col min="1" max="1" width="24.42578125" style="76" customWidth="1"/>
    <col min="2" max="2" width="14" style="76" customWidth="1"/>
    <col min="3" max="3" width="11.42578125" style="76"/>
    <col min="4" max="4" width="10.28515625" style="76" bestFit="1" customWidth="1"/>
    <col min="5" max="5" width="11" style="76" bestFit="1" customWidth="1"/>
    <col min="6" max="6" width="11.42578125" style="76"/>
    <col min="7" max="7" width="15.42578125" style="76" bestFit="1" customWidth="1"/>
    <col min="8" max="16384" width="11.42578125" style="76"/>
  </cols>
  <sheetData>
    <row r="1" spans="1:8" ht="15.75" x14ac:dyDescent="0.25">
      <c r="A1" s="1253" t="s">
        <v>12</v>
      </c>
      <c r="B1" s="1254"/>
      <c r="C1" s="1255"/>
      <c r="D1" s="1253" t="s">
        <v>13</v>
      </c>
      <c r="E1" s="1254"/>
      <c r="F1" s="1254"/>
      <c r="G1" s="1254"/>
      <c r="H1" s="1256"/>
    </row>
    <row r="2" spans="1:8" ht="15.75" thickBot="1" x14ac:dyDescent="0.3">
      <c r="A2" s="1161" t="s">
        <v>548</v>
      </c>
      <c r="B2" s="1162"/>
      <c r="C2" s="1163"/>
      <c r="D2" s="1257" t="s">
        <v>436</v>
      </c>
      <c r="E2" s="1258"/>
      <c r="F2" s="1258"/>
      <c r="G2" s="1258"/>
      <c r="H2" s="1259"/>
    </row>
    <row r="3" spans="1:8" x14ac:dyDescent="0.25">
      <c r="A3" s="1260" t="s">
        <v>21</v>
      </c>
      <c r="B3" s="1262"/>
      <c r="C3" s="1263"/>
      <c r="D3" s="1264"/>
      <c r="E3" s="193" t="s">
        <v>0</v>
      </c>
      <c r="F3" s="193" t="s">
        <v>1</v>
      </c>
      <c r="G3" s="193" t="s">
        <v>2</v>
      </c>
      <c r="H3" s="192" t="s">
        <v>3</v>
      </c>
    </row>
    <row r="4" spans="1:8" ht="19.5" customHeight="1" thickBot="1" x14ac:dyDescent="0.3">
      <c r="A4" s="1261"/>
      <c r="B4" s="1265"/>
      <c r="C4" s="1266"/>
      <c r="D4" s="1267"/>
      <c r="E4" s="190">
        <v>2</v>
      </c>
      <c r="F4" s="345" t="s">
        <v>1</v>
      </c>
      <c r="G4" s="190"/>
      <c r="H4" s="189"/>
    </row>
    <row r="5" spans="1:8" x14ac:dyDescent="0.25">
      <c r="A5" s="1242" t="s">
        <v>14</v>
      </c>
      <c r="B5" s="1243"/>
      <c r="C5" s="1243"/>
      <c r="D5" s="1243"/>
      <c r="E5" s="1243"/>
      <c r="F5" s="1243"/>
      <c r="G5" s="1243"/>
      <c r="H5" s="1244"/>
    </row>
    <row r="6" spans="1:8" ht="113.25" customHeight="1" x14ac:dyDescent="0.25">
      <c r="A6" s="1250" t="s">
        <v>437</v>
      </c>
      <c r="B6" s="1251"/>
      <c r="C6" s="1251"/>
      <c r="D6" s="1251"/>
      <c r="E6" s="1251"/>
      <c r="F6" s="1251"/>
      <c r="G6" s="1251"/>
      <c r="H6" s="1252"/>
    </row>
    <row r="7" spans="1:8" x14ac:dyDescent="0.25">
      <c r="A7" s="1245" t="s">
        <v>8</v>
      </c>
      <c r="B7" s="1246"/>
      <c r="C7" s="1246"/>
      <c r="D7" s="1246"/>
      <c r="E7" s="1246" t="s">
        <v>10</v>
      </c>
      <c r="F7" s="1246"/>
      <c r="G7" s="1246"/>
      <c r="H7" s="1247"/>
    </row>
    <row r="8" spans="1:8" ht="15.75" x14ac:dyDescent="0.25">
      <c r="A8" s="188" t="s">
        <v>4</v>
      </c>
      <c r="B8" s="186" t="s">
        <v>5</v>
      </c>
      <c r="C8" s="1248" t="s">
        <v>15</v>
      </c>
      <c r="D8" s="1248"/>
      <c r="E8" s="187" t="s">
        <v>4</v>
      </c>
      <c r="F8" s="186" t="s">
        <v>0</v>
      </c>
      <c r="G8" s="1248" t="s">
        <v>15</v>
      </c>
      <c r="H8" s="1249"/>
    </row>
    <row r="9" spans="1:8" x14ac:dyDescent="0.25">
      <c r="A9" s="184"/>
      <c r="B9" s="86"/>
      <c r="C9" s="185"/>
      <c r="D9" s="102"/>
      <c r="E9" s="86"/>
      <c r="F9" s="86"/>
      <c r="G9" s="1240"/>
      <c r="H9" s="1241"/>
    </row>
    <row r="10" spans="1:8" x14ac:dyDescent="0.25">
      <c r="A10" s="184"/>
      <c r="B10" s="86"/>
      <c r="C10" s="185"/>
      <c r="D10" s="102"/>
      <c r="E10" s="86"/>
      <c r="F10" s="86"/>
      <c r="G10" s="1240"/>
      <c r="H10" s="1241"/>
    </row>
    <row r="11" spans="1:8" x14ac:dyDescent="0.25">
      <c r="A11" s="184"/>
      <c r="B11" s="86"/>
      <c r="C11" s="350"/>
      <c r="D11" s="102"/>
      <c r="E11" s="86"/>
      <c r="F11" s="86"/>
      <c r="G11" s="1240"/>
      <c r="H11" s="1241"/>
    </row>
    <row r="12" spans="1:8" x14ac:dyDescent="0.25">
      <c r="A12" s="184"/>
      <c r="B12" s="86"/>
      <c r="C12" s="350"/>
      <c r="D12" s="102"/>
      <c r="E12" s="86"/>
      <c r="F12" s="86"/>
      <c r="G12" s="1240"/>
      <c r="H12" s="1241"/>
    </row>
    <row r="13" spans="1:8" x14ac:dyDescent="0.25">
      <c r="A13" s="184"/>
      <c r="B13" s="86"/>
      <c r="C13" s="350"/>
      <c r="D13" s="102"/>
      <c r="E13" s="86"/>
      <c r="F13" s="86"/>
      <c r="G13" s="407"/>
      <c r="H13" s="101"/>
    </row>
    <row r="14" spans="1:8" ht="15.75" thickBot="1" x14ac:dyDescent="0.3">
      <c r="A14" s="183" t="s">
        <v>20</v>
      </c>
      <c r="B14" s="182"/>
      <c r="C14" s="182"/>
      <c r="D14" s="182"/>
      <c r="E14" s="182"/>
      <c r="F14" s="182"/>
      <c r="G14" s="182"/>
      <c r="H14" s="181"/>
    </row>
    <row r="15" spans="1:8" ht="15.75" thickBot="1" x14ac:dyDescent="0.3">
      <c r="A15" s="180" t="s">
        <v>25</v>
      </c>
      <c r="B15" s="179" t="s">
        <v>0</v>
      </c>
      <c r="C15" s="176"/>
      <c r="D15" s="178" t="s">
        <v>25</v>
      </c>
      <c r="E15" s="177" t="s">
        <v>0</v>
      </c>
      <c r="F15" s="176"/>
      <c r="G15" s="175" t="s">
        <v>25</v>
      </c>
      <c r="H15" s="174" t="s">
        <v>0</v>
      </c>
    </row>
    <row r="16" spans="1:8" ht="15.75" thickBot="1" x14ac:dyDescent="0.3">
      <c r="A16" s="663" t="s">
        <v>367</v>
      </c>
      <c r="B16" s="664">
        <v>0.8</v>
      </c>
      <c r="C16" s="170"/>
      <c r="D16" s="256"/>
      <c r="E16" s="112"/>
      <c r="F16" s="170"/>
      <c r="G16" s="255"/>
      <c r="H16" s="254"/>
    </row>
    <row r="17" spans="1:8" ht="15.75" thickBot="1" x14ac:dyDescent="0.3">
      <c r="A17" s="663" t="s">
        <v>668</v>
      </c>
      <c r="B17" s="664">
        <v>2</v>
      </c>
      <c r="C17" s="102"/>
      <c r="D17" s="253"/>
      <c r="E17" s="157"/>
      <c r="F17" s="102"/>
      <c r="G17" s="252"/>
      <c r="H17" s="251"/>
    </row>
    <row r="18" spans="1:8" x14ac:dyDescent="0.25">
      <c r="A18" s="663" t="s">
        <v>368</v>
      </c>
      <c r="B18" s="664">
        <v>0.15</v>
      </c>
      <c r="C18" s="102"/>
      <c r="D18" s="112"/>
      <c r="E18" s="112"/>
      <c r="F18" s="102"/>
      <c r="G18" s="250"/>
      <c r="H18" s="249"/>
    </row>
    <row r="19" spans="1:8" x14ac:dyDescent="0.25">
      <c r="A19" s="663" t="s">
        <v>369</v>
      </c>
      <c r="B19" s="664">
        <v>0.25</v>
      </c>
      <c r="C19" s="102"/>
      <c r="D19" s="89"/>
      <c r="E19" s="226"/>
      <c r="F19" s="102"/>
      <c r="G19" s="219"/>
      <c r="H19" s="221"/>
    </row>
    <row r="20" spans="1:8" x14ac:dyDescent="0.25">
      <c r="A20" s="663" t="s">
        <v>370</v>
      </c>
      <c r="B20" s="664">
        <v>0.2</v>
      </c>
      <c r="C20" s="102"/>
      <c r="D20" s="89"/>
      <c r="E20" s="84"/>
      <c r="F20" s="102"/>
      <c r="G20" s="216"/>
      <c r="H20" s="248"/>
    </row>
    <row r="21" spans="1:8" x14ac:dyDescent="0.25">
      <c r="A21" s="663" t="s">
        <v>371</v>
      </c>
      <c r="B21" s="659">
        <f>B16*B17*B18+B19*B20</f>
        <v>0.28999999999999998</v>
      </c>
      <c r="C21" s="102"/>
      <c r="D21" s="89"/>
      <c r="E21" s="84"/>
      <c r="F21" s="102"/>
      <c r="G21" s="219"/>
      <c r="H21" s="247"/>
    </row>
    <row r="22" spans="1:8" ht="20.25" thickBot="1" x14ac:dyDescent="0.3">
      <c r="A22" s="841" t="s">
        <v>372</v>
      </c>
      <c r="B22" s="751"/>
      <c r="C22" s="102"/>
      <c r="D22" s="89"/>
      <c r="E22" s="226"/>
      <c r="F22" s="102"/>
      <c r="G22" s="246"/>
      <c r="H22" s="245"/>
    </row>
    <row r="23" spans="1:8" ht="26.25" thickBot="1" x14ac:dyDescent="0.3">
      <c r="A23" s="462" t="s">
        <v>373</v>
      </c>
      <c r="B23" s="667">
        <v>120</v>
      </c>
      <c r="C23" s="102"/>
      <c r="D23" s="89"/>
      <c r="E23" s="84"/>
      <c r="F23" s="102"/>
      <c r="G23" s="244"/>
      <c r="H23" s="243"/>
    </row>
    <row r="24" spans="1:8" ht="25.5" x14ac:dyDescent="0.25">
      <c r="A24" s="462" t="s">
        <v>374</v>
      </c>
      <c r="B24" s="667">
        <v>360</v>
      </c>
      <c r="C24" s="102"/>
      <c r="D24" s="89"/>
      <c r="E24" s="226"/>
      <c r="F24" s="102"/>
      <c r="G24" s="242"/>
      <c r="H24" s="241"/>
    </row>
    <row r="25" spans="1:8" x14ac:dyDescent="0.25">
      <c r="A25" s="462" t="s">
        <v>375</v>
      </c>
      <c r="B25" s="667">
        <v>300</v>
      </c>
      <c r="C25" s="102"/>
      <c r="D25" s="89"/>
      <c r="E25" s="84"/>
      <c r="F25" s="102"/>
      <c r="G25" s="219"/>
      <c r="H25" s="221"/>
    </row>
    <row r="26" spans="1:8" ht="15.75" thickBot="1" x14ac:dyDescent="0.3">
      <c r="A26" s="462" t="s">
        <v>376</v>
      </c>
      <c r="B26" s="667">
        <v>180</v>
      </c>
      <c r="C26" s="102"/>
      <c r="D26" s="240"/>
      <c r="E26" s="226"/>
      <c r="F26" s="102"/>
      <c r="G26" s="239"/>
      <c r="H26" s="238"/>
    </row>
    <row r="27" spans="1:8" x14ac:dyDescent="0.25">
      <c r="A27" s="462" t="s">
        <v>669</v>
      </c>
      <c r="B27" s="667">
        <v>2</v>
      </c>
      <c r="C27" s="102"/>
      <c r="D27" s="236"/>
      <c r="E27" s="84"/>
      <c r="F27" s="102"/>
      <c r="G27" s="235"/>
      <c r="H27" s="234"/>
    </row>
    <row r="28" spans="1:8" x14ac:dyDescent="0.25">
      <c r="A28" s="663" t="s">
        <v>347</v>
      </c>
      <c r="B28" s="750" t="s">
        <v>377</v>
      </c>
      <c r="C28" s="102"/>
      <c r="D28" s="89"/>
      <c r="E28" s="84"/>
      <c r="F28" s="102"/>
      <c r="G28" s="232"/>
      <c r="H28" s="220"/>
    </row>
    <row r="29" spans="1:8" ht="19.5" x14ac:dyDescent="0.25">
      <c r="A29" s="839" t="s">
        <v>670</v>
      </c>
      <c r="B29" s="840">
        <f>(B23+B24+B25+B26)*B27*6/5/60/60/24</f>
        <v>2.6666666666666668E-2</v>
      </c>
      <c r="C29" s="102"/>
      <c r="D29" s="89"/>
      <c r="E29" s="84"/>
      <c r="F29" s="102"/>
      <c r="G29" s="228"/>
      <c r="H29" s="231"/>
    </row>
    <row r="30" spans="1:8" ht="15.75" thickBot="1" x14ac:dyDescent="0.3">
      <c r="A30" s="136"/>
      <c r="B30" s="202"/>
      <c r="C30" s="102"/>
      <c r="D30" s="89"/>
      <c r="E30" s="84"/>
      <c r="F30" s="102"/>
      <c r="G30" s="230"/>
      <c r="H30" s="229"/>
    </row>
    <row r="31" spans="1:8" x14ac:dyDescent="0.25">
      <c r="A31" s="100" t="s">
        <v>9</v>
      </c>
      <c r="B31" s="99"/>
      <c r="C31" s="99"/>
      <c r="D31" s="99"/>
      <c r="E31" s="98" t="s">
        <v>16</v>
      </c>
      <c r="F31" s="98"/>
      <c r="G31" s="195"/>
      <c r="H31" s="98"/>
    </row>
    <row r="32" spans="1:8" ht="26.25" thickBot="1" x14ac:dyDescent="0.3">
      <c r="A32" s="96" t="s">
        <v>4</v>
      </c>
      <c r="B32" s="95" t="s">
        <v>5</v>
      </c>
      <c r="C32" s="95" t="s">
        <v>1</v>
      </c>
      <c r="D32" s="95" t="s">
        <v>6</v>
      </c>
      <c r="E32" s="94" t="s">
        <v>7</v>
      </c>
      <c r="F32" s="93" t="s">
        <v>17</v>
      </c>
      <c r="G32" s="194" t="s">
        <v>18</v>
      </c>
      <c r="H32" s="92" t="s">
        <v>19</v>
      </c>
    </row>
    <row r="33" spans="1:8" x14ac:dyDescent="0.25">
      <c r="A33" s="90"/>
      <c r="B33" s="411"/>
      <c r="C33" s="410"/>
      <c r="D33" s="402"/>
      <c r="E33" s="85"/>
      <c r="F33" s="347"/>
      <c r="G33" s="89"/>
      <c r="H33" s="83"/>
    </row>
    <row r="34" spans="1:8" x14ac:dyDescent="0.25">
      <c r="A34" s="408"/>
      <c r="B34" s="412"/>
      <c r="C34" s="410"/>
      <c r="D34" s="409"/>
      <c r="E34" s="85"/>
      <c r="F34" s="84"/>
      <c r="G34" s="89"/>
      <c r="H34" s="83"/>
    </row>
    <row r="35" spans="1:8" x14ac:dyDescent="0.25">
      <c r="A35" s="88"/>
      <c r="B35" s="86"/>
      <c r="C35" s="87"/>
      <c r="D35" s="86"/>
      <c r="E35" s="85"/>
      <c r="F35" s="84"/>
      <c r="G35" s="89"/>
      <c r="H35" s="83"/>
    </row>
    <row r="36" spans="1:8" x14ac:dyDescent="0.25">
      <c r="A36" s="88"/>
      <c r="B36" s="86"/>
      <c r="C36" s="87"/>
      <c r="D36" s="86"/>
      <c r="E36" s="85"/>
      <c r="F36" s="84"/>
      <c r="G36" s="89"/>
      <c r="H36" s="83"/>
    </row>
    <row r="37" spans="1:8" ht="15.75" thickBot="1" x14ac:dyDescent="0.3">
      <c r="A37" s="82"/>
      <c r="B37" s="80"/>
      <c r="C37" s="81"/>
      <c r="D37" s="80" t="str">
        <f>IF(A37="","",VLOOKUP(A37,$O$3:$P$17,2,FALSE))</f>
        <v/>
      </c>
      <c r="E37" s="79" t="str">
        <f>IF(A37="","",B37*D37)</f>
        <v/>
      </c>
      <c r="F37" s="78"/>
      <c r="G37" s="78"/>
      <c r="H37" s="78"/>
    </row>
  </sheetData>
  <mergeCells count="16">
    <mergeCell ref="A1:C1"/>
    <mergeCell ref="D1:H1"/>
    <mergeCell ref="A2:C2"/>
    <mergeCell ref="D2:H2"/>
    <mergeCell ref="A3:A4"/>
    <mergeCell ref="B3:D4"/>
    <mergeCell ref="G9:H9"/>
    <mergeCell ref="G10:H10"/>
    <mergeCell ref="G11:H11"/>
    <mergeCell ref="G12:H12"/>
    <mergeCell ref="A5:H5"/>
    <mergeCell ref="A7:D7"/>
    <mergeCell ref="E7:H7"/>
    <mergeCell ref="C8:D8"/>
    <mergeCell ref="G8:H8"/>
    <mergeCell ref="A6:H6"/>
  </mergeCells>
  <pageMargins left="0.25" right="0.25" top="0.75" bottom="0.75" header="0.3" footer="0.3"/>
  <pageSetup paperSize="9" scale="92" fitToHeight="0" orientation="portrait"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workbookViewId="0">
      <selection activeCell="B31" sqref="B31"/>
    </sheetView>
  </sheetViews>
  <sheetFormatPr baseColWidth="10" defaultRowHeight="12.75" x14ac:dyDescent="0.2"/>
  <cols>
    <col min="1" max="1" width="15.7109375" customWidth="1"/>
    <col min="2" max="2" width="12.1406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438</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2</v>
      </c>
      <c r="F4" s="70" t="s">
        <v>1</v>
      </c>
      <c r="G4" s="8"/>
      <c r="H4" s="10"/>
    </row>
    <row r="5" spans="1:8" x14ac:dyDescent="0.2">
      <c r="A5" s="1175" t="s">
        <v>14</v>
      </c>
      <c r="B5" s="1176"/>
      <c r="C5" s="1176"/>
      <c r="D5" s="1176"/>
      <c r="E5" s="1176"/>
      <c r="F5" s="1176"/>
      <c r="G5" s="1176"/>
      <c r="H5" s="1177"/>
    </row>
    <row r="6" spans="1:8" ht="107.25" customHeight="1" x14ac:dyDescent="0.2">
      <c r="A6" s="1206" t="s">
        <v>439</v>
      </c>
      <c r="B6" s="1207"/>
      <c r="C6" s="1207"/>
      <c r="D6" s="1207"/>
      <c r="E6" s="1207"/>
      <c r="F6" s="1207"/>
      <c r="G6" s="1207"/>
      <c r="H6" s="1208"/>
    </row>
    <row r="7" spans="1:8" ht="14.25" x14ac:dyDescent="0.2">
      <c r="A7" s="1268" t="s">
        <v>8</v>
      </c>
      <c r="B7" s="1269"/>
      <c r="C7" s="1269"/>
      <c r="D7" s="1270"/>
      <c r="E7" s="1271" t="s">
        <v>10</v>
      </c>
      <c r="F7" s="1269"/>
      <c r="G7" s="1269"/>
      <c r="H7" s="1272"/>
    </row>
    <row r="8" spans="1:8" ht="16.5" thickBot="1" x14ac:dyDescent="0.3">
      <c r="A8" s="4" t="s">
        <v>4</v>
      </c>
      <c r="B8" s="5" t="s">
        <v>5</v>
      </c>
      <c r="C8" s="1232" t="s">
        <v>15</v>
      </c>
      <c r="D8" s="1233"/>
      <c r="E8" s="39" t="s">
        <v>4</v>
      </c>
      <c r="F8" s="5" t="s">
        <v>0</v>
      </c>
      <c r="G8" s="1273" t="s">
        <v>15</v>
      </c>
      <c r="H8" s="1274"/>
    </row>
    <row r="9" spans="1:8" ht="51" customHeight="1" thickBot="1" x14ac:dyDescent="0.25">
      <c r="A9" s="413" t="s">
        <v>393</v>
      </c>
      <c r="B9" s="413">
        <v>1</v>
      </c>
      <c r="C9" s="1275" t="s">
        <v>394</v>
      </c>
      <c r="D9" s="1275"/>
      <c r="E9" s="414" t="s">
        <v>359</v>
      </c>
      <c r="F9" s="422">
        <v>1</v>
      </c>
      <c r="G9" s="1280" t="s">
        <v>409</v>
      </c>
      <c r="H9" s="1281"/>
    </row>
    <row r="10" spans="1:8" x14ac:dyDescent="0.2">
      <c r="A10" s="415" t="s">
        <v>407</v>
      </c>
      <c r="B10" s="415">
        <v>1</v>
      </c>
      <c r="C10" s="1276" t="s">
        <v>408</v>
      </c>
      <c r="D10" s="1276"/>
      <c r="E10" s="416" t="s">
        <v>303</v>
      </c>
      <c r="F10" s="415">
        <v>1</v>
      </c>
      <c r="G10" s="1282" t="s">
        <v>410</v>
      </c>
      <c r="H10" s="1283"/>
    </row>
    <row r="11" spans="1:8" ht="14.25" x14ac:dyDescent="0.2">
      <c r="A11" s="31" t="s">
        <v>11</v>
      </c>
      <c r="B11" s="30"/>
      <c r="C11" s="30"/>
      <c r="D11" s="30"/>
      <c r="E11" s="30"/>
      <c r="F11" s="30"/>
      <c r="G11" s="30"/>
      <c r="H11" s="32"/>
    </row>
    <row r="12" spans="1:8" ht="49.5" customHeight="1" x14ac:dyDescent="0.2">
      <c r="A12" s="1277" t="s">
        <v>411</v>
      </c>
      <c r="B12" s="1277"/>
      <c r="C12" s="1277"/>
      <c r="D12" s="1277"/>
      <c r="E12" s="1277"/>
      <c r="F12" s="1277"/>
      <c r="G12" s="1277"/>
      <c r="H12" s="1277"/>
    </row>
    <row r="13" spans="1:8" ht="15" thickBot="1" x14ac:dyDescent="0.25">
      <c r="A13" s="277" t="s">
        <v>20</v>
      </c>
      <c r="B13" s="276"/>
      <c r="C13" s="29"/>
      <c r="D13" s="29"/>
      <c r="E13" s="29"/>
      <c r="F13" s="29"/>
      <c r="G13" s="29"/>
      <c r="H13" s="38"/>
    </row>
    <row r="14" spans="1:8" ht="13.5" thickBot="1" x14ac:dyDescent="0.25">
      <c r="A14" s="424" t="s">
        <v>349</v>
      </c>
      <c r="B14" s="424" t="s">
        <v>395</v>
      </c>
      <c r="C14" s="26"/>
      <c r="D14" s="26"/>
      <c r="E14" s="26"/>
      <c r="F14" s="28"/>
      <c r="G14" s="28"/>
      <c r="H14" s="33"/>
    </row>
    <row r="15" spans="1:8" x14ac:dyDescent="0.2">
      <c r="A15" s="425" t="s">
        <v>404</v>
      </c>
      <c r="B15" s="426"/>
      <c r="C15" s="26"/>
      <c r="D15" s="26"/>
      <c r="E15" s="26"/>
      <c r="F15" s="28"/>
      <c r="G15" s="28"/>
      <c r="H15" s="33"/>
    </row>
    <row r="16" spans="1:8" x14ac:dyDescent="0.2">
      <c r="A16" s="311" t="s">
        <v>396</v>
      </c>
      <c r="B16" s="22">
        <v>5</v>
      </c>
      <c r="C16" s="26"/>
      <c r="D16" s="26"/>
      <c r="E16" s="26"/>
      <c r="F16" s="26"/>
      <c r="G16" s="26"/>
      <c r="H16" s="35"/>
    </row>
    <row r="17" spans="1:8" x14ac:dyDescent="0.2">
      <c r="A17" s="311" t="s">
        <v>397</v>
      </c>
      <c r="B17" s="22">
        <v>2.7000000000000003E-2</v>
      </c>
      <c r="C17" s="26"/>
      <c r="D17" s="26"/>
      <c r="E17" s="26"/>
      <c r="F17" s="26"/>
      <c r="G17" s="26"/>
      <c r="H17" s="35"/>
    </row>
    <row r="18" spans="1:8" x14ac:dyDescent="0.2">
      <c r="A18" s="311" t="s">
        <v>7</v>
      </c>
      <c r="B18" s="22">
        <v>0.13500000000000001</v>
      </c>
      <c r="C18" s="26"/>
      <c r="D18" s="26"/>
      <c r="E18" s="26"/>
      <c r="F18" s="26"/>
      <c r="G18" s="26"/>
      <c r="H18" s="35"/>
    </row>
    <row r="19" spans="1:8" x14ac:dyDescent="0.2">
      <c r="A19" s="311" t="s">
        <v>398</v>
      </c>
      <c r="B19" s="22">
        <v>1.8000000000000002E-2</v>
      </c>
      <c r="C19" s="26"/>
      <c r="D19" s="26"/>
      <c r="E19" s="26"/>
      <c r="F19" s="26"/>
      <c r="G19" s="26"/>
      <c r="H19" s="35"/>
    </row>
    <row r="20" spans="1:8" ht="13.5" thickBot="1" x14ac:dyDescent="0.25">
      <c r="A20" s="427" t="s">
        <v>7</v>
      </c>
      <c r="B20" s="428">
        <v>9.0000000000000011E-2</v>
      </c>
      <c r="C20" s="26"/>
      <c r="D20" s="26"/>
      <c r="E20" s="26"/>
      <c r="F20" s="26"/>
      <c r="G20" s="26"/>
      <c r="H20" s="35"/>
    </row>
    <row r="21" spans="1:8" ht="13.5" thickBot="1" x14ac:dyDescent="0.25">
      <c r="A21" s="1278" t="s">
        <v>405</v>
      </c>
      <c r="B21" s="1279"/>
      <c r="C21" s="26"/>
      <c r="D21" s="26"/>
      <c r="E21" s="26"/>
      <c r="F21" s="26"/>
      <c r="G21" s="26"/>
      <c r="H21" s="35"/>
    </row>
    <row r="22" spans="1:8" x14ac:dyDescent="0.2">
      <c r="A22" s="425" t="s">
        <v>399</v>
      </c>
      <c r="B22" s="426">
        <v>300</v>
      </c>
      <c r="C22" s="26"/>
      <c r="D22" s="26"/>
      <c r="E22" s="26"/>
      <c r="F22" s="26"/>
      <c r="G22" s="26"/>
      <c r="H22" s="35"/>
    </row>
    <row r="23" spans="1:8" x14ac:dyDescent="0.2">
      <c r="A23" s="311" t="s">
        <v>376</v>
      </c>
      <c r="B23" s="22">
        <v>600</v>
      </c>
      <c r="C23" s="26"/>
      <c r="D23" s="26"/>
      <c r="E23" s="26"/>
      <c r="F23" s="26"/>
      <c r="G23" s="26"/>
      <c r="H23" s="35"/>
    </row>
    <row r="24" spans="1:8" x14ac:dyDescent="0.2">
      <c r="A24" s="311" t="s">
        <v>400</v>
      </c>
      <c r="B24" s="22">
        <v>120</v>
      </c>
      <c r="C24" s="26"/>
      <c r="D24" s="26"/>
      <c r="E24" s="26"/>
      <c r="F24" s="26"/>
      <c r="G24" s="26"/>
      <c r="H24" s="35"/>
    </row>
    <row r="25" spans="1:8" x14ac:dyDescent="0.2">
      <c r="A25" s="311" t="s">
        <v>401</v>
      </c>
      <c r="B25" s="22">
        <v>60</v>
      </c>
      <c r="C25" s="26"/>
      <c r="D25" s="26"/>
      <c r="E25" s="26"/>
      <c r="F25" s="26"/>
      <c r="G25" s="26"/>
      <c r="H25" s="35"/>
    </row>
    <row r="26" spans="1:8" ht="25.5" x14ac:dyDescent="0.2">
      <c r="A26" s="429" t="s">
        <v>406</v>
      </c>
      <c r="B26" s="22">
        <f>B22+B23+B24+B25</f>
        <v>1080</v>
      </c>
      <c r="C26" s="26"/>
      <c r="D26" s="26"/>
      <c r="E26" s="26"/>
      <c r="F26" s="26"/>
      <c r="G26" s="26"/>
      <c r="H26" s="35"/>
    </row>
    <row r="27" spans="1:8" x14ac:dyDescent="0.2">
      <c r="A27" s="311" t="s">
        <v>347</v>
      </c>
      <c r="B27" s="22" t="s">
        <v>377</v>
      </c>
      <c r="C27" s="26"/>
      <c r="D27" s="26"/>
      <c r="E27" s="26"/>
      <c r="F27" s="26"/>
      <c r="G27" s="26"/>
      <c r="H27" s="35"/>
    </row>
    <row r="28" spans="1:8" x14ac:dyDescent="0.2">
      <c r="A28" s="311"/>
      <c r="B28" s="22">
        <f>6/5</f>
        <v>1.2</v>
      </c>
      <c r="C28" s="26"/>
      <c r="D28" s="26"/>
      <c r="E28" s="26"/>
      <c r="F28" s="26"/>
      <c r="G28" s="26"/>
      <c r="H28" s="35"/>
    </row>
    <row r="29" spans="1:8" x14ac:dyDescent="0.2">
      <c r="A29" s="266" t="s">
        <v>362</v>
      </c>
      <c r="B29" s="22">
        <f>B28*B26</f>
        <v>1296</v>
      </c>
      <c r="C29" s="26"/>
      <c r="D29" s="26"/>
      <c r="E29" s="26"/>
      <c r="F29" s="26"/>
      <c r="G29" s="26"/>
      <c r="H29" s="35"/>
    </row>
    <row r="30" spans="1:8" x14ac:dyDescent="0.2">
      <c r="A30" s="266" t="s">
        <v>136</v>
      </c>
      <c r="B30" s="22">
        <f>B29*B16</f>
        <v>6480</v>
      </c>
      <c r="C30" s="26"/>
      <c r="D30" s="26"/>
      <c r="E30" s="26"/>
      <c r="F30" s="26"/>
      <c r="G30" s="26"/>
      <c r="H30" s="35"/>
    </row>
    <row r="31" spans="1:8" ht="13.5" thickBot="1" x14ac:dyDescent="0.25">
      <c r="A31" s="430" t="s">
        <v>402</v>
      </c>
      <c r="B31" s="431">
        <f>B30/3600/24</f>
        <v>7.4999999999999997E-2</v>
      </c>
      <c r="C31" s="26"/>
      <c r="D31" s="26"/>
      <c r="E31" s="26"/>
      <c r="F31" s="26"/>
      <c r="G31" s="26"/>
      <c r="H31" s="35"/>
    </row>
    <row r="32" spans="1:8" x14ac:dyDescent="0.2">
      <c r="C32" s="26"/>
      <c r="D32" s="26"/>
      <c r="E32" s="26"/>
      <c r="F32" s="26"/>
      <c r="G32" s="26"/>
      <c r="H32" s="35"/>
    </row>
    <row r="33" spans="1:8" x14ac:dyDescent="0.2">
      <c r="A33" s="14" t="s">
        <v>9</v>
      </c>
      <c r="B33" s="15"/>
      <c r="C33" s="15"/>
      <c r="D33" s="15"/>
      <c r="E33" s="15"/>
      <c r="F33" s="1155" t="s">
        <v>16</v>
      </c>
      <c r="G33" s="1155"/>
      <c r="H33" s="1156"/>
    </row>
    <row r="34" spans="1:8" ht="25.5" x14ac:dyDescent="0.2">
      <c r="A34" s="16" t="s">
        <v>4</v>
      </c>
      <c r="B34" s="17" t="s">
        <v>5</v>
      </c>
      <c r="C34" s="17" t="s">
        <v>1</v>
      </c>
      <c r="D34" s="17" t="s">
        <v>6</v>
      </c>
      <c r="E34" s="18" t="s">
        <v>7</v>
      </c>
      <c r="F34" s="19" t="s">
        <v>17</v>
      </c>
      <c r="G34" s="19" t="s">
        <v>18</v>
      </c>
      <c r="H34" s="21" t="s">
        <v>19</v>
      </c>
    </row>
    <row r="35" spans="1:8" ht="15.75" x14ac:dyDescent="0.2">
      <c r="A35" s="419" t="s">
        <v>364</v>
      </c>
      <c r="B35" s="420">
        <v>0.13500000000000001</v>
      </c>
      <c r="C35" s="420" t="s">
        <v>22</v>
      </c>
      <c r="D35" s="421">
        <v>98</v>
      </c>
      <c r="E35" s="415">
        <v>13.23</v>
      </c>
      <c r="F35" s="423"/>
      <c r="G35" s="417"/>
      <c r="H35" s="22"/>
    </row>
    <row r="36" spans="1:8" x14ac:dyDescent="0.2">
      <c r="A36" s="419" t="s">
        <v>403</v>
      </c>
      <c r="B36" s="420">
        <v>9.0000000000000011E-2</v>
      </c>
      <c r="C36" s="420" t="s">
        <v>22</v>
      </c>
      <c r="D36" s="399">
        <v>3.45</v>
      </c>
      <c r="E36" s="399">
        <v>3.45</v>
      </c>
      <c r="F36" s="418"/>
      <c r="G36" s="418"/>
      <c r="H36" s="22"/>
    </row>
    <row r="37" spans="1:8" ht="13.5" thickBot="1" x14ac:dyDescent="0.25">
      <c r="A37" s="45"/>
      <c r="B37" s="23"/>
      <c r="C37" s="24"/>
      <c r="D37" s="23" t="str">
        <f>IF(A37="","",VLOOKUP(A37,$O$3:$P$12,2,FALSE))</f>
        <v/>
      </c>
      <c r="E37" s="25" t="str">
        <f>IF(A37="","",B37*D37)</f>
        <v/>
      </c>
      <c r="F37" s="12"/>
      <c r="G37" s="12"/>
      <c r="H37" s="13"/>
    </row>
  </sheetData>
  <mergeCells count="19">
    <mergeCell ref="A1:C1"/>
    <mergeCell ref="D1:H1"/>
    <mergeCell ref="A2:C2"/>
    <mergeCell ref="D2:H2"/>
    <mergeCell ref="A3:A4"/>
    <mergeCell ref="B3:D4"/>
    <mergeCell ref="F33:H33"/>
    <mergeCell ref="A6:H6"/>
    <mergeCell ref="C9:D9"/>
    <mergeCell ref="C10:D10"/>
    <mergeCell ref="A12:H12"/>
    <mergeCell ref="A21:B21"/>
    <mergeCell ref="G9:H9"/>
    <mergeCell ref="G10:H10"/>
    <mergeCell ref="A5:H5"/>
    <mergeCell ref="A7:D7"/>
    <mergeCell ref="E7:H7"/>
    <mergeCell ref="C8:D8"/>
    <mergeCell ref="G8:H8"/>
  </mergeCells>
  <pageMargins left="0.25" right="0.25" top="0.75" bottom="0.75" header="0.3" footer="0.3"/>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zoomScale="80" zoomScaleNormal="80" workbookViewId="0">
      <selection activeCell="A9" sqref="A9"/>
    </sheetView>
  </sheetViews>
  <sheetFormatPr baseColWidth="10" defaultRowHeight="12.75" x14ac:dyDescent="0.2"/>
  <cols>
    <col min="1" max="1" width="26.5703125" customWidth="1"/>
    <col min="3" max="3" width="5.85546875" bestFit="1" customWidth="1"/>
    <col min="4" max="4" width="31" bestFit="1" customWidth="1"/>
    <col min="5" max="5" width="14.42578125" bestFit="1" customWidth="1"/>
    <col min="6" max="6" width="14.5703125" bestFit="1" customWidth="1"/>
    <col min="7" max="7" width="15.7109375" bestFit="1" customWidth="1"/>
    <col min="8" max="8" width="15.8554687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440</v>
      </c>
      <c r="E2" s="1165"/>
      <c r="F2" s="1165"/>
      <c r="G2" s="1165"/>
      <c r="H2" s="1166"/>
    </row>
    <row r="3" spans="1:8" ht="12.75" customHeight="1" x14ac:dyDescent="0.2">
      <c r="A3" s="1167" t="s">
        <v>21</v>
      </c>
      <c r="B3" s="1169"/>
      <c r="C3" s="1170"/>
      <c r="D3" s="1171"/>
      <c r="E3" s="6" t="s">
        <v>0</v>
      </c>
      <c r="F3" s="6" t="s">
        <v>1</v>
      </c>
      <c r="G3" s="6" t="s">
        <v>2</v>
      </c>
      <c r="H3" s="7" t="s">
        <v>3</v>
      </c>
    </row>
    <row r="4" spans="1:8" ht="16.5" thickBot="1" x14ac:dyDescent="0.25">
      <c r="A4" s="1168"/>
      <c r="B4" s="1172"/>
      <c r="C4" s="1173"/>
      <c r="D4" s="1174"/>
      <c r="E4" s="8">
        <v>1</v>
      </c>
      <c r="F4" s="9" t="s">
        <v>435</v>
      </c>
      <c r="G4" s="8"/>
      <c r="H4" s="10"/>
    </row>
    <row r="5" spans="1:8" x14ac:dyDescent="0.2">
      <c r="A5" s="1175" t="s">
        <v>14</v>
      </c>
      <c r="B5" s="1176"/>
      <c r="C5" s="1176"/>
      <c r="D5" s="1176"/>
      <c r="E5" s="1176"/>
      <c r="F5" s="1176"/>
      <c r="G5" s="1176"/>
      <c r="H5" s="1177"/>
    </row>
    <row r="6" spans="1:8" ht="117.75" customHeight="1" x14ac:dyDescent="0.2">
      <c r="A6" s="1284" t="s">
        <v>441</v>
      </c>
      <c r="B6" s="1285"/>
      <c r="C6" s="1285"/>
      <c r="D6" s="1285"/>
      <c r="E6" s="1285"/>
      <c r="F6" s="1285"/>
      <c r="G6" s="1285"/>
      <c r="H6" s="1195"/>
    </row>
    <row r="7" spans="1:8" ht="14.25" x14ac:dyDescent="0.2">
      <c r="A7" s="1178" t="s">
        <v>8</v>
      </c>
      <c r="B7" s="1179"/>
      <c r="C7" s="1179"/>
      <c r="D7" s="1179"/>
      <c r="E7" s="1179" t="s">
        <v>10</v>
      </c>
      <c r="F7" s="1179"/>
      <c r="G7" s="1179"/>
      <c r="H7" s="1180"/>
    </row>
    <row r="8" spans="1:8" ht="33.75" customHeight="1" x14ac:dyDescent="0.2">
      <c r="A8" s="512" t="s">
        <v>269</v>
      </c>
      <c r="B8" s="512">
        <v>1</v>
      </c>
      <c r="C8" s="1217" t="s">
        <v>680</v>
      </c>
      <c r="D8" s="1217"/>
      <c r="E8" s="512" t="s">
        <v>303</v>
      </c>
      <c r="F8" s="807">
        <v>1</v>
      </c>
      <c r="G8" s="1217" t="s">
        <v>682</v>
      </c>
      <c r="H8" s="1218"/>
    </row>
    <row r="9" spans="1:8" ht="45.75" customHeight="1" x14ac:dyDescent="0.2">
      <c r="A9" s="512" t="s">
        <v>638</v>
      </c>
      <c r="B9" s="512">
        <v>1</v>
      </c>
      <c r="C9" s="1222" t="s">
        <v>744</v>
      </c>
      <c r="D9" s="1222"/>
      <c r="E9" s="807" t="s">
        <v>743</v>
      </c>
      <c r="F9" s="807">
        <v>2</v>
      </c>
      <c r="G9" s="1217" t="s">
        <v>684</v>
      </c>
      <c r="H9" s="1218"/>
    </row>
    <row r="10" spans="1:8" x14ac:dyDescent="0.2">
      <c r="A10" s="807"/>
      <c r="B10" s="807"/>
      <c r="C10" s="1223"/>
      <c r="D10" s="1223"/>
      <c r="E10" s="807" t="s">
        <v>597</v>
      </c>
      <c r="F10" s="807">
        <v>1</v>
      </c>
      <c r="G10" s="1217" t="s">
        <v>685</v>
      </c>
      <c r="H10" s="1218"/>
    </row>
    <row r="11" spans="1:8" ht="14.25" x14ac:dyDescent="0.2">
      <c r="A11" s="31" t="s">
        <v>11</v>
      </c>
      <c r="B11" s="30"/>
      <c r="C11" s="30"/>
      <c r="D11" s="30"/>
      <c r="E11" s="30"/>
      <c r="F11" s="30"/>
      <c r="G11" s="30"/>
      <c r="H11" s="32"/>
    </row>
    <row r="12" spans="1:8" x14ac:dyDescent="0.2">
      <c r="A12" s="1219" t="s">
        <v>742</v>
      </c>
      <c r="B12" s="1220"/>
      <c r="C12" s="1220"/>
      <c r="D12" s="1220"/>
      <c r="E12" s="1220"/>
      <c r="F12" s="1220"/>
      <c r="G12" s="1220"/>
      <c r="H12" s="1221"/>
    </row>
    <row r="13" spans="1:8" ht="14.25" x14ac:dyDescent="0.2">
      <c r="A13" s="31" t="s">
        <v>20</v>
      </c>
      <c r="B13" s="29"/>
      <c r="C13" s="29"/>
      <c r="D13" s="29"/>
      <c r="E13" s="29"/>
      <c r="F13" s="29"/>
      <c r="G13" s="29"/>
      <c r="H13" s="38"/>
    </row>
    <row r="14" spans="1:8" x14ac:dyDescent="0.2">
      <c r="A14" s="61" t="s">
        <v>25</v>
      </c>
      <c r="B14" s="62" t="s">
        <v>0</v>
      </c>
      <c r="C14" s="28"/>
      <c r="D14" s="61" t="s">
        <v>25</v>
      </c>
      <c r="E14" s="62" t="s">
        <v>0</v>
      </c>
      <c r="F14" s="28"/>
      <c r="G14" s="28"/>
      <c r="H14" s="33"/>
    </row>
    <row r="15" spans="1:8" x14ac:dyDescent="0.2">
      <c r="A15" s="763" t="s">
        <v>360</v>
      </c>
      <c r="B15" s="662">
        <v>60</v>
      </c>
      <c r="D15" s="768" t="s">
        <v>699</v>
      </c>
      <c r="E15" s="662">
        <v>300</v>
      </c>
      <c r="F15" s="28"/>
      <c r="G15" s="28"/>
      <c r="H15" s="33"/>
    </row>
    <row r="16" spans="1:8" x14ac:dyDescent="0.2">
      <c r="A16" s="664" t="s">
        <v>686</v>
      </c>
      <c r="B16" s="664">
        <v>0.77</v>
      </c>
      <c r="D16" s="768" t="s">
        <v>401</v>
      </c>
      <c r="E16" s="770">
        <v>120</v>
      </c>
      <c r="F16" s="26"/>
      <c r="G16" s="26"/>
      <c r="H16" s="35"/>
    </row>
    <row r="17" spans="1:8" x14ac:dyDescent="0.2">
      <c r="A17" s="664" t="s">
        <v>687</v>
      </c>
      <c r="B17" s="664">
        <v>1.44</v>
      </c>
      <c r="D17" s="769" t="s">
        <v>361</v>
      </c>
      <c r="E17" s="665">
        <f>B15+B20+B25+B27+B28+B30+E15+E16</f>
        <v>1620</v>
      </c>
      <c r="F17" s="26"/>
      <c r="G17" s="26"/>
      <c r="H17" s="35"/>
    </row>
    <row r="18" spans="1:8" ht="15.75" x14ac:dyDescent="0.25">
      <c r="A18" s="664" t="s">
        <v>370</v>
      </c>
      <c r="B18" s="664">
        <v>0.2</v>
      </c>
      <c r="D18" s="769" t="s">
        <v>700</v>
      </c>
      <c r="E18" s="765">
        <f>B19+B24</f>
        <v>0.52349999999999997</v>
      </c>
      <c r="F18" s="26"/>
      <c r="G18" s="26"/>
      <c r="H18" s="35"/>
    </row>
    <row r="19" spans="1:8" x14ac:dyDescent="0.2">
      <c r="A19" s="664" t="s">
        <v>688</v>
      </c>
      <c r="B19" s="764">
        <f>B17*B18</f>
        <v>0.28799999999999998</v>
      </c>
      <c r="D19" s="769" t="s">
        <v>347</v>
      </c>
      <c r="E19" s="766" t="s">
        <v>377</v>
      </c>
      <c r="F19" s="26"/>
      <c r="G19" s="26"/>
      <c r="H19" s="35"/>
    </row>
    <row r="20" spans="1:8" x14ac:dyDescent="0.2">
      <c r="A20" s="767" t="s">
        <v>689</v>
      </c>
      <c r="B20" s="764">
        <v>120</v>
      </c>
      <c r="C20" s="26"/>
      <c r="D20" s="771" t="s">
        <v>701</v>
      </c>
      <c r="E20" s="772">
        <f>E17*6/5/60/60/24</f>
        <v>2.2499999999999996E-2</v>
      </c>
      <c r="F20" s="26"/>
      <c r="G20" s="26"/>
      <c r="H20" s="35"/>
    </row>
    <row r="21" spans="1:8" x14ac:dyDescent="0.2">
      <c r="A21" s="767" t="s">
        <v>690</v>
      </c>
      <c r="B21" s="662">
        <v>3.14</v>
      </c>
      <c r="C21" s="26"/>
      <c r="D21" s="320"/>
      <c r="E21" s="320"/>
      <c r="F21" s="26"/>
      <c r="G21" s="26"/>
      <c r="H21" s="33"/>
    </row>
    <row r="22" spans="1:8" x14ac:dyDescent="0.2">
      <c r="A22" s="767" t="s">
        <v>691</v>
      </c>
      <c r="B22" s="662">
        <v>0.15</v>
      </c>
      <c r="C22" s="26"/>
      <c r="D22" s="11"/>
      <c r="E22" s="11"/>
      <c r="F22" s="26"/>
      <c r="G22" s="26"/>
      <c r="H22" s="35"/>
    </row>
    <row r="23" spans="1:8" x14ac:dyDescent="0.2">
      <c r="A23" s="767" t="s">
        <v>692</v>
      </c>
      <c r="B23" s="662">
        <v>0.5</v>
      </c>
      <c r="C23" s="26"/>
      <c r="D23" s="11"/>
      <c r="E23" s="11"/>
      <c r="F23" s="26"/>
      <c r="G23" s="26"/>
      <c r="H23" s="35"/>
    </row>
    <row r="24" spans="1:8" x14ac:dyDescent="0.2">
      <c r="A24" s="767" t="s">
        <v>693</v>
      </c>
      <c r="B24" s="665">
        <f>B21*B22*B23</f>
        <v>0.23549999999999999</v>
      </c>
      <c r="C24" s="26"/>
      <c r="D24" s="11"/>
      <c r="E24" s="11"/>
      <c r="F24" s="26"/>
      <c r="G24" s="26"/>
      <c r="H24" s="35"/>
    </row>
    <row r="25" spans="1:8" x14ac:dyDescent="0.2">
      <c r="A25" s="767" t="s">
        <v>694</v>
      </c>
      <c r="B25" s="665">
        <v>600</v>
      </c>
      <c r="C25" s="26"/>
      <c r="D25" s="11"/>
      <c r="E25" s="11"/>
      <c r="F25" s="26"/>
      <c r="G25" s="26"/>
      <c r="H25" s="33"/>
    </row>
    <row r="26" spans="1:8" x14ac:dyDescent="0.2">
      <c r="A26" s="767" t="s">
        <v>695</v>
      </c>
      <c r="B26" s="662">
        <v>0.15</v>
      </c>
      <c r="C26" s="26"/>
      <c r="D26" s="11"/>
      <c r="E26" s="11"/>
      <c r="F26" s="26"/>
      <c r="G26" s="26"/>
      <c r="H26" s="35"/>
    </row>
    <row r="27" spans="1:8" x14ac:dyDescent="0.2">
      <c r="A27" s="767" t="s">
        <v>696</v>
      </c>
      <c r="B27" s="662">
        <v>60</v>
      </c>
      <c r="C27" s="26"/>
      <c r="D27" s="11"/>
      <c r="E27" s="11"/>
      <c r="F27" s="26"/>
      <c r="G27" s="26"/>
      <c r="H27" s="35"/>
    </row>
    <row r="28" spans="1:8" x14ac:dyDescent="0.2">
      <c r="A28" s="767" t="s">
        <v>376</v>
      </c>
      <c r="B28" s="662">
        <v>300</v>
      </c>
      <c r="C28" s="26"/>
      <c r="D28" s="11"/>
      <c r="E28" s="11"/>
      <c r="F28" s="26"/>
      <c r="G28" s="26"/>
      <c r="H28" s="35"/>
    </row>
    <row r="29" spans="1:8" x14ac:dyDescent="0.2">
      <c r="A29" s="767" t="s">
        <v>697</v>
      </c>
      <c r="B29" s="662">
        <v>1</v>
      </c>
      <c r="C29" s="26"/>
      <c r="D29" s="11"/>
      <c r="E29" s="11"/>
      <c r="F29" s="26"/>
      <c r="G29" s="26"/>
      <c r="H29" s="33"/>
    </row>
    <row r="30" spans="1:8" x14ac:dyDescent="0.2">
      <c r="A30" s="768" t="s">
        <v>698</v>
      </c>
      <c r="B30" s="662">
        <v>60</v>
      </c>
      <c r="C30" s="26"/>
      <c r="D30" s="11"/>
      <c r="E30" s="11"/>
      <c r="F30" s="26"/>
      <c r="G30" s="26"/>
      <c r="H30" s="35"/>
    </row>
    <row r="31" spans="1:8" x14ac:dyDescent="0.2">
      <c r="A31" s="767"/>
      <c r="B31" s="662"/>
      <c r="C31" s="26"/>
      <c r="D31" s="11"/>
      <c r="E31" s="11"/>
      <c r="F31" s="26"/>
      <c r="G31" s="26"/>
      <c r="H31" s="33"/>
    </row>
    <row r="32" spans="1:8" x14ac:dyDescent="0.2">
      <c r="A32" s="767"/>
      <c r="B32" s="662"/>
      <c r="C32" s="26"/>
      <c r="D32" s="11"/>
      <c r="E32" s="11"/>
      <c r="F32" s="26"/>
      <c r="G32" s="26"/>
      <c r="H32" s="35"/>
    </row>
    <row r="33" spans="1:8" x14ac:dyDescent="0.2">
      <c r="A33" s="767"/>
      <c r="B33" s="662"/>
      <c r="C33" s="26"/>
      <c r="D33" s="11"/>
      <c r="E33" s="11"/>
      <c r="F33" s="26"/>
      <c r="G33" s="26"/>
      <c r="H33" s="35"/>
    </row>
    <row r="34" spans="1:8" x14ac:dyDescent="0.2">
      <c r="A34" s="767"/>
      <c r="B34" s="662"/>
      <c r="C34" s="26"/>
      <c r="D34" s="11"/>
      <c r="E34" s="11"/>
      <c r="F34" s="26"/>
      <c r="G34" s="26"/>
      <c r="H34" s="35"/>
    </row>
    <row r="35" spans="1:8" x14ac:dyDescent="0.2">
      <c r="A35" s="767"/>
      <c r="B35" s="662"/>
      <c r="C35" s="26"/>
      <c r="D35" s="11"/>
      <c r="E35" s="11"/>
      <c r="F35" s="26"/>
      <c r="G35" s="26"/>
      <c r="H35" s="35"/>
    </row>
    <row r="36" spans="1:8" x14ac:dyDescent="0.2">
      <c r="A36" s="780"/>
      <c r="B36" s="802"/>
      <c r="C36" s="26"/>
      <c r="D36" s="11"/>
      <c r="E36" s="11"/>
      <c r="F36" s="26"/>
      <c r="G36" s="26"/>
      <c r="H36" s="35"/>
    </row>
    <row r="37" spans="1:8" x14ac:dyDescent="0.2">
      <c r="A37" s="773" t="s">
        <v>9</v>
      </c>
      <c r="B37" s="774"/>
      <c r="C37" s="774"/>
      <c r="D37" s="774"/>
      <c r="E37" s="774"/>
      <c r="F37" s="774"/>
      <c r="G37" s="15" t="s">
        <v>16</v>
      </c>
      <c r="H37" s="775"/>
    </row>
    <row r="38" spans="1:8" ht="25.5" x14ac:dyDescent="0.2">
      <c r="A38" s="16" t="s">
        <v>4</v>
      </c>
      <c r="B38" s="17" t="s">
        <v>5</v>
      </c>
      <c r="C38" s="17" t="s">
        <v>1</v>
      </c>
      <c r="D38" s="17" t="s">
        <v>6</v>
      </c>
      <c r="E38" s="18" t="s">
        <v>7</v>
      </c>
      <c r="F38" s="805" t="s">
        <v>17</v>
      </c>
      <c r="G38" s="805" t="s">
        <v>18</v>
      </c>
      <c r="H38" s="806" t="s">
        <v>19</v>
      </c>
    </row>
    <row r="39" spans="1:8" x14ac:dyDescent="0.2">
      <c r="A39" s="776" t="s">
        <v>702</v>
      </c>
      <c r="B39" s="757">
        <v>1</v>
      </c>
      <c r="C39" s="803" t="s">
        <v>366</v>
      </c>
      <c r="D39" s="777">
        <v>76.959999999999994</v>
      </c>
      <c r="E39" s="2">
        <f>B39*D39</f>
        <v>76.959999999999994</v>
      </c>
      <c r="F39" s="664" t="s">
        <v>703</v>
      </c>
      <c r="G39" s="664" t="s">
        <v>704</v>
      </c>
      <c r="H39" s="778">
        <v>1</v>
      </c>
    </row>
    <row r="40" spans="1:8" x14ac:dyDescent="0.2">
      <c r="A40" s="776" t="s">
        <v>705</v>
      </c>
      <c r="B40" s="1">
        <f>E18</f>
        <v>0.52349999999999997</v>
      </c>
      <c r="C40" s="803" t="s">
        <v>22</v>
      </c>
      <c r="D40" s="777">
        <v>98</v>
      </c>
      <c r="E40" s="2">
        <f>B40*D40</f>
        <v>51.302999999999997</v>
      </c>
      <c r="F40" s="664" t="s">
        <v>672</v>
      </c>
      <c r="G40" s="659" t="s">
        <v>673</v>
      </c>
      <c r="H40" s="779">
        <v>1</v>
      </c>
    </row>
    <row r="41" spans="1:8" x14ac:dyDescent="0.2">
      <c r="A41" s="776"/>
      <c r="B41" s="757"/>
      <c r="C41" s="803"/>
      <c r="D41" s="777"/>
      <c r="E41" s="2"/>
      <c r="F41" s="11"/>
      <c r="G41" s="11"/>
      <c r="H41" s="22"/>
    </row>
    <row r="42" spans="1:8" x14ac:dyDescent="0.2">
      <c r="A42" s="2"/>
      <c r="B42" s="1"/>
      <c r="C42" s="803"/>
      <c r="D42" s="11"/>
      <c r="E42" s="2"/>
      <c r="F42" s="11"/>
      <c r="G42" s="11"/>
      <c r="H42" s="22"/>
    </row>
    <row r="43" spans="1:8" ht="13.5" thickBot="1" x14ac:dyDescent="0.25">
      <c r="A43" s="25"/>
      <c r="B43" s="23"/>
      <c r="C43" s="24"/>
      <c r="D43" s="12"/>
      <c r="E43" s="12"/>
      <c r="F43" s="12"/>
      <c r="G43" s="12"/>
      <c r="H43" s="13"/>
    </row>
  </sheetData>
  <mergeCells count="17">
    <mergeCell ref="A1:C1"/>
    <mergeCell ref="D1:H1"/>
    <mergeCell ref="A2:C2"/>
    <mergeCell ref="D2:H2"/>
    <mergeCell ref="A3:A4"/>
    <mergeCell ref="B3:D4"/>
    <mergeCell ref="A5:H5"/>
    <mergeCell ref="A7:D7"/>
    <mergeCell ref="E7:H7"/>
    <mergeCell ref="C8:D8"/>
    <mergeCell ref="G8:H8"/>
    <mergeCell ref="A6:H6"/>
    <mergeCell ref="C9:D9"/>
    <mergeCell ref="G9:H9"/>
    <mergeCell ref="C10:D10"/>
    <mergeCell ref="G10:H10"/>
    <mergeCell ref="A12:H12"/>
  </mergeCells>
  <pageMargins left="0.25" right="0.25" top="0.75" bottom="0.75" header="0.3" footer="0.3"/>
  <pageSetup paperSize="9" scale="74" fitToHeight="0"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topLeftCell="A7" zoomScale="85" zoomScaleNormal="85" workbookViewId="0">
      <selection activeCell="C12" sqref="C1:C1048576"/>
    </sheetView>
  </sheetViews>
  <sheetFormatPr baseColWidth="10" defaultRowHeight="15" x14ac:dyDescent="0.25"/>
  <cols>
    <col min="1" max="1" width="40.28515625" style="76" customWidth="1"/>
    <col min="2" max="2" width="11.42578125" style="76"/>
    <col min="3" max="3" width="32.5703125" style="76" bestFit="1" customWidth="1"/>
    <col min="4" max="4" width="14.28515625" style="76" customWidth="1"/>
    <col min="5" max="5" width="21.85546875" style="76" customWidth="1"/>
    <col min="6" max="6" width="11.42578125" style="76"/>
    <col min="7" max="7" width="14.7109375" style="76" bestFit="1" customWidth="1"/>
    <col min="8" max="8" width="15.140625" style="76" bestFit="1" customWidth="1"/>
    <col min="9" max="11" width="11.42578125" style="76"/>
    <col min="12" max="12" width="20.85546875" style="76" customWidth="1"/>
    <col min="13" max="16384" width="11.42578125" style="76"/>
  </cols>
  <sheetData>
    <row r="1" spans="1:8" ht="15.75" x14ac:dyDescent="0.25">
      <c r="A1" s="1253" t="s">
        <v>12</v>
      </c>
      <c r="B1" s="1254"/>
      <c r="C1" s="1255"/>
      <c r="D1" s="1253" t="s">
        <v>13</v>
      </c>
      <c r="E1" s="1254"/>
      <c r="F1" s="1254"/>
      <c r="G1" s="1254"/>
      <c r="H1" s="1256"/>
    </row>
    <row r="2" spans="1:8" ht="45" customHeight="1" thickBot="1" x14ac:dyDescent="0.3">
      <c r="A2" s="1161" t="s">
        <v>548</v>
      </c>
      <c r="B2" s="1162"/>
      <c r="C2" s="1163"/>
      <c r="D2" s="1286" t="s">
        <v>748</v>
      </c>
      <c r="E2" s="1287"/>
      <c r="F2" s="1287"/>
      <c r="G2" s="1287"/>
      <c r="H2" s="1288"/>
    </row>
    <row r="3" spans="1:8" x14ac:dyDescent="0.25">
      <c r="A3" s="1260" t="s">
        <v>21</v>
      </c>
      <c r="B3" s="1262"/>
      <c r="C3" s="1263"/>
      <c r="D3" s="1264"/>
      <c r="E3" s="193" t="s">
        <v>0</v>
      </c>
      <c r="F3" s="193" t="s">
        <v>1</v>
      </c>
      <c r="G3" s="193" t="s">
        <v>2</v>
      </c>
      <c r="H3" s="192" t="s">
        <v>3</v>
      </c>
    </row>
    <row r="4" spans="1:8" ht="16.5" thickBot="1" x14ac:dyDescent="0.3">
      <c r="A4" s="1261"/>
      <c r="B4" s="1265"/>
      <c r="C4" s="1266"/>
      <c r="D4" s="1267"/>
      <c r="E4" s="190">
        <v>39</v>
      </c>
      <c r="F4" s="191" t="s">
        <v>73</v>
      </c>
      <c r="G4" s="190"/>
      <c r="H4" s="189"/>
    </row>
    <row r="5" spans="1:8" x14ac:dyDescent="0.25">
      <c r="A5" s="1242" t="s">
        <v>14</v>
      </c>
      <c r="B5" s="1243"/>
      <c r="C5" s="1243"/>
      <c r="D5" s="1243"/>
      <c r="E5" s="1243"/>
      <c r="F5" s="1243"/>
      <c r="G5" s="1243"/>
      <c r="H5" s="1244"/>
    </row>
    <row r="6" spans="1:8" ht="86.25" customHeight="1" x14ac:dyDescent="0.25">
      <c r="A6" s="1289" t="s">
        <v>443</v>
      </c>
      <c r="B6" s="1290"/>
      <c r="C6" s="1290"/>
      <c r="D6" s="1290"/>
      <c r="E6" s="1290"/>
      <c r="F6" s="1290"/>
      <c r="G6" s="1290"/>
      <c r="H6" s="1291"/>
    </row>
    <row r="7" spans="1:8" x14ac:dyDescent="0.25">
      <c r="A7" s="1245" t="s">
        <v>8</v>
      </c>
      <c r="B7" s="1246"/>
      <c r="C7" s="1246"/>
      <c r="D7" s="1246"/>
      <c r="E7" s="1246" t="s">
        <v>10</v>
      </c>
      <c r="F7" s="1246"/>
      <c r="G7" s="1246"/>
      <c r="H7" s="1247"/>
    </row>
    <row r="8" spans="1:8" ht="15.75" x14ac:dyDescent="0.25">
      <c r="A8" s="4" t="s">
        <v>4</v>
      </c>
      <c r="B8" s="5" t="s">
        <v>5</v>
      </c>
      <c r="C8" s="1181" t="s">
        <v>15</v>
      </c>
      <c r="D8" s="1181"/>
      <c r="E8" s="39" t="s">
        <v>4</v>
      </c>
      <c r="F8" s="5" t="s">
        <v>0</v>
      </c>
      <c r="G8" s="1181" t="s">
        <v>15</v>
      </c>
      <c r="H8" s="1182"/>
    </row>
    <row r="9" spans="1:8" x14ac:dyDescent="0.25">
      <c r="A9" s="793" t="s">
        <v>710</v>
      </c>
      <c r="B9" s="1">
        <v>1</v>
      </c>
      <c r="C9" s="1232" t="s">
        <v>681</v>
      </c>
      <c r="D9" s="1233"/>
      <c r="E9" s="762" t="s">
        <v>303</v>
      </c>
      <c r="F9" s="1">
        <v>2</v>
      </c>
      <c r="G9" s="1215"/>
      <c r="H9" s="1227"/>
    </row>
    <row r="10" spans="1:8" x14ac:dyDescent="0.25">
      <c r="A10" s="793" t="s">
        <v>711</v>
      </c>
      <c r="B10" s="1">
        <v>1</v>
      </c>
      <c r="C10" s="1232" t="s">
        <v>683</v>
      </c>
      <c r="D10" s="1233"/>
      <c r="E10" s="1" t="s">
        <v>707</v>
      </c>
      <c r="F10" s="1">
        <v>1</v>
      </c>
      <c r="G10" s="1228" t="s">
        <v>708</v>
      </c>
      <c r="H10" s="1229"/>
    </row>
    <row r="11" spans="1:8" x14ac:dyDescent="0.25">
      <c r="A11" s="794" t="s">
        <v>712</v>
      </c>
      <c r="B11" s="1">
        <v>1</v>
      </c>
      <c r="C11" s="1232" t="s">
        <v>709</v>
      </c>
      <c r="D11" s="1233"/>
      <c r="E11" s="1" t="s">
        <v>595</v>
      </c>
      <c r="F11" s="1">
        <v>1</v>
      </c>
      <c r="G11" s="1228" t="s">
        <v>596</v>
      </c>
      <c r="H11" s="1229"/>
    </row>
    <row r="12" spans="1:8" x14ac:dyDescent="0.25">
      <c r="A12" s="20"/>
      <c r="B12" s="1"/>
      <c r="C12" s="26"/>
      <c r="D12" s="26"/>
      <c r="E12" s="1"/>
      <c r="F12" s="1"/>
      <c r="G12" s="26"/>
      <c r="H12" s="35"/>
    </row>
    <row r="13" spans="1:8" x14ac:dyDescent="0.25">
      <c r="A13" s="31" t="s">
        <v>11</v>
      </c>
      <c r="B13" s="30"/>
      <c r="C13" s="30"/>
      <c r="D13" s="30"/>
      <c r="E13" s="30"/>
      <c r="F13" s="30"/>
      <c r="G13" s="30"/>
      <c r="H13" s="32"/>
    </row>
    <row r="14" spans="1:8" ht="105" customHeight="1" x14ac:dyDescent="0.25">
      <c r="A14" s="1206" t="s">
        <v>745</v>
      </c>
      <c r="B14" s="1207"/>
      <c r="C14" s="1207"/>
      <c r="D14" s="1207"/>
      <c r="E14" s="1207"/>
      <c r="F14" s="1207"/>
      <c r="G14" s="1207"/>
      <c r="H14" s="1208"/>
    </row>
    <row r="15" spans="1:8" ht="15.75" thickBot="1" x14ac:dyDescent="0.3">
      <c r="A15" s="277" t="s">
        <v>20</v>
      </c>
      <c r="B15" s="276"/>
      <c r="C15" s="276"/>
      <c r="D15" s="276"/>
      <c r="E15" s="276"/>
      <c r="F15" s="276"/>
      <c r="G15" s="29"/>
      <c r="H15" s="38"/>
    </row>
    <row r="16" spans="1:8" ht="15.75" thickBot="1" x14ac:dyDescent="0.3">
      <c r="A16" s="482" t="s">
        <v>268</v>
      </c>
      <c r="B16" s="484"/>
      <c r="C16" s="466" t="s">
        <v>267</v>
      </c>
      <c r="D16" s="467">
        <f>B31</f>
        <v>39</v>
      </c>
      <c r="E16" s="461"/>
      <c r="F16" s="467"/>
      <c r="G16" s="459"/>
      <c r="H16" s="371"/>
    </row>
    <row r="17" spans="1:12" ht="15.75" thickBot="1" x14ac:dyDescent="0.3">
      <c r="A17" s="480" t="s">
        <v>261</v>
      </c>
      <c r="B17" s="481">
        <f>0.8+0.4</f>
        <v>1.2000000000000002</v>
      </c>
      <c r="C17" s="462" t="s">
        <v>266</v>
      </c>
      <c r="D17" s="468">
        <v>0.1</v>
      </c>
      <c r="E17" s="482" t="s">
        <v>181</v>
      </c>
      <c r="F17" s="483"/>
      <c r="G17" s="459"/>
      <c r="H17" s="371"/>
    </row>
    <row r="18" spans="1:12" ht="25.5" x14ac:dyDescent="0.25">
      <c r="A18" s="462" t="s">
        <v>259</v>
      </c>
      <c r="B18" s="463">
        <f>1+0.4</f>
        <v>1.4</v>
      </c>
      <c r="C18" s="462" t="s">
        <v>265</v>
      </c>
      <c r="D18" s="463">
        <f>D17*B26*B30</f>
        <v>3.1200000000000006</v>
      </c>
      <c r="E18" s="480" t="s">
        <v>179</v>
      </c>
      <c r="F18" s="481">
        <v>8</v>
      </c>
      <c r="G18" s="459"/>
      <c r="H18" s="371"/>
    </row>
    <row r="19" spans="1:12" ht="26.25" thickBot="1" x14ac:dyDescent="0.3">
      <c r="A19" s="485" t="s">
        <v>257</v>
      </c>
      <c r="B19" s="486">
        <f>AVERAGE(B17:B18)</f>
        <v>1.3</v>
      </c>
      <c r="C19" s="462" t="s">
        <v>264</v>
      </c>
      <c r="D19" s="468">
        <v>0.1</v>
      </c>
      <c r="E19" s="462" t="s">
        <v>241</v>
      </c>
      <c r="F19" s="463">
        <f>F18*60*60</f>
        <v>28800</v>
      </c>
      <c r="G19" s="459"/>
      <c r="H19" s="371"/>
    </row>
    <row r="20" spans="1:12" ht="26.25" thickBot="1" x14ac:dyDescent="0.3">
      <c r="A20" s="482" t="s">
        <v>263</v>
      </c>
      <c r="B20" s="483"/>
      <c r="C20" s="462" t="s">
        <v>262</v>
      </c>
      <c r="D20" s="463">
        <f>(D19*B26*B30)-(3.14*B24/2/1000*B24/2/1000*B30)</f>
        <v>1.8954000000000006</v>
      </c>
      <c r="E20" s="462" t="s">
        <v>178</v>
      </c>
      <c r="F20" s="869">
        <f>B45+D32+D28+D41+F36</f>
        <v>5.3950617283950619E-2</v>
      </c>
      <c r="G20" s="459"/>
      <c r="H20" s="371"/>
    </row>
    <row r="21" spans="1:12" x14ac:dyDescent="0.25">
      <c r="A21" s="480" t="s">
        <v>261</v>
      </c>
      <c r="B21" s="481">
        <f>0.8+0.1</f>
        <v>0.9</v>
      </c>
      <c r="C21" s="462" t="s">
        <v>260</v>
      </c>
      <c r="D21" s="468">
        <f>B23-(D19+D17+D23)</f>
        <v>0.65000000000000013</v>
      </c>
      <c r="E21" s="462" t="s">
        <v>238</v>
      </c>
      <c r="F21" s="478">
        <f>F20/196</f>
        <v>2.7525825144872763E-4</v>
      </c>
      <c r="G21" s="459"/>
      <c r="H21" s="371"/>
    </row>
    <row r="22" spans="1:12" ht="15.75" thickBot="1" x14ac:dyDescent="0.3">
      <c r="A22" s="462" t="s">
        <v>259</v>
      </c>
      <c r="B22" s="463">
        <v>0.8</v>
      </c>
      <c r="C22" s="462" t="s">
        <v>258</v>
      </c>
      <c r="D22" s="463">
        <f>D21*B26*B30</f>
        <v>20.280000000000005</v>
      </c>
      <c r="E22" s="465" t="s">
        <v>175</v>
      </c>
      <c r="F22" s="479">
        <f>F20/F18</f>
        <v>6.7438271604938274E-3</v>
      </c>
      <c r="G22" s="459"/>
      <c r="H22" s="371"/>
      <c r="L22" s="355"/>
    </row>
    <row r="23" spans="1:12" x14ac:dyDescent="0.25">
      <c r="A23" s="462" t="s">
        <v>257</v>
      </c>
      <c r="B23" s="463">
        <f>AVERAGE(B21:B22)</f>
        <v>0.85000000000000009</v>
      </c>
      <c r="C23" s="462"/>
      <c r="D23" s="468"/>
      <c r="E23" s="466"/>
      <c r="F23" s="467"/>
      <c r="G23" s="459"/>
      <c r="H23" s="371"/>
      <c r="K23" s="366"/>
    </row>
    <row r="24" spans="1:12" ht="15.75" thickBot="1" x14ac:dyDescent="0.3">
      <c r="A24" s="788" t="s">
        <v>256</v>
      </c>
      <c r="B24" s="789">
        <v>200</v>
      </c>
      <c r="C24" s="465"/>
      <c r="D24" s="469"/>
      <c r="E24" s="485"/>
      <c r="F24" s="486"/>
      <c r="G24" s="459"/>
      <c r="H24" s="371"/>
    </row>
    <row r="25" spans="1:12" ht="15.75" thickBot="1" x14ac:dyDescent="0.3">
      <c r="A25" s="790" t="s">
        <v>706</v>
      </c>
      <c r="B25" s="791">
        <f>IF(B24&lt;=599,30,60)</f>
        <v>30</v>
      </c>
      <c r="C25" s="461" t="s">
        <v>255</v>
      </c>
      <c r="D25" s="467"/>
      <c r="E25" s="482"/>
      <c r="F25" s="483"/>
      <c r="G25" s="459"/>
      <c r="H25" s="371"/>
    </row>
    <row r="26" spans="1:12" x14ac:dyDescent="0.25">
      <c r="A26" s="792" t="s">
        <v>231</v>
      </c>
      <c r="B26" s="789">
        <f>B24/1000+B25*2/100+B28*2/100</f>
        <v>0.8</v>
      </c>
      <c r="C26" s="462" t="s">
        <v>254</v>
      </c>
      <c r="D26" s="463">
        <v>0.8</v>
      </c>
      <c r="E26" s="490"/>
      <c r="F26" s="481"/>
      <c r="G26" s="459"/>
      <c r="H26" s="371"/>
    </row>
    <row r="27" spans="1:12" x14ac:dyDescent="0.25">
      <c r="A27" s="790" t="s">
        <v>253</v>
      </c>
      <c r="B27" s="791" t="b">
        <v>0</v>
      </c>
      <c r="C27" s="462" t="s">
        <v>239</v>
      </c>
      <c r="D27" s="463">
        <f>ROUNDUP(D18/D26,0)</f>
        <v>4</v>
      </c>
      <c r="E27" s="462"/>
      <c r="F27" s="463"/>
      <c r="G27" s="459"/>
      <c r="H27" s="371"/>
    </row>
    <row r="28" spans="1:12" ht="15.75" thickBot="1" x14ac:dyDescent="0.3">
      <c r="A28" s="788" t="s">
        <v>252</v>
      </c>
      <c r="B28" s="789"/>
      <c r="C28" s="465" t="s">
        <v>251</v>
      </c>
      <c r="D28" s="488">
        <f>B30*D27/3600/24</f>
        <v>1.8055555555555557E-3</v>
      </c>
      <c r="E28" s="462"/>
      <c r="F28" s="463"/>
      <c r="G28" s="459"/>
      <c r="H28" s="371"/>
    </row>
    <row r="29" spans="1:12" ht="25.5" x14ac:dyDescent="0.25">
      <c r="A29" s="788" t="s">
        <v>718</v>
      </c>
      <c r="B29" s="789">
        <f>ROUNDUP(B30/3,0)</f>
        <v>13</v>
      </c>
      <c r="C29" s="461" t="s">
        <v>249</v>
      </c>
      <c r="D29" s="467" t="s">
        <v>112</v>
      </c>
      <c r="E29" s="462"/>
      <c r="F29" s="470"/>
      <c r="G29" s="459"/>
      <c r="H29" s="371"/>
    </row>
    <row r="30" spans="1:12" ht="25.5" x14ac:dyDescent="0.25">
      <c r="A30" s="464" t="s">
        <v>250</v>
      </c>
      <c r="B30" s="463">
        <v>39</v>
      </c>
      <c r="C30" s="462" t="s">
        <v>248</v>
      </c>
      <c r="D30" s="463">
        <v>10</v>
      </c>
      <c r="E30" s="462"/>
      <c r="F30" s="470"/>
      <c r="G30" s="459"/>
      <c r="H30" s="371"/>
    </row>
    <row r="31" spans="1:12" ht="15.75" thickBot="1" x14ac:dyDescent="0.3">
      <c r="A31" s="485" t="s">
        <v>60</v>
      </c>
      <c r="B31" s="487">
        <v>39</v>
      </c>
      <c r="C31" s="462" t="s">
        <v>246</v>
      </c>
      <c r="D31" s="470">
        <f>B30*B26*D30/3600/24</f>
        <v>3.6111111111111114E-3</v>
      </c>
      <c r="E31" s="462"/>
      <c r="F31" s="463"/>
      <c r="G31" s="459"/>
      <c r="H31" s="371"/>
    </row>
    <row r="32" spans="1:12" ht="15.75" thickBot="1" x14ac:dyDescent="0.3">
      <c r="A32" s="482" t="s">
        <v>247</v>
      </c>
      <c r="B32" s="483"/>
      <c r="C32" s="465" t="s">
        <v>245</v>
      </c>
      <c r="D32" s="488">
        <f>D31*B42</f>
        <v>4.8148148148148152E-3</v>
      </c>
      <c r="E32" s="462"/>
      <c r="F32" s="463"/>
      <c r="G32" s="371"/>
      <c r="H32" s="371"/>
    </row>
    <row r="33" spans="1:10" ht="15.75" thickBot="1" x14ac:dyDescent="0.3">
      <c r="A33" s="466" t="s">
        <v>26</v>
      </c>
      <c r="B33" s="467">
        <v>800</v>
      </c>
      <c r="C33" s="865" t="s">
        <v>244</v>
      </c>
      <c r="D33" s="782"/>
      <c r="E33" s="462"/>
      <c r="F33" s="470"/>
      <c r="G33" s="459"/>
      <c r="H33" s="371"/>
    </row>
    <row r="34" spans="1:10" ht="39" x14ac:dyDescent="0.25">
      <c r="A34" s="462" t="s">
        <v>27</v>
      </c>
      <c r="B34" s="463">
        <f>B33/1000</f>
        <v>0.8</v>
      </c>
      <c r="C34" s="866" t="s">
        <v>243</v>
      </c>
      <c r="D34" s="784">
        <f>3/60/24</f>
        <v>2.0833333333333333E-3</v>
      </c>
      <c r="E34" s="462"/>
      <c r="F34" s="468"/>
      <c r="G34" s="459"/>
      <c r="H34" s="371"/>
    </row>
    <row r="35" spans="1:10" ht="27" thickBot="1" x14ac:dyDescent="0.3">
      <c r="A35" s="462" t="s">
        <v>69</v>
      </c>
      <c r="B35" s="463">
        <f>ROUNDUP(B31/B34,0)</f>
        <v>49</v>
      </c>
      <c r="C35" s="867" t="s">
        <v>242</v>
      </c>
      <c r="D35" s="786">
        <f>D34*8/6</f>
        <v>2.7777777777777779E-3</v>
      </c>
      <c r="E35" s="462"/>
      <c r="F35" s="470"/>
      <c r="G35" s="459"/>
      <c r="H35" s="371"/>
    </row>
    <row r="36" spans="1:10" ht="15.75" thickBot="1" x14ac:dyDescent="0.3">
      <c r="A36" s="462" t="s">
        <v>29</v>
      </c>
      <c r="B36" s="463">
        <v>10</v>
      </c>
      <c r="C36" s="334" t="s">
        <v>345</v>
      </c>
      <c r="D36" s="787">
        <f>D35*B29</f>
        <v>3.6111111111111115E-2</v>
      </c>
      <c r="E36" s="465"/>
      <c r="F36" s="491"/>
      <c r="G36" s="372"/>
      <c r="H36" s="371"/>
    </row>
    <row r="37" spans="1:10" x14ac:dyDescent="0.25">
      <c r="A37" s="462" t="s">
        <v>30</v>
      </c>
      <c r="B37" s="463">
        <v>4</v>
      </c>
      <c r="C37" s="863" t="s">
        <v>240</v>
      </c>
      <c r="D37" s="467"/>
      <c r="E37" s="863"/>
      <c r="F37" s="473"/>
      <c r="G37" s="459"/>
      <c r="H37" s="371"/>
    </row>
    <row r="38" spans="1:10" ht="15.75" thickBot="1" x14ac:dyDescent="0.3">
      <c r="A38" s="462" t="s">
        <v>31</v>
      </c>
      <c r="B38" s="463">
        <v>4</v>
      </c>
      <c r="C38" s="459" t="s">
        <v>239</v>
      </c>
      <c r="D38" s="463">
        <f>ROUNDUP(D20/D26,0)</f>
        <v>3</v>
      </c>
      <c r="E38" s="864"/>
      <c r="F38" s="488"/>
      <c r="G38" s="459"/>
      <c r="H38" s="371"/>
    </row>
    <row r="39" spans="1:10" x14ac:dyDescent="0.25">
      <c r="A39" s="462" t="s">
        <v>32</v>
      </c>
      <c r="B39" s="463">
        <v>4</v>
      </c>
      <c r="C39" s="459" t="s">
        <v>237</v>
      </c>
      <c r="D39" s="470">
        <f>60/3*B30*D38/3600/24</f>
        <v>2.7083333333333334E-2</v>
      </c>
      <c r="E39" s="476"/>
      <c r="F39" s="477"/>
      <c r="G39" s="371"/>
      <c r="H39" s="371"/>
    </row>
    <row r="40" spans="1:10" x14ac:dyDescent="0.25">
      <c r="A40" s="462" t="s">
        <v>35</v>
      </c>
      <c r="B40" s="463">
        <f>SUM(B36:B39)</f>
        <v>22</v>
      </c>
      <c r="C40" s="459" t="s">
        <v>236</v>
      </c>
      <c r="D40" s="470">
        <f>D31</f>
        <v>3.6111111111111114E-3</v>
      </c>
      <c r="E40"/>
      <c r="F40"/>
      <c r="G40" s="371"/>
      <c r="H40" s="371"/>
    </row>
    <row r="41" spans="1:10" ht="15.75" thickBot="1" x14ac:dyDescent="0.3">
      <c r="A41" s="462" t="s">
        <v>64</v>
      </c>
      <c r="B41" s="463">
        <f>60/80</f>
        <v>0.75</v>
      </c>
      <c r="C41" s="864" t="s">
        <v>102</v>
      </c>
      <c r="D41" s="492">
        <f>D39+D40</f>
        <v>3.0694444444444444E-2</v>
      </c>
      <c r="E41"/>
      <c r="F41"/>
      <c r="G41" s="371"/>
      <c r="H41" s="371"/>
    </row>
    <row r="42" spans="1:10" x14ac:dyDescent="0.25">
      <c r="A42" s="464" t="s">
        <v>65</v>
      </c>
      <c r="B42" s="463">
        <f>80/60</f>
        <v>1.3333333333333333</v>
      </c>
      <c r="C42"/>
      <c r="D42"/>
      <c r="E42"/>
      <c r="F42"/>
      <c r="G42" s="371"/>
      <c r="H42" s="371"/>
    </row>
    <row r="43" spans="1:10" x14ac:dyDescent="0.25">
      <c r="A43" s="462" t="s">
        <v>34</v>
      </c>
      <c r="B43" s="463">
        <f>B40*B42</f>
        <v>29.333333333333332</v>
      </c>
      <c r="C43"/>
      <c r="D43"/>
      <c r="E43"/>
      <c r="F43"/>
      <c r="G43" s="371"/>
      <c r="H43" s="371"/>
      <c r="J43" s="366"/>
    </row>
    <row r="44" spans="1:10" x14ac:dyDescent="0.25">
      <c r="A44" s="462" t="s">
        <v>235</v>
      </c>
      <c r="B44" s="868">
        <f>B43*B35</f>
        <v>1437.3333333333333</v>
      </c>
      <c r="C44"/>
      <c r="D44"/>
      <c r="E44"/>
      <c r="F44"/>
      <c r="G44" s="371"/>
      <c r="H44" s="371"/>
    </row>
    <row r="45" spans="1:10" ht="15.75" thickBot="1" x14ac:dyDescent="0.3">
      <c r="A45" s="465" t="s">
        <v>344</v>
      </c>
      <c r="B45" s="488">
        <f>B44/3600/24</f>
        <v>1.6635802469135801E-2</v>
      </c>
      <c r="C45"/>
      <c r="D45"/>
      <c r="E45"/>
      <c r="F45"/>
      <c r="G45" s="371"/>
      <c r="H45" s="371"/>
    </row>
    <row r="46" spans="1:10" x14ac:dyDescent="0.25">
      <c r="A46" s="460"/>
      <c r="B46" s="472"/>
      <c r="C46"/>
      <c r="D46"/>
      <c r="E46" s="459"/>
      <c r="F46" s="371"/>
      <c r="G46" s="371"/>
      <c r="H46" s="371"/>
    </row>
    <row r="47" spans="1:10" x14ac:dyDescent="0.25">
      <c r="A47" s="860" t="s">
        <v>9</v>
      </c>
      <c r="B47" s="861"/>
      <c r="C47" s="862"/>
      <c r="D47" s="861"/>
      <c r="E47" s="1230" t="s">
        <v>16</v>
      </c>
      <c r="F47" s="1230"/>
      <c r="G47" s="1230"/>
      <c r="H47" s="1231"/>
    </row>
    <row r="48" spans="1:10" x14ac:dyDescent="0.25">
      <c r="A48" s="848" t="s">
        <v>4</v>
      </c>
      <c r="B48" s="849" t="s">
        <v>5</v>
      </c>
      <c r="C48" s="850" t="s">
        <v>1</v>
      </c>
      <c r="D48" s="849" t="s">
        <v>6</v>
      </c>
      <c r="E48" s="851" t="s">
        <v>7</v>
      </c>
      <c r="F48" s="852" t="s">
        <v>17</v>
      </c>
      <c r="G48" s="852" t="s">
        <v>18</v>
      </c>
      <c r="H48" s="853" t="s">
        <v>19</v>
      </c>
    </row>
    <row r="49" spans="1:8" x14ac:dyDescent="0.25">
      <c r="A49" s="854" t="s">
        <v>746</v>
      </c>
      <c r="B49" s="855">
        <v>40</v>
      </c>
      <c r="C49" s="855" t="s">
        <v>73</v>
      </c>
      <c r="D49" s="856">
        <v>7.41</v>
      </c>
      <c r="E49" s="857">
        <f>B49*D49</f>
        <v>296.39999999999998</v>
      </c>
      <c r="F49" s="858" t="s">
        <v>677</v>
      </c>
      <c r="G49" s="858" t="s">
        <v>747</v>
      </c>
      <c r="H49" s="859"/>
    </row>
    <row r="50" spans="1:8" x14ac:dyDescent="0.25">
      <c r="A50" s="859" t="s">
        <v>1003</v>
      </c>
      <c r="B50" s="859">
        <f>D18+D20</f>
        <v>5.0154000000000014</v>
      </c>
      <c r="C50" s="859"/>
      <c r="D50" s="859"/>
      <c r="E50" s="859"/>
      <c r="F50" s="859"/>
      <c r="G50" s="859"/>
      <c r="H50" s="859"/>
    </row>
  </sheetData>
  <mergeCells count="20">
    <mergeCell ref="A5:H5"/>
    <mergeCell ref="A7:D7"/>
    <mergeCell ref="E7:H7"/>
    <mergeCell ref="C8:D8"/>
    <mergeCell ref="G8:H8"/>
    <mergeCell ref="A6:H6"/>
    <mergeCell ref="A1:C1"/>
    <mergeCell ref="D1:H1"/>
    <mergeCell ref="A2:C2"/>
    <mergeCell ref="D2:H2"/>
    <mergeCell ref="A3:A4"/>
    <mergeCell ref="B3:D4"/>
    <mergeCell ref="C9:D9"/>
    <mergeCell ref="C10:D10"/>
    <mergeCell ref="C11:D11"/>
    <mergeCell ref="A14:H14"/>
    <mergeCell ref="E47:H47"/>
    <mergeCell ref="G9:H9"/>
    <mergeCell ref="G10:H10"/>
    <mergeCell ref="G11:H11"/>
  </mergeCells>
  <pageMargins left="0.25" right="0.25" top="0.75" bottom="0.75" header="0.3" footer="0.3"/>
  <pageSetup paperSize="9" scale="62"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1"/>
  <sheetViews>
    <sheetView workbookViewId="0">
      <selection activeCell="B40" sqref="B40"/>
    </sheetView>
  </sheetViews>
  <sheetFormatPr baseColWidth="10" defaultRowHeight="12.75" x14ac:dyDescent="0.2"/>
  <cols>
    <col min="1" max="1" width="26.85546875" customWidth="1"/>
    <col min="2" max="2" width="11" bestFit="1" customWidth="1"/>
    <col min="3" max="3" width="5.140625" bestFit="1" customWidth="1"/>
    <col min="4" max="4" width="19.5703125" bestFit="1" customWidth="1"/>
    <col min="6" max="6" width="8.28515625" bestFit="1" customWidth="1"/>
    <col min="7" max="7" width="9.5703125" bestFit="1" customWidth="1"/>
    <col min="8" max="8" width="8.5703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164" t="s">
        <v>445</v>
      </c>
      <c r="E2" s="1165"/>
      <c r="F2" s="1165"/>
      <c r="G2" s="1165"/>
      <c r="H2" s="1166"/>
    </row>
    <row r="3" spans="1:8" x14ac:dyDescent="0.2">
      <c r="A3" s="1167" t="s">
        <v>21</v>
      </c>
      <c r="B3" s="1169"/>
      <c r="C3" s="1170"/>
      <c r="D3" s="1171"/>
      <c r="E3" s="6" t="s">
        <v>0</v>
      </c>
      <c r="F3" s="6" t="s">
        <v>1</v>
      </c>
      <c r="G3" s="6" t="s">
        <v>2</v>
      </c>
      <c r="H3" s="7" t="s">
        <v>3</v>
      </c>
    </row>
    <row r="4" spans="1:8" ht="16.5" thickBot="1" x14ac:dyDescent="0.25">
      <c r="A4" s="1168"/>
      <c r="B4" s="1172"/>
      <c r="C4" s="1173"/>
      <c r="D4" s="1174"/>
      <c r="E4" s="8">
        <v>1</v>
      </c>
      <c r="F4" s="70" t="s">
        <v>444</v>
      </c>
      <c r="G4" s="8"/>
      <c r="H4" s="8"/>
    </row>
    <row r="5" spans="1:8" x14ac:dyDescent="0.2">
      <c r="A5" s="1175" t="s">
        <v>14</v>
      </c>
      <c r="B5" s="1176"/>
      <c r="C5" s="1176"/>
      <c r="D5" s="1176"/>
      <c r="E5" s="1176"/>
      <c r="F5" s="1176"/>
      <c r="G5" s="1176"/>
      <c r="H5" s="1177"/>
    </row>
    <row r="6" spans="1:8" ht="105" customHeight="1" x14ac:dyDescent="0.2">
      <c r="A6" s="1284" t="s">
        <v>442</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25.5" customHeight="1" x14ac:dyDescent="0.2">
      <c r="A9" s="367" t="s">
        <v>340</v>
      </c>
      <c r="B9" s="368">
        <v>1</v>
      </c>
      <c r="C9" s="1292" t="s">
        <v>750</v>
      </c>
      <c r="D9" s="1293"/>
      <c r="E9" s="339" t="s">
        <v>341</v>
      </c>
      <c r="F9" s="368">
        <v>1</v>
      </c>
      <c r="G9" s="1294" t="s">
        <v>310</v>
      </c>
      <c r="H9" s="1294"/>
    </row>
    <row r="10" spans="1:8" ht="31.5" customHeight="1" x14ac:dyDescent="0.2">
      <c r="A10" s="20"/>
      <c r="B10" s="1"/>
      <c r="C10" s="26"/>
      <c r="D10" s="26"/>
      <c r="E10" s="1" t="s">
        <v>303</v>
      </c>
      <c r="F10" s="1">
        <v>1</v>
      </c>
      <c r="G10" s="1295" t="s">
        <v>751</v>
      </c>
      <c r="H10" s="1296"/>
    </row>
    <row r="11" spans="1:8" ht="14.25" x14ac:dyDescent="0.2">
      <c r="A11" s="31" t="s">
        <v>11</v>
      </c>
      <c r="B11" s="30"/>
      <c r="C11" s="30"/>
      <c r="D11" s="30"/>
      <c r="E11" s="30"/>
      <c r="F11" s="30"/>
      <c r="G11" s="30"/>
      <c r="H11" s="32"/>
    </row>
    <row r="12" spans="1:8" x14ac:dyDescent="0.2">
      <c r="A12" s="1284" t="s">
        <v>413</v>
      </c>
      <c r="B12" s="1285"/>
      <c r="C12" s="1285"/>
      <c r="D12" s="1285"/>
      <c r="E12" s="1285"/>
      <c r="F12" s="1285"/>
      <c r="G12" s="1285"/>
      <c r="H12" s="1195"/>
    </row>
    <row r="13" spans="1:8" ht="14.25" x14ac:dyDescent="0.2">
      <c r="A13" s="31" t="s">
        <v>20</v>
      </c>
      <c r="B13" s="29"/>
      <c r="C13" s="29"/>
      <c r="D13" s="29"/>
      <c r="E13" s="29"/>
      <c r="F13" s="29"/>
      <c r="G13" s="29"/>
      <c r="H13" s="38"/>
    </row>
    <row r="14" spans="1:8" x14ac:dyDescent="0.2">
      <c r="A14" s="61" t="s">
        <v>25</v>
      </c>
      <c r="B14" s="62" t="s">
        <v>0</v>
      </c>
      <c r="C14" s="28"/>
      <c r="D14" s="61" t="s">
        <v>25</v>
      </c>
      <c r="E14" s="62" t="s">
        <v>0</v>
      </c>
      <c r="F14" s="28"/>
      <c r="G14" s="28"/>
      <c r="H14" s="33"/>
    </row>
    <row r="15" spans="1:8" ht="15.75" x14ac:dyDescent="0.25">
      <c r="A15" s="871" t="s">
        <v>738</v>
      </c>
      <c r="B15" s="871"/>
      <c r="C15" s="521"/>
      <c r="D15" s="133" t="s">
        <v>102</v>
      </c>
      <c r="E15" s="132">
        <f>B28+B32+B33</f>
        <v>3.5763888888888885E-3</v>
      </c>
      <c r="F15" s="28"/>
      <c r="G15" s="28"/>
      <c r="H15" s="33"/>
    </row>
    <row r="16" spans="1:8" ht="15" x14ac:dyDescent="0.25">
      <c r="A16" s="659" t="s">
        <v>378</v>
      </c>
      <c r="B16" s="842">
        <v>1</v>
      </c>
      <c r="C16" s="26"/>
      <c r="D16" s="626" t="s">
        <v>99</v>
      </c>
      <c r="E16" s="872">
        <f>8/5</f>
        <v>1.6</v>
      </c>
      <c r="F16" s="26"/>
      <c r="G16" s="26"/>
      <c r="H16" s="35"/>
    </row>
    <row r="17" spans="1:8" ht="15.75" x14ac:dyDescent="0.25">
      <c r="A17" s="664" t="s">
        <v>739</v>
      </c>
      <c r="B17" s="795">
        <v>1.2</v>
      </c>
      <c r="C17" s="26"/>
      <c r="D17" s="133" t="s">
        <v>97</v>
      </c>
      <c r="E17" s="132">
        <f>E15*E16</f>
        <v>5.7222222222222223E-3</v>
      </c>
      <c r="F17" s="26"/>
      <c r="G17" s="26"/>
      <c r="H17" s="35"/>
    </row>
    <row r="18" spans="1:8" ht="15" x14ac:dyDescent="0.25">
      <c r="A18" s="664" t="s">
        <v>202</v>
      </c>
      <c r="B18" s="795">
        <v>0.8</v>
      </c>
      <c r="C18" s="26"/>
      <c r="D18" s="130"/>
      <c r="E18" s="873"/>
      <c r="F18" s="26"/>
      <c r="G18" s="26"/>
      <c r="H18" s="35"/>
    </row>
    <row r="19" spans="1:8" x14ac:dyDescent="0.2">
      <c r="A19" s="870" t="s">
        <v>740</v>
      </c>
      <c r="B19" s="844"/>
      <c r="C19" s="26"/>
      <c r="D19" s="836"/>
      <c r="E19" s="843"/>
      <c r="F19" s="26"/>
      <c r="G19" s="26"/>
      <c r="H19" s="35"/>
    </row>
    <row r="20" spans="1:8" x14ac:dyDescent="0.2">
      <c r="A20" s="664" t="s">
        <v>741</v>
      </c>
      <c r="B20" s="764">
        <v>1.5</v>
      </c>
      <c r="C20" s="26"/>
      <c r="D20" s="26"/>
      <c r="E20" s="26"/>
      <c r="F20" s="26"/>
      <c r="G20" s="26"/>
      <c r="H20" s="35"/>
    </row>
    <row r="21" spans="1:8" x14ac:dyDescent="0.2">
      <c r="A21" s="659" t="s">
        <v>202</v>
      </c>
      <c r="B21" s="764">
        <v>1</v>
      </c>
      <c r="C21" s="26"/>
      <c r="D21" s="26"/>
      <c r="E21" s="26"/>
      <c r="F21" s="26"/>
      <c r="G21" s="26"/>
      <c r="H21" s="35"/>
    </row>
    <row r="22" spans="1:8" x14ac:dyDescent="0.2">
      <c r="A22" s="664" t="s">
        <v>720</v>
      </c>
      <c r="B22" s="662">
        <v>0.1</v>
      </c>
      <c r="C22" s="26"/>
      <c r="D22" s="26"/>
      <c r="E22" s="26"/>
      <c r="F22" s="26"/>
      <c r="G22" s="26"/>
      <c r="H22" s="35"/>
    </row>
    <row r="23" spans="1:8" x14ac:dyDescent="0.2">
      <c r="A23" s="664" t="s">
        <v>302</v>
      </c>
      <c r="B23" s="662">
        <f>B20*B21</f>
        <v>1.5</v>
      </c>
      <c r="C23" s="26"/>
      <c r="D23" s="26"/>
      <c r="E23" s="26"/>
      <c r="F23" s="26"/>
      <c r="G23" s="26"/>
      <c r="H23" s="35"/>
    </row>
    <row r="24" spans="1:8" ht="13.5" thickBot="1" x14ac:dyDescent="0.25">
      <c r="A24" s="664" t="s">
        <v>22</v>
      </c>
      <c r="B24" s="662">
        <f>B20*B21*B22</f>
        <v>0.15000000000000002</v>
      </c>
      <c r="C24" s="26"/>
      <c r="D24" s="26"/>
      <c r="E24" s="26"/>
      <c r="F24" s="26"/>
      <c r="G24" s="26"/>
      <c r="H24" s="35"/>
    </row>
    <row r="25" spans="1:8" ht="15.75" thickBot="1" x14ac:dyDescent="0.3">
      <c r="A25" s="727" t="s">
        <v>752</v>
      </c>
      <c r="B25" s="721"/>
      <c r="C25" s="26"/>
      <c r="D25" s="26"/>
      <c r="E25" s="26"/>
      <c r="F25" s="26"/>
      <c r="G25" s="26"/>
      <c r="H25" s="35"/>
    </row>
    <row r="26" spans="1:8" ht="15" x14ac:dyDescent="0.25">
      <c r="A26" s="728" t="s">
        <v>137</v>
      </c>
      <c r="B26" s="729">
        <v>3</v>
      </c>
      <c r="C26" s="26"/>
      <c r="D26" s="26"/>
      <c r="E26" s="26"/>
      <c r="F26" s="26"/>
      <c r="G26" s="26"/>
      <c r="H26" s="35"/>
    </row>
    <row r="27" spans="1:8" x14ac:dyDescent="0.2">
      <c r="A27" s="574" t="s">
        <v>124</v>
      </c>
      <c r="B27" s="730">
        <f>B26*B20</f>
        <v>4.5</v>
      </c>
      <c r="C27" s="26"/>
      <c r="D27" s="26"/>
      <c r="E27" s="26"/>
      <c r="F27" s="26"/>
      <c r="G27" s="26"/>
      <c r="H27" s="35"/>
    </row>
    <row r="28" spans="1:8" ht="15.75" thickBot="1" x14ac:dyDescent="0.3">
      <c r="A28" s="725" t="s">
        <v>77</v>
      </c>
      <c r="B28" s="726">
        <f>B27/3600/24</f>
        <v>5.2083333333333337E-5</v>
      </c>
      <c r="C28" s="26"/>
      <c r="D28" s="26"/>
      <c r="E28" s="26"/>
      <c r="F28" s="26"/>
      <c r="G28" s="26"/>
      <c r="H28" s="35"/>
    </row>
    <row r="29" spans="1:8" ht="15.75" thickBot="1" x14ac:dyDescent="0.3">
      <c r="A29" s="727" t="s">
        <v>753</v>
      </c>
      <c r="B29" s="721"/>
      <c r="C29" s="26"/>
      <c r="D29" s="26"/>
      <c r="E29" s="26"/>
      <c r="F29" s="26"/>
      <c r="G29" s="26"/>
      <c r="H29" s="35"/>
    </row>
    <row r="30" spans="1:8" ht="15" x14ac:dyDescent="0.25">
      <c r="A30" s="728" t="s">
        <v>127</v>
      </c>
      <c r="B30" s="729">
        <v>3</v>
      </c>
      <c r="C30" s="26"/>
      <c r="D30" s="26"/>
      <c r="E30" s="26"/>
      <c r="F30" s="26"/>
      <c r="G30" s="26"/>
      <c r="H30" s="35"/>
    </row>
    <row r="31" spans="1:8" ht="15" x14ac:dyDescent="0.25">
      <c r="A31" s="574" t="s">
        <v>124</v>
      </c>
      <c r="B31" s="724">
        <f>B30*B20</f>
        <v>4.5</v>
      </c>
      <c r="C31" s="26"/>
      <c r="D31" s="26"/>
      <c r="E31" s="26"/>
      <c r="F31" s="26"/>
      <c r="G31" s="26"/>
      <c r="H31" s="35"/>
    </row>
    <row r="32" spans="1:8" ht="15" x14ac:dyDescent="0.25">
      <c r="A32" s="725" t="s">
        <v>77</v>
      </c>
      <c r="B32" s="726">
        <f>B31/3600/24</f>
        <v>5.2083333333333337E-5</v>
      </c>
      <c r="C32" s="26"/>
      <c r="D32" s="26"/>
      <c r="E32" s="26"/>
      <c r="F32" s="26"/>
      <c r="G32" s="26"/>
      <c r="H32" s="35"/>
    </row>
    <row r="33" spans="1:8" x14ac:dyDescent="0.2">
      <c r="A33" s="51" t="s">
        <v>754</v>
      </c>
      <c r="B33" s="370">
        <f>300/3600/24</f>
        <v>3.472222222222222E-3</v>
      </c>
      <c r="C33" s="26"/>
      <c r="D33" s="26"/>
      <c r="E33" s="26"/>
      <c r="F33" s="26"/>
      <c r="G33" s="26"/>
      <c r="H33" s="35"/>
    </row>
    <row r="34" spans="1:8" x14ac:dyDescent="0.2">
      <c r="A34" s="63"/>
      <c r="B34" s="64"/>
      <c r="C34" s="26"/>
      <c r="D34" s="26"/>
      <c r="E34" s="26"/>
      <c r="F34" s="26"/>
      <c r="G34" s="26"/>
      <c r="H34" s="35"/>
    </row>
    <row r="35" spans="1:8" x14ac:dyDescent="0.2">
      <c r="A35" s="63"/>
      <c r="B35" s="69"/>
      <c r="C35" s="26"/>
      <c r="D35" s="26"/>
      <c r="E35" s="26"/>
      <c r="F35" s="26"/>
      <c r="G35" s="26"/>
      <c r="H35" s="35"/>
    </row>
    <row r="36" spans="1:8" x14ac:dyDescent="0.2">
      <c r="A36" s="34"/>
      <c r="B36" s="26"/>
      <c r="C36" s="26"/>
      <c r="D36" s="26"/>
      <c r="E36" s="26"/>
      <c r="F36" s="26"/>
      <c r="H36" s="35"/>
    </row>
    <row r="37" spans="1:8" x14ac:dyDescent="0.2">
      <c r="A37" s="34"/>
      <c r="B37" s="26"/>
      <c r="C37" s="26"/>
      <c r="D37" s="26"/>
      <c r="E37" s="26"/>
      <c r="F37" s="26"/>
      <c r="G37" s="26"/>
      <c r="H37" s="35"/>
    </row>
    <row r="38" spans="1:8" x14ac:dyDescent="0.2">
      <c r="A38" s="14" t="s">
        <v>9</v>
      </c>
      <c r="B38" s="15"/>
      <c r="C38" s="15"/>
      <c r="D38" s="15"/>
      <c r="E38" s="15"/>
      <c r="F38" s="1155" t="s">
        <v>16</v>
      </c>
      <c r="G38" s="1155"/>
      <c r="H38" s="1156"/>
    </row>
    <row r="39" spans="1:8" ht="25.5" x14ac:dyDescent="0.2">
      <c r="A39" s="16" t="s">
        <v>4</v>
      </c>
      <c r="B39" s="17" t="s">
        <v>5</v>
      </c>
      <c r="C39" s="17" t="s">
        <v>1</v>
      </c>
      <c r="D39" s="17" t="s">
        <v>6</v>
      </c>
      <c r="E39" s="18" t="s">
        <v>7</v>
      </c>
      <c r="F39" s="19" t="s">
        <v>17</v>
      </c>
      <c r="G39" s="19" t="s">
        <v>18</v>
      </c>
      <c r="H39" s="21" t="s">
        <v>19</v>
      </c>
    </row>
    <row r="40" spans="1:8" x14ac:dyDescent="0.2">
      <c r="A40" s="776" t="s">
        <v>755</v>
      </c>
      <c r="B40" s="757">
        <f>B24*1.2</f>
        <v>0.18000000000000002</v>
      </c>
      <c r="C40" s="803" t="s">
        <v>319</v>
      </c>
      <c r="D40" s="777">
        <v>18</v>
      </c>
      <c r="E40" s="2">
        <f>D40*B40</f>
        <v>3.24</v>
      </c>
      <c r="F40" s="664" t="s">
        <v>756</v>
      </c>
      <c r="G40" s="664" t="s">
        <v>757</v>
      </c>
      <c r="H40" s="22"/>
    </row>
    <row r="41" spans="1:8" ht="13.5" thickBot="1" x14ac:dyDescent="0.25">
      <c r="A41" s="776" t="s">
        <v>738</v>
      </c>
      <c r="B41" s="1">
        <v>1</v>
      </c>
      <c r="C41" s="803" t="s">
        <v>366</v>
      </c>
      <c r="D41" s="777">
        <v>1340</v>
      </c>
      <c r="E41" s="2">
        <f>D41*B41</f>
        <v>1340</v>
      </c>
      <c r="F41" s="664" t="s">
        <v>758</v>
      </c>
      <c r="G41" s="659" t="s">
        <v>759</v>
      </c>
      <c r="H41" s="13"/>
    </row>
  </sheetData>
  <mergeCells count="17">
    <mergeCell ref="G10:H10"/>
    <mergeCell ref="A12:H12"/>
    <mergeCell ref="F38:H38"/>
    <mergeCell ref="A1:C1"/>
    <mergeCell ref="D1:H1"/>
    <mergeCell ref="A2:C2"/>
    <mergeCell ref="D2:H2"/>
    <mergeCell ref="A3:A4"/>
    <mergeCell ref="B3:D4"/>
    <mergeCell ref="A6:H6"/>
    <mergeCell ref="C9:D9"/>
    <mergeCell ref="G9:H9"/>
    <mergeCell ref="A5:H5"/>
    <mergeCell ref="A7:D7"/>
    <mergeCell ref="E7:H7"/>
    <mergeCell ref="C8:D8"/>
    <mergeCell ref="G8:H8"/>
  </mergeCells>
  <pageMargins left="0.25" right="0.25" top="0.75" bottom="0.75" header="0.3" footer="0.3"/>
  <pageSetup paperSize="9" fitToHeight="0"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1"/>
  <sheetViews>
    <sheetView workbookViewId="0">
      <selection activeCell="D2" sqref="D2:H2"/>
    </sheetView>
  </sheetViews>
  <sheetFormatPr baseColWidth="10" defaultRowHeight="12.75" x14ac:dyDescent="0.2"/>
  <cols>
    <col min="1" max="1" width="24.140625" customWidth="1"/>
    <col min="3" max="3" width="32" customWidth="1"/>
    <col min="5" max="5" width="29.85546875" customWidth="1"/>
    <col min="7" max="7" width="17" bestFit="1" customWidth="1"/>
    <col min="8" max="8" width="12" bestFit="1" customWidth="1"/>
  </cols>
  <sheetData>
    <row r="1" spans="1:8" ht="15.75" x14ac:dyDescent="0.25">
      <c r="A1" s="1157" t="s">
        <v>12</v>
      </c>
      <c r="B1" s="1158"/>
      <c r="C1" s="1159"/>
      <c r="D1" s="1157" t="s">
        <v>13</v>
      </c>
      <c r="E1" s="1158"/>
      <c r="F1" s="1158"/>
      <c r="G1" s="1158"/>
      <c r="H1" s="1160"/>
    </row>
    <row r="2" spans="1:8" ht="30.75" customHeight="1" thickBot="1" x14ac:dyDescent="0.25">
      <c r="A2" s="1161" t="s">
        <v>548</v>
      </c>
      <c r="B2" s="1162"/>
      <c r="C2" s="1163"/>
      <c r="D2" s="1297" t="s">
        <v>447</v>
      </c>
      <c r="E2" s="1298"/>
      <c r="F2" s="1298"/>
      <c r="G2" s="1298"/>
      <c r="H2" s="1299"/>
    </row>
    <row r="3" spans="1:8" x14ac:dyDescent="0.2">
      <c r="A3" s="1167" t="s">
        <v>21</v>
      </c>
      <c r="B3" s="1169"/>
      <c r="C3" s="1170"/>
      <c r="D3" s="1171"/>
      <c r="E3" s="6" t="s">
        <v>0</v>
      </c>
      <c r="F3" s="6" t="s">
        <v>1</v>
      </c>
      <c r="G3" s="6" t="s">
        <v>2</v>
      </c>
      <c r="H3" s="7" t="s">
        <v>3</v>
      </c>
    </row>
    <row r="4" spans="1:8" ht="16.5" thickBot="1" x14ac:dyDescent="0.25">
      <c r="A4" s="1168"/>
      <c r="B4" s="1172"/>
      <c r="C4" s="1173"/>
      <c r="D4" s="1174"/>
      <c r="E4" s="8">
        <v>36</v>
      </c>
      <c r="F4" s="70" t="s">
        <v>73</v>
      </c>
      <c r="G4" s="8"/>
      <c r="H4" s="10"/>
    </row>
    <row r="5" spans="1:8" x14ac:dyDescent="0.2">
      <c r="A5" s="1175" t="s">
        <v>14</v>
      </c>
      <c r="B5" s="1176"/>
      <c r="C5" s="1176"/>
      <c r="D5" s="1176"/>
      <c r="E5" s="1176"/>
      <c r="F5" s="1176"/>
      <c r="G5" s="1176"/>
      <c r="H5" s="1177"/>
    </row>
    <row r="6" spans="1:8" ht="59.25" customHeight="1" x14ac:dyDescent="0.2">
      <c r="A6" s="1284" t="s">
        <v>446</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x14ac:dyDescent="0.2">
      <c r="A9" s="20" t="s">
        <v>269</v>
      </c>
      <c r="B9" s="1">
        <v>1</v>
      </c>
      <c r="C9" s="49" t="s">
        <v>749</v>
      </c>
      <c r="D9" s="26"/>
      <c r="E9" s="1" t="s">
        <v>305</v>
      </c>
      <c r="F9" s="1">
        <v>1</v>
      </c>
      <c r="G9" s="49" t="s">
        <v>310</v>
      </c>
      <c r="H9" s="35"/>
    </row>
    <row r="10" spans="1:8" x14ac:dyDescent="0.2">
      <c r="A10" s="20" t="s">
        <v>171</v>
      </c>
      <c r="B10" s="1">
        <v>1</v>
      </c>
      <c r="C10" s="49" t="s">
        <v>761</v>
      </c>
      <c r="D10" s="26"/>
      <c r="E10" s="1" t="s">
        <v>663</v>
      </c>
      <c r="F10" s="1">
        <v>2</v>
      </c>
      <c r="G10" s="49" t="s">
        <v>762</v>
      </c>
      <c r="H10" s="35"/>
    </row>
    <row r="11" spans="1:8" x14ac:dyDescent="0.2">
      <c r="A11" s="20"/>
      <c r="B11" s="1"/>
      <c r="C11" s="49"/>
      <c r="D11" s="26"/>
      <c r="E11" s="1" t="s">
        <v>303</v>
      </c>
      <c r="F11" s="1">
        <v>1</v>
      </c>
      <c r="G11" s="49" t="s">
        <v>763</v>
      </c>
      <c r="H11" s="35"/>
    </row>
    <row r="12" spans="1:8" x14ac:dyDescent="0.2">
      <c r="A12" s="20"/>
      <c r="B12" s="1"/>
      <c r="C12" s="26"/>
      <c r="D12" s="26"/>
      <c r="E12" s="86"/>
      <c r="F12" s="1"/>
      <c r="G12" s="49"/>
      <c r="H12" s="35"/>
    </row>
    <row r="13" spans="1:8" ht="14.25" x14ac:dyDescent="0.2">
      <c r="A13" s="31" t="s">
        <v>11</v>
      </c>
      <c r="B13" s="30"/>
      <c r="C13" s="30"/>
      <c r="D13" s="30"/>
      <c r="E13" s="30"/>
      <c r="F13" s="30"/>
      <c r="G13" s="30"/>
      <c r="H13" s="32"/>
    </row>
    <row r="14" spans="1:8" ht="31.5" customHeight="1" x14ac:dyDescent="0.2">
      <c r="A14" s="1284" t="s">
        <v>760</v>
      </c>
      <c r="B14" s="1285"/>
      <c r="C14" s="1285"/>
      <c r="D14" s="1285"/>
      <c r="E14" s="1285"/>
      <c r="F14" s="1285"/>
      <c r="G14" s="1285"/>
      <c r="H14" s="1195"/>
    </row>
    <row r="15" spans="1:8" ht="15" thickBot="1" x14ac:dyDescent="0.25">
      <c r="A15" s="31" t="s">
        <v>20</v>
      </c>
      <c r="B15" s="29"/>
      <c r="C15" s="29"/>
      <c r="D15" s="29"/>
      <c r="E15" s="29"/>
      <c r="F15" s="29"/>
      <c r="G15" s="29"/>
      <c r="H15" s="38"/>
    </row>
    <row r="16" spans="1:8" ht="13.5" thickBot="1" x14ac:dyDescent="0.25">
      <c r="A16" s="332" t="s">
        <v>25</v>
      </c>
      <c r="B16" s="331" t="s">
        <v>0</v>
      </c>
      <c r="C16" s="330" t="s">
        <v>298</v>
      </c>
      <c r="D16" s="336" t="s">
        <v>339</v>
      </c>
      <c r="E16" s="360" t="s">
        <v>41</v>
      </c>
      <c r="F16" s="360" t="s">
        <v>308</v>
      </c>
      <c r="G16" s="361" t="s">
        <v>222</v>
      </c>
      <c r="H16" s="359" t="s">
        <v>309</v>
      </c>
    </row>
    <row r="17" spans="1:11" ht="13.5" thickBot="1" x14ac:dyDescent="0.25">
      <c r="A17" s="482" t="s">
        <v>268</v>
      </c>
      <c r="B17" s="484"/>
      <c r="C17" s="466" t="s">
        <v>267</v>
      </c>
      <c r="D17" s="467">
        <f>B32</f>
        <v>68.328000000000003</v>
      </c>
      <c r="E17" s="461"/>
      <c r="F17" s="467"/>
      <c r="G17" s="435"/>
      <c r="H17" s="436"/>
    </row>
    <row r="18" spans="1:11" ht="13.5" thickBot="1" x14ac:dyDescent="0.25">
      <c r="A18" s="480" t="s">
        <v>261</v>
      </c>
      <c r="B18" s="481">
        <f>1+0.3</f>
        <v>1.3</v>
      </c>
      <c r="C18" s="462" t="s">
        <v>266</v>
      </c>
      <c r="D18" s="468">
        <v>0.1</v>
      </c>
      <c r="E18" s="482" t="s">
        <v>181</v>
      </c>
      <c r="F18" s="483"/>
      <c r="G18" s="437"/>
      <c r="H18" s="438"/>
    </row>
    <row r="19" spans="1:11" x14ac:dyDescent="0.2">
      <c r="A19" s="462" t="s">
        <v>259</v>
      </c>
      <c r="B19" s="463">
        <f>1+0.3</f>
        <v>1.3</v>
      </c>
      <c r="C19" s="462" t="s">
        <v>265</v>
      </c>
      <c r="D19" s="463">
        <f>D18*B27*B31</f>
        <v>5.2559999999999993</v>
      </c>
      <c r="E19" s="480" t="s">
        <v>179</v>
      </c>
      <c r="F19" s="481">
        <v>8</v>
      </c>
      <c r="G19" s="307"/>
      <c r="H19" s="401"/>
    </row>
    <row r="20" spans="1:11" ht="13.5" thickBot="1" x14ac:dyDescent="0.25">
      <c r="A20" s="485" t="s">
        <v>257</v>
      </c>
      <c r="B20" s="486">
        <f>AVERAGE(B18:B19)</f>
        <v>1.3</v>
      </c>
      <c r="C20" s="462" t="s">
        <v>264</v>
      </c>
      <c r="D20" s="468">
        <v>0.1</v>
      </c>
      <c r="E20" s="462" t="s">
        <v>241</v>
      </c>
      <c r="F20" s="463">
        <f>F19*60*60</f>
        <v>28800</v>
      </c>
      <c r="G20" s="297"/>
      <c r="H20" s="439"/>
    </row>
    <row r="21" spans="1:11" ht="26.25" thickBot="1" x14ac:dyDescent="0.25">
      <c r="A21" s="482" t="s">
        <v>263</v>
      </c>
      <c r="B21" s="483"/>
      <c r="C21" s="462" t="s">
        <v>262</v>
      </c>
      <c r="D21" s="463">
        <f>(D20*B27*B31)-(3.14*B25/2/1000*B25/2/1000*B31)</f>
        <v>4.9733999999999998</v>
      </c>
      <c r="E21" s="462" t="s">
        <v>178</v>
      </c>
      <c r="F21" s="869">
        <f>B46+D33+D29+D42+F37</f>
        <v>4.9225308641975309E-2</v>
      </c>
      <c r="G21" s="307"/>
      <c r="H21" s="440"/>
    </row>
    <row r="22" spans="1:11" ht="13.5" thickBot="1" x14ac:dyDescent="0.25">
      <c r="A22" s="480" t="s">
        <v>261</v>
      </c>
      <c r="B22" s="481">
        <f>0.8+0.1</f>
        <v>0.9</v>
      </c>
      <c r="C22" s="462" t="s">
        <v>260</v>
      </c>
      <c r="D22" s="468">
        <f>1</f>
        <v>1</v>
      </c>
      <c r="E22" s="462" t="s">
        <v>238</v>
      </c>
      <c r="F22" s="478">
        <f>F21/196</f>
        <v>2.5114953388762914E-4</v>
      </c>
      <c r="G22" s="441"/>
      <c r="H22" s="442"/>
    </row>
    <row r="23" spans="1:11" ht="13.5" thickBot="1" x14ac:dyDescent="0.25">
      <c r="A23" s="462" t="s">
        <v>259</v>
      </c>
      <c r="B23" s="463">
        <v>1</v>
      </c>
      <c r="C23" s="462" t="s">
        <v>258</v>
      </c>
      <c r="D23" s="463">
        <f>D22*B27*B31</f>
        <v>52.56</v>
      </c>
      <c r="E23" s="465" t="s">
        <v>175</v>
      </c>
      <c r="F23" s="479">
        <f>F21/F19</f>
        <v>6.1531635802469136E-3</v>
      </c>
      <c r="G23" s="443"/>
      <c r="H23" s="444"/>
    </row>
    <row r="24" spans="1:11" x14ac:dyDescent="0.2">
      <c r="A24" s="462" t="s">
        <v>257</v>
      </c>
      <c r="B24" s="463">
        <f>AVERAGE(B22:B23)</f>
        <v>0.95</v>
      </c>
      <c r="C24" s="462"/>
      <c r="D24" s="468"/>
      <c r="E24" s="466"/>
      <c r="F24" s="467"/>
      <c r="G24" s="445"/>
      <c r="H24" s="446"/>
      <c r="K24" s="41"/>
    </row>
    <row r="25" spans="1:11" ht="13.5" thickBot="1" x14ac:dyDescent="0.25">
      <c r="A25" s="788" t="s">
        <v>256</v>
      </c>
      <c r="B25" s="789">
        <v>100</v>
      </c>
      <c r="C25" s="465"/>
      <c r="D25" s="469"/>
      <c r="E25" s="485"/>
      <c r="F25" s="486"/>
      <c r="G25" s="307"/>
      <c r="H25" s="401"/>
    </row>
    <row r="26" spans="1:11" ht="13.5" thickBot="1" x14ac:dyDescent="0.25">
      <c r="A26" s="790" t="s">
        <v>706</v>
      </c>
      <c r="B26" s="791">
        <f>IF(B25&lt;=599,30,60)</f>
        <v>30</v>
      </c>
      <c r="C26" s="461" t="s">
        <v>255</v>
      </c>
      <c r="D26" s="467"/>
      <c r="E26" s="482"/>
      <c r="F26" s="483"/>
      <c r="G26" s="447"/>
      <c r="H26" s="448"/>
    </row>
    <row r="27" spans="1:11" x14ac:dyDescent="0.2">
      <c r="A27" s="792" t="s">
        <v>231</v>
      </c>
      <c r="B27" s="789">
        <f>B25/1000+B26*2/100+B29*2/100</f>
        <v>1.46</v>
      </c>
      <c r="C27" s="462" t="s">
        <v>254</v>
      </c>
      <c r="D27" s="463">
        <v>0.8</v>
      </c>
      <c r="E27" s="490"/>
      <c r="F27" s="481"/>
      <c r="G27" s="449"/>
      <c r="H27" s="450"/>
    </row>
    <row r="28" spans="1:11" x14ac:dyDescent="0.2">
      <c r="A28" s="790" t="s">
        <v>253</v>
      </c>
      <c r="B28" s="791" t="b">
        <v>1</v>
      </c>
      <c r="C28" s="462" t="s">
        <v>239</v>
      </c>
      <c r="D28" s="463">
        <f>ROUNDUP(D19/D27,0)</f>
        <v>7</v>
      </c>
      <c r="E28" s="462"/>
      <c r="F28" s="463"/>
      <c r="G28" s="451"/>
      <c r="H28" s="452"/>
    </row>
    <row r="29" spans="1:11" ht="13.5" thickBot="1" x14ac:dyDescent="0.25">
      <c r="A29" s="788" t="s">
        <v>252</v>
      </c>
      <c r="B29" s="789">
        <f>38</f>
        <v>38</v>
      </c>
      <c r="C29" s="465" t="s">
        <v>251</v>
      </c>
      <c r="D29" s="488">
        <f>B31*D28/3600/24</f>
        <v>2.9166666666666668E-3</v>
      </c>
      <c r="E29" s="462"/>
      <c r="F29" s="463"/>
      <c r="G29" s="334"/>
      <c r="H29" s="281"/>
    </row>
    <row r="30" spans="1:11" x14ac:dyDescent="0.2">
      <c r="A30" s="788" t="s">
        <v>718</v>
      </c>
      <c r="B30" s="789">
        <f>ROUNDUP(B31/3,0)</f>
        <v>12</v>
      </c>
      <c r="C30" s="461" t="s">
        <v>249</v>
      </c>
      <c r="D30" s="467" t="s">
        <v>112</v>
      </c>
      <c r="E30" s="462"/>
      <c r="F30" s="470"/>
      <c r="G30" s="335"/>
      <c r="H30" s="282"/>
    </row>
    <row r="31" spans="1:11" x14ac:dyDescent="0.2">
      <c r="A31" s="464" t="s">
        <v>250</v>
      </c>
      <c r="B31" s="463">
        <v>36</v>
      </c>
      <c r="C31" s="462" t="s">
        <v>248</v>
      </c>
      <c r="D31" s="463">
        <v>10</v>
      </c>
      <c r="E31" s="462"/>
      <c r="F31" s="470"/>
      <c r="G31" s="334"/>
      <c r="H31" s="283"/>
    </row>
    <row r="32" spans="1:11" ht="15.75" thickBot="1" x14ac:dyDescent="0.3">
      <c r="A32" s="485" t="s">
        <v>60</v>
      </c>
      <c r="B32" s="487">
        <f>B20*B27*B31</f>
        <v>68.328000000000003</v>
      </c>
      <c r="C32" s="462" t="s">
        <v>246</v>
      </c>
      <c r="D32" s="470">
        <f>B31*B27*D31/3600/24</f>
        <v>6.0833333333333338E-3</v>
      </c>
      <c r="E32" s="462"/>
      <c r="F32" s="463"/>
      <c r="G32" s="297"/>
      <c r="H32" s="453"/>
    </row>
    <row r="33" spans="1:8" ht="13.5" thickBot="1" x14ac:dyDescent="0.25">
      <c r="A33" s="482" t="s">
        <v>247</v>
      </c>
      <c r="B33" s="483"/>
      <c r="C33" s="465" t="s">
        <v>245</v>
      </c>
      <c r="D33" s="488">
        <f>D32*B43</f>
        <v>8.1111111111111106E-3</v>
      </c>
      <c r="E33" s="462"/>
      <c r="F33" s="463"/>
      <c r="G33" s="373"/>
      <c r="H33" s="454"/>
    </row>
    <row r="34" spans="1:8" ht="13.5" thickBot="1" x14ac:dyDescent="0.25">
      <c r="A34" s="466" t="s">
        <v>26</v>
      </c>
      <c r="B34" s="467">
        <v>800</v>
      </c>
      <c r="C34" s="865" t="s">
        <v>244</v>
      </c>
      <c r="D34" s="782"/>
      <c r="E34" s="462"/>
      <c r="F34" s="470"/>
      <c r="G34" s="373"/>
      <c r="H34" s="454"/>
    </row>
    <row r="35" spans="1:8" ht="38.25" x14ac:dyDescent="0.2">
      <c r="A35" s="462" t="s">
        <v>27</v>
      </c>
      <c r="B35" s="463">
        <f>B34/1000</f>
        <v>0.8</v>
      </c>
      <c r="C35" s="866" t="s">
        <v>243</v>
      </c>
      <c r="D35" s="784">
        <f>3/60/24</f>
        <v>2.0833333333333333E-3</v>
      </c>
      <c r="E35" s="462"/>
      <c r="F35" s="468"/>
      <c r="G35" s="301"/>
      <c r="H35" s="401"/>
    </row>
    <row r="36" spans="1:8" ht="13.5" thickBot="1" x14ac:dyDescent="0.25">
      <c r="A36" s="462" t="s">
        <v>69</v>
      </c>
      <c r="B36" s="463">
        <f>ROUNDUP(B32/B35,0)</f>
        <v>86</v>
      </c>
      <c r="C36" s="867" t="s">
        <v>242</v>
      </c>
      <c r="D36" s="786">
        <f>D35*8/6</f>
        <v>2.7777777777777779E-3</v>
      </c>
      <c r="E36" s="462"/>
      <c r="F36" s="470"/>
      <c r="G36" s="297"/>
      <c r="H36" s="432"/>
    </row>
    <row r="37" spans="1:8" ht="15.75" thickBot="1" x14ac:dyDescent="0.3">
      <c r="A37" s="462" t="s">
        <v>29</v>
      </c>
      <c r="B37" s="463">
        <v>10</v>
      </c>
      <c r="C37" s="334" t="s">
        <v>345</v>
      </c>
      <c r="D37" s="787">
        <f>D36*B30</f>
        <v>3.3333333333333333E-2</v>
      </c>
      <c r="E37" s="465"/>
      <c r="F37" s="491"/>
      <c r="G37" s="297"/>
      <c r="H37" s="453"/>
    </row>
    <row r="38" spans="1:8" x14ac:dyDescent="0.2">
      <c r="A38" s="462" t="s">
        <v>30</v>
      </c>
      <c r="B38" s="463">
        <v>4</v>
      </c>
      <c r="C38" s="863" t="s">
        <v>240</v>
      </c>
      <c r="D38" s="475"/>
      <c r="E38" s="461"/>
      <c r="F38" s="473"/>
      <c r="G38" s="297"/>
      <c r="H38" s="458"/>
    </row>
    <row r="39" spans="1:8" ht="13.5" thickBot="1" x14ac:dyDescent="0.25">
      <c r="A39" s="462" t="s">
        <v>31</v>
      </c>
      <c r="B39" s="463">
        <v>4</v>
      </c>
      <c r="C39" s="459" t="s">
        <v>239</v>
      </c>
      <c r="D39" s="804">
        <f>ROUNDUP(D21/D27,0)</f>
        <v>7</v>
      </c>
      <c r="E39" s="465"/>
      <c r="F39" s="488"/>
      <c r="G39" s="373"/>
      <c r="H39" s="454"/>
    </row>
    <row r="40" spans="1:8" x14ac:dyDescent="0.2">
      <c r="A40" s="462" t="s">
        <v>32</v>
      </c>
      <c r="B40" s="463">
        <v>4</v>
      </c>
      <c r="C40" s="459" t="s">
        <v>237</v>
      </c>
      <c r="D40" s="474">
        <f>B31*D39/3600/24</f>
        <v>2.9166666666666668E-3</v>
      </c>
      <c r="E40" s="476"/>
      <c r="F40" s="477"/>
      <c r="G40" s="456"/>
      <c r="H40" s="386"/>
    </row>
    <row r="41" spans="1:8" x14ac:dyDescent="0.2">
      <c r="A41" s="462" t="s">
        <v>35</v>
      </c>
      <c r="B41" s="463">
        <f>SUM(B37:B40)</f>
        <v>22</v>
      </c>
      <c r="C41" s="459" t="s">
        <v>236</v>
      </c>
      <c r="D41" s="470">
        <f>D32</f>
        <v>6.0833333333333338E-3</v>
      </c>
      <c r="G41" s="456"/>
      <c r="H41" s="386"/>
    </row>
    <row r="42" spans="1:8" ht="15.75" thickBot="1" x14ac:dyDescent="0.25">
      <c r="A42" s="462" t="s">
        <v>64</v>
      </c>
      <c r="B42" s="463">
        <f>60/80</f>
        <v>0.75</v>
      </c>
      <c r="C42" s="864" t="s">
        <v>102</v>
      </c>
      <c r="D42" s="492">
        <f>D40+D41</f>
        <v>9.0000000000000011E-3</v>
      </c>
      <c r="G42" s="456"/>
      <c r="H42" s="386"/>
    </row>
    <row r="43" spans="1:8" x14ac:dyDescent="0.2">
      <c r="A43" s="464" t="s">
        <v>65</v>
      </c>
      <c r="B43" s="463">
        <f>80/60</f>
        <v>1.3333333333333333</v>
      </c>
      <c r="G43" s="456"/>
      <c r="H43" s="386"/>
    </row>
    <row r="44" spans="1:8" x14ac:dyDescent="0.2">
      <c r="A44" s="462" t="s">
        <v>34</v>
      </c>
      <c r="B44" s="463">
        <f>B41*B43</f>
        <v>29.333333333333332</v>
      </c>
      <c r="G44" s="456"/>
      <c r="H44" s="386"/>
    </row>
    <row r="45" spans="1:8" x14ac:dyDescent="0.2">
      <c r="A45" s="462" t="s">
        <v>235</v>
      </c>
      <c r="B45" s="868">
        <f>B44*B36</f>
        <v>2522.6666666666665</v>
      </c>
      <c r="G45" s="456"/>
      <c r="H45" s="386"/>
    </row>
    <row r="46" spans="1:8" ht="13.5" thickBot="1" x14ac:dyDescent="0.25">
      <c r="A46" s="465" t="s">
        <v>344</v>
      </c>
      <c r="B46" s="488">
        <f>B45/3600/24</f>
        <v>2.9197530864197529E-2</v>
      </c>
      <c r="G46" s="456"/>
      <c r="H46" s="386"/>
    </row>
    <row r="47" spans="1:8" x14ac:dyDescent="0.2">
      <c r="A47" s="289" t="s">
        <v>9</v>
      </c>
      <c r="B47" s="288"/>
      <c r="C47" s="288"/>
      <c r="D47" s="288"/>
      <c r="E47" s="288"/>
      <c r="F47" s="287" t="s">
        <v>16</v>
      </c>
      <c r="G47" s="287"/>
      <c r="H47" s="286"/>
    </row>
    <row r="48" spans="1:8" ht="25.5" x14ac:dyDescent="0.2">
      <c r="A48" s="16" t="s">
        <v>4</v>
      </c>
      <c r="B48" s="17" t="s">
        <v>5</v>
      </c>
      <c r="C48" s="17" t="s">
        <v>1</v>
      </c>
      <c r="D48" s="17" t="s">
        <v>6</v>
      </c>
      <c r="E48" s="18" t="s">
        <v>7</v>
      </c>
      <c r="F48" s="19" t="s">
        <v>17</v>
      </c>
      <c r="G48" s="19" t="s">
        <v>18</v>
      </c>
      <c r="H48" s="21" t="s">
        <v>19</v>
      </c>
    </row>
    <row r="49" spans="1:8" x14ac:dyDescent="0.2">
      <c r="A49" s="20" t="s">
        <v>755</v>
      </c>
      <c r="B49" s="1">
        <f>D19*1.2</f>
        <v>6.307199999999999</v>
      </c>
      <c r="C49" s="803" t="s">
        <v>319</v>
      </c>
      <c r="D49" s="874">
        <v>98</v>
      </c>
      <c r="E49" s="2">
        <f>B49*D49</f>
        <v>618.10559999999987</v>
      </c>
      <c r="F49" s="43" t="s">
        <v>756</v>
      </c>
      <c r="G49" s="664" t="s">
        <v>757</v>
      </c>
      <c r="H49" s="778">
        <v>1</v>
      </c>
    </row>
    <row r="50" spans="1:8" x14ac:dyDescent="0.2">
      <c r="A50" s="20" t="s">
        <v>764</v>
      </c>
      <c r="B50" s="1">
        <v>1</v>
      </c>
      <c r="C50" s="803" t="s">
        <v>366</v>
      </c>
      <c r="D50" s="875">
        <v>307</v>
      </c>
      <c r="E50" s="2">
        <f>D50*B50</f>
        <v>307</v>
      </c>
      <c r="F50" s="43" t="s">
        <v>758</v>
      </c>
      <c r="G50" s="664">
        <v>27</v>
      </c>
      <c r="H50" s="779"/>
    </row>
    <row r="51" spans="1:8" x14ac:dyDescent="0.2">
      <c r="A51" s="43" t="s">
        <v>1003</v>
      </c>
      <c r="B51" s="11">
        <f>D21*1.45</f>
        <v>7.2114299999999991</v>
      </c>
      <c r="C51" s="11"/>
      <c r="D51" s="11"/>
      <c r="E51" s="11"/>
      <c r="F51" s="11"/>
      <c r="G51" s="11"/>
      <c r="H51" s="11"/>
    </row>
  </sheetData>
  <mergeCells count="13">
    <mergeCell ref="A14:H14"/>
    <mergeCell ref="A5:H5"/>
    <mergeCell ref="A7:D7"/>
    <mergeCell ref="E7:H7"/>
    <mergeCell ref="C8:D8"/>
    <mergeCell ref="G8:H8"/>
    <mergeCell ref="A6:H6"/>
    <mergeCell ref="A1:C1"/>
    <mergeCell ref="D1:H1"/>
    <mergeCell ref="A2:C2"/>
    <mergeCell ref="D2:H2"/>
    <mergeCell ref="A3:A4"/>
    <mergeCell ref="B3:D4"/>
  </mergeCells>
  <pageMargins left="0.25" right="0.25" top="0.75" bottom="0.75" header="0.3" footer="0.3"/>
  <pageSetup paperSize="9" scale="67" fitToHeight="0"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
  <sheetViews>
    <sheetView workbookViewId="0">
      <selection activeCell="G9" sqref="G9:H9"/>
    </sheetView>
  </sheetViews>
  <sheetFormatPr baseColWidth="10" defaultRowHeight="12.75" x14ac:dyDescent="0.2"/>
  <cols>
    <col min="1" max="1" width="27" customWidth="1"/>
    <col min="3" max="4" width="11.85546875" bestFit="1" customWidth="1"/>
    <col min="5" max="5" width="10.5703125" bestFit="1" customWidth="1"/>
    <col min="6" max="6" width="10.7109375" bestFit="1" customWidth="1"/>
    <col min="7" max="7" width="14.28515625" bestFit="1" customWidth="1"/>
    <col min="8" max="8" width="8.5703125" bestFit="1" customWidth="1"/>
  </cols>
  <sheetData>
    <row r="1" spans="1:8" ht="15.75" x14ac:dyDescent="0.25">
      <c r="A1" s="1157" t="s">
        <v>12</v>
      </c>
      <c r="B1" s="1158"/>
      <c r="C1" s="1159"/>
      <c r="D1" s="1157" t="s">
        <v>13</v>
      </c>
      <c r="E1" s="1158"/>
      <c r="F1" s="1158"/>
      <c r="G1" s="1158"/>
      <c r="H1" s="1160"/>
    </row>
    <row r="2" spans="1:8" ht="36" customHeight="1" thickBot="1" x14ac:dyDescent="0.25">
      <c r="A2" s="1161" t="s">
        <v>548</v>
      </c>
      <c r="B2" s="1162"/>
      <c r="C2" s="1163"/>
      <c r="D2" s="1297" t="s">
        <v>765</v>
      </c>
      <c r="E2" s="1298"/>
      <c r="F2" s="1298"/>
      <c r="G2" s="1298"/>
      <c r="H2" s="1299"/>
    </row>
    <row r="3" spans="1:8" ht="12.75" customHeight="1" x14ac:dyDescent="0.2">
      <c r="A3" s="1300" t="s">
        <v>21</v>
      </c>
      <c r="B3" s="1169"/>
      <c r="C3" s="1170"/>
      <c r="D3" s="1171"/>
      <c r="E3" s="6" t="s">
        <v>0</v>
      </c>
      <c r="F3" s="6" t="s">
        <v>1</v>
      </c>
      <c r="G3" s="6" t="s">
        <v>2</v>
      </c>
      <c r="H3" s="7" t="s">
        <v>3</v>
      </c>
    </row>
    <row r="4" spans="1:8" ht="16.5" thickBot="1" x14ac:dyDescent="0.25">
      <c r="A4" s="1301"/>
      <c r="B4" s="1172"/>
      <c r="C4" s="1173"/>
      <c r="D4" s="1174"/>
      <c r="E4" s="8">
        <v>5</v>
      </c>
      <c r="F4" s="70" t="s">
        <v>1</v>
      </c>
      <c r="G4" s="8"/>
      <c r="H4" s="10"/>
    </row>
    <row r="5" spans="1:8" x14ac:dyDescent="0.2">
      <c r="A5" s="1175" t="s">
        <v>14</v>
      </c>
      <c r="B5" s="1176"/>
      <c r="C5" s="1176"/>
      <c r="D5" s="1176"/>
      <c r="E5" s="1176"/>
      <c r="F5" s="1176"/>
      <c r="G5" s="1176"/>
      <c r="H5" s="1177"/>
    </row>
    <row r="6" spans="1:8" ht="84" customHeight="1" x14ac:dyDescent="0.2">
      <c r="A6" s="1183" t="s">
        <v>766</v>
      </c>
      <c r="B6" s="1184"/>
      <c r="C6" s="1184"/>
      <c r="D6" s="1184"/>
      <c r="E6" s="1184"/>
      <c r="F6" s="1184"/>
      <c r="G6" s="1184"/>
      <c r="H6" s="118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47.25" customHeight="1" x14ac:dyDescent="0.2">
      <c r="A9" s="20"/>
      <c r="B9" s="1"/>
      <c r="C9" s="49"/>
      <c r="D9" s="26"/>
      <c r="E9" s="86" t="s">
        <v>663</v>
      </c>
      <c r="F9" s="1">
        <v>2</v>
      </c>
      <c r="G9" s="1292" t="s">
        <v>775</v>
      </c>
      <c r="H9" s="1185"/>
    </row>
    <row r="10" spans="1:8" ht="14.25" x14ac:dyDescent="0.2">
      <c r="A10" s="31" t="s">
        <v>11</v>
      </c>
      <c r="B10" s="30"/>
      <c r="C10" s="30"/>
      <c r="D10" s="30"/>
      <c r="E10" s="30"/>
      <c r="F10" s="30"/>
      <c r="G10" s="30"/>
      <c r="H10" s="32"/>
    </row>
    <row r="11" spans="1:8" ht="38.25" customHeight="1" x14ac:dyDescent="0.2">
      <c r="A11" s="1284"/>
      <c r="B11" s="1285"/>
      <c r="C11" s="1285"/>
      <c r="D11" s="1285"/>
      <c r="E11" s="1285"/>
      <c r="F11" s="1285"/>
      <c r="G11" s="1285"/>
      <c r="H11" s="1195"/>
    </row>
    <row r="12" spans="1:8" ht="15" thickBot="1" x14ac:dyDescent="0.25">
      <c r="A12" s="31" t="s">
        <v>20</v>
      </c>
      <c r="B12" s="29"/>
      <c r="C12" s="29"/>
      <c r="D12" s="29"/>
      <c r="E12" s="29"/>
      <c r="F12" s="29"/>
      <c r="G12" s="29"/>
      <c r="H12" s="38"/>
    </row>
    <row r="13" spans="1:8" ht="13.5" thickBot="1" x14ac:dyDescent="0.25">
      <c r="A13" s="592" t="s">
        <v>25</v>
      </c>
      <c r="B13" s="336" t="s">
        <v>0</v>
      </c>
      <c r="C13" s="330" t="s">
        <v>293</v>
      </c>
      <c r="D13" s="336" t="s">
        <v>338</v>
      </c>
      <c r="E13" s="3"/>
      <c r="F13" s="3"/>
      <c r="G13" s="3"/>
      <c r="H13" s="278"/>
    </row>
    <row r="14" spans="1:8" x14ac:dyDescent="0.2">
      <c r="A14" s="881" t="s">
        <v>607</v>
      </c>
      <c r="B14" s="882"/>
      <c r="C14" s="26"/>
      <c r="D14" s="26"/>
      <c r="E14" s="3"/>
      <c r="F14" s="3"/>
      <c r="G14" s="3"/>
      <c r="H14" s="278"/>
    </row>
    <row r="15" spans="1:8" x14ac:dyDescent="0.2">
      <c r="A15" s="663" t="s">
        <v>378</v>
      </c>
      <c r="B15" s="779">
        <v>1.5</v>
      </c>
      <c r="C15" s="26"/>
      <c r="D15" s="26"/>
      <c r="E15" s="3"/>
      <c r="F15" s="3"/>
      <c r="G15" s="3"/>
      <c r="H15" s="278"/>
    </row>
    <row r="16" spans="1:8" x14ac:dyDescent="0.2">
      <c r="A16" s="877" t="s">
        <v>739</v>
      </c>
      <c r="B16" s="779">
        <v>0.8</v>
      </c>
      <c r="C16" s="26"/>
      <c r="D16" s="26"/>
      <c r="E16" s="3"/>
      <c r="F16" s="3"/>
      <c r="G16" s="3"/>
      <c r="H16" s="278"/>
    </row>
    <row r="17" spans="1:8" x14ac:dyDescent="0.2">
      <c r="A17" s="877" t="s">
        <v>202</v>
      </c>
      <c r="B17" s="779">
        <v>1</v>
      </c>
      <c r="C17" s="26"/>
      <c r="D17" s="26"/>
      <c r="E17" s="3"/>
      <c r="F17" s="3"/>
      <c r="G17" s="3"/>
      <c r="H17" s="278"/>
    </row>
    <row r="18" spans="1:8" x14ac:dyDescent="0.2">
      <c r="A18" s="880" t="s">
        <v>773</v>
      </c>
      <c r="B18" s="808" t="s">
        <v>774</v>
      </c>
      <c r="C18" s="26"/>
      <c r="D18" s="26"/>
      <c r="E18" s="3"/>
      <c r="F18" s="3"/>
      <c r="G18" s="3"/>
      <c r="H18" s="278"/>
    </row>
    <row r="19" spans="1:8" x14ac:dyDescent="0.2">
      <c r="A19" s="663" t="s">
        <v>771</v>
      </c>
      <c r="B19" s="883">
        <v>5</v>
      </c>
      <c r="C19" s="26"/>
      <c r="D19" s="26"/>
      <c r="E19" s="3"/>
      <c r="F19" s="3"/>
      <c r="G19" s="3"/>
      <c r="H19" s="278"/>
    </row>
    <row r="20" spans="1:8" x14ac:dyDescent="0.2">
      <c r="A20" s="877" t="s">
        <v>768</v>
      </c>
      <c r="B20" s="779">
        <v>5</v>
      </c>
      <c r="C20" s="26"/>
      <c r="D20" s="26"/>
      <c r="E20" s="3"/>
      <c r="F20" s="3"/>
      <c r="G20" s="3"/>
      <c r="H20" s="278"/>
    </row>
    <row r="21" spans="1:8" x14ac:dyDescent="0.2">
      <c r="A21" s="877" t="s">
        <v>769</v>
      </c>
      <c r="B21" s="779">
        <v>5</v>
      </c>
      <c r="C21" s="26"/>
      <c r="D21" s="26"/>
      <c r="E21" s="3"/>
      <c r="F21" s="3"/>
      <c r="G21" s="3"/>
      <c r="H21" s="278"/>
    </row>
    <row r="22" spans="1:8" x14ac:dyDescent="0.2">
      <c r="A22" s="877" t="s">
        <v>770</v>
      </c>
      <c r="B22" s="779">
        <v>5</v>
      </c>
      <c r="C22" s="26"/>
      <c r="D22" s="26"/>
      <c r="E22" s="3"/>
      <c r="F22" s="3"/>
      <c r="G22" s="3"/>
      <c r="H22" s="278"/>
    </row>
    <row r="23" spans="1:8" x14ac:dyDescent="0.2">
      <c r="A23" s="884" t="s">
        <v>772</v>
      </c>
      <c r="B23" s="779">
        <v>30</v>
      </c>
      <c r="C23" s="26"/>
      <c r="D23" s="26"/>
      <c r="E23" s="3"/>
      <c r="F23" s="3"/>
      <c r="G23" s="3"/>
      <c r="H23" s="278"/>
    </row>
    <row r="24" spans="1:8" x14ac:dyDescent="0.2">
      <c r="A24" s="583" t="s">
        <v>347</v>
      </c>
      <c r="B24" s="885">
        <f>8/6</f>
        <v>1.3333333333333333</v>
      </c>
      <c r="C24" s="26"/>
      <c r="D24" s="26"/>
      <c r="E24" s="3"/>
      <c r="F24" s="3"/>
      <c r="G24" s="3"/>
      <c r="H24" s="278"/>
    </row>
    <row r="25" spans="1:8" x14ac:dyDescent="0.2">
      <c r="A25" s="889" t="s">
        <v>348</v>
      </c>
      <c r="B25" s="888">
        <f>(B19+D15+B20+B21+B22+B23)*B24/60/24</f>
        <v>4.6296296296296287E-2</v>
      </c>
      <c r="C25" s="26"/>
      <c r="D25" s="26"/>
      <c r="E25" s="3"/>
      <c r="F25" s="3"/>
      <c r="G25" s="3"/>
      <c r="H25" s="278"/>
    </row>
    <row r="26" spans="1:8" ht="13.5" thickBot="1" x14ac:dyDescent="0.25">
      <c r="A26" s="886"/>
      <c r="B26" s="887"/>
      <c r="C26" s="26"/>
      <c r="D26" s="26"/>
      <c r="E26" s="3"/>
      <c r="F26" s="3"/>
      <c r="G26" s="3"/>
      <c r="H26" s="278"/>
    </row>
    <row r="27" spans="1:8" ht="13.5" thickBot="1" x14ac:dyDescent="0.25">
      <c r="A27" s="269"/>
      <c r="B27" s="365"/>
      <c r="C27" s="26"/>
      <c r="D27" s="26"/>
      <c r="E27" s="3"/>
      <c r="F27" s="3"/>
      <c r="G27" s="3"/>
      <c r="H27" s="278"/>
    </row>
    <row r="28" spans="1:8" x14ac:dyDescent="0.2">
      <c r="A28" s="593"/>
      <c r="B28" s="364"/>
      <c r="C28" s="26"/>
      <c r="D28" s="26"/>
      <c r="E28" s="3"/>
      <c r="F28" s="3"/>
      <c r="G28" s="3"/>
      <c r="H28" s="278"/>
    </row>
    <row r="29" spans="1:8" x14ac:dyDescent="0.2">
      <c r="A29" s="266"/>
      <c r="B29" s="11"/>
      <c r="C29" s="26"/>
      <c r="D29" s="26"/>
      <c r="E29" s="3"/>
      <c r="F29" s="3"/>
      <c r="G29" s="3"/>
      <c r="H29" s="278"/>
    </row>
    <row r="30" spans="1:8" x14ac:dyDescent="0.2">
      <c r="A30" s="289" t="s">
        <v>9</v>
      </c>
      <c r="B30" s="288"/>
      <c r="C30" s="288"/>
      <c r="D30" s="288"/>
      <c r="E30" s="288"/>
      <c r="F30" s="809" t="s">
        <v>16</v>
      </c>
      <c r="G30" s="809"/>
      <c r="H30" s="810"/>
    </row>
    <row r="31" spans="1:8" ht="25.5" x14ac:dyDescent="0.2">
      <c r="A31" s="16" t="s">
        <v>4</v>
      </c>
      <c r="B31" s="17" t="s">
        <v>5</v>
      </c>
      <c r="C31" s="17" t="s">
        <v>1</v>
      </c>
      <c r="D31" s="17" t="s">
        <v>6</v>
      </c>
      <c r="E31" s="18" t="s">
        <v>7</v>
      </c>
      <c r="F31" s="805" t="s">
        <v>17</v>
      </c>
      <c r="G31" s="805" t="s">
        <v>18</v>
      </c>
      <c r="H31" s="806" t="s">
        <v>19</v>
      </c>
    </row>
    <row r="32" spans="1:8" x14ac:dyDescent="0.2">
      <c r="A32" s="756" t="s">
        <v>767</v>
      </c>
      <c r="B32" s="1">
        <v>1</v>
      </c>
      <c r="C32" s="803" t="s">
        <v>366</v>
      </c>
      <c r="D32" s="875">
        <v>150</v>
      </c>
      <c r="E32" s="404">
        <f>D32*B32</f>
        <v>150</v>
      </c>
      <c r="F32" s="664" t="s">
        <v>758</v>
      </c>
      <c r="G32" s="659">
        <v>27</v>
      </c>
      <c r="H32" s="779"/>
    </row>
    <row r="33" spans="1:8" x14ac:dyDescent="0.2">
      <c r="A33" s="756" t="s">
        <v>768</v>
      </c>
      <c r="B33" s="1">
        <v>1</v>
      </c>
      <c r="C33" s="803" t="s">
        <v>366</v>
      </c>
      <c r="D33" s="875">
        <v>631</v>
      </c>
      <c r="E33" s="404">
        <f>D33*B33</f>
        <v>631</v>
      </c>
      <c r="F33" s="662" t="s">
        <v>758</v>
      </c>
      <c r="G33" s="662">
        <v>27</v>
      </c>
      <c r="H33" s="22"/>
    </row>
    <row r="34" spans="1:8" x14ac:dyDescent="0.2">
      <c r="A34" s="878" t="s">
        <v>769</v>
      </c>
      <c r="B34" s="1">
        <v>1</v>
      </c>
      <c r="C34" s="803" t="s">
        <v>366</v>
      </c>
      <c r="D34" s="875">
        <v>370</v>
      </c>
      <c r="E34" s="404">
        <f>D34*B34</f>
        <v>370</v>
      </c>
      <c r="F34" s="662" t="s">
        <v>758</v>
      </c>
      <c r="G34" s="662">
        <v>27</v>
      </c>
      <c r="H34" s="22"/>
    </row>
    <row r="35" spans="1:8" ht="13.5" thickBot="1" x14ac:dyDescent="0.25">
      <c r="A35" s="879" t="s">
        <v>770</v>
      </c>
      <c r="B35" s="23">
        <v>1</v>
      </c>
      <c r="C35" s="24" t="s">
        <v>366</v>
      </c>
      <c r="D35" s="876">
        <v>130</v>
      </c>
      <c r="E35" s="890">
        <f>D35*B35</f>
        <v>130</v>
      </c>
      <c r="F35" s="876" t="s">
        <v>758</v>
      </c>
      <c r="G35" s="876">
        <v>27</v>
      </c>
      <c r="H35" s="13"/>
    </row>
  </sheetData>
  <mergeCells count="14">
    <mergeCell ref="G9:H9"/>
    <mergeCell ref="A11:H11"/>
    <mergeCell ref="A5:H5"/>
    <mergeCell ref="A7:D7"/>
    <mergeCell ref="E7:H7"/>
    <mergeCell ref="C8:D8"/>
    <mergeCell ref="G8:H8"/>
    <mergeCell ref="A6:H6"/>
    <mergeCell ref="A1:C1"/>
    <mergeCell ref="D1:H1"/>
    <mergeCell ref="A2:C2"/>
    <mergeCell ref="D2:H2"/>
    <mergeCell ref="A3:A4"/>
    <mergeCell ref="B3:D4"/>
  </mergeCells>
  <pageMargins left="0.25" right="0.25" top="0.75" bottom="0.75" header="0.3" footer="0.3"/>
  <pageSetup paperSize="9" scale="95" fitToHeight="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7"/>
  <sheetViews>
    <sheetView topLeftCell="A25" zoomScaleNormal="100" workbookViewId="0">
      <selection activeCell="B43" sqref="B43"/>
    </sheetView>
  </sheetViews>
  <sheetFormatPr baseColWidth="10" defaultRowHeight="12.75" x14ac:dyDescent="0.2"/>
  <cols>
    <col min="1" max="1" width="19" customWidth="1"/>
    <col min="2" max="2" width="11.7109375" customWidth="1"/>
    <col min="3" max="3" width="18.85546875" customWidth="1"/>
    <col min="4" max="4" width="11.5703125" bestFit="1" customWidth="1"/>
    <col min="5" max="5" width="21" customWidth="1"/>
    <col min="6" max="6" width="11.5703125" customWidth="1"/>
    <col min="7" max="7" width="22" customWidth="1"/>
    <col min="8" max="8" width="9.85546875" customWidth="1"/>
  </cols>
  <sheetData>
    <row r="1" spans="1:8" ht="15.75" x14ac:dyDescent="0.25">
      <c r="A1" s="1157" t="s">
        <v>12</v>
      </c>
      <c r="B1" s="1158"/>
      <c r="C1" s="1159"/>
      <c r="D1" s="1157" t="s">
        <v>13</v>
      </c>
      <c r="E1" s="1158"/>
      <c r="F1" s="1158"/>
      <c r="G1" s="1158"/>
      <c r="H1" s="1160"/>
    </row>
    <row r="2" spans="1:8" ht="40.5" customHeight="1" thickBot="1" x14ac:dyDescent="0.25">
      <c r="A2" s="1161" t="s">
        <v>548</v>
      </c>
      <c r="B2" s="1162"/>
      <c r="C2" s="1163"/>
      <c r="D2" s="1307" t="s">
        <v>797</v>
      </c>
      <c r="E2" s="1225"/>
      <c r="F2" s="1225"/>
      <c r="G2" s="1225"/>
      <c r="H2" s="1226"/>
    </row>
    <row r="3" spans="1:8" s="503" customFormat="1" x14ac:dyDescent="0.2">
      <c r="A3" s="1167" t="s">
        <v>21</v>
      </c>
      <c r="B3" s="1169"/>
      <c r="C3" s="1170"/>
      <c r="D3" s="1171"/>
      <c r="E3" s="501" t="s">
        <v>0</v>
      </c>
      <c r="F3" s="501" t="s">
        <v>1</v>
      </c>
      <c r="G3" s="501" t="s">
        <v>2</v>
      </c>
      <c r="H3" s="502" t="s">
        <v>3</v>
      </c>
    </row>
    <row r="4" spans="1:8" s="503" customFormat="1" ht="16.5" thickBot="1" x14ac:dyDescent="0.25">
      <c r="A4" s="1168"/>
      <c r="B4" s="1172"/>
      <c r="C4" s="1173"/>
      <c r="D4" s="1174"/>
      <c r="E4" s="504">
        <v>53</v>
      </c>
      <c r="F4" s="505" t="s">
        <v>73</v>
      </c>
      <c r="G4" s="504"/>
      <c r="H4" s="506"/>
    </row>
    <row r="5" spans="1:8" x14ac:dyDescent="0.2">
      <c r="A5" s="1175" t="s">
        <v>14</v>
      </c>
      <c r="B5" s="1176"/>
      <c r="C5" s="1176"/>
      <c r="D5" s="1176"/>
      <c r="E5" s="1176"/>
      <c r="F5" s="1176"/>
      <c r="G5" s="1176"/>
      <c r="H5" s="1177"/>
    </row>
    <row r="6" spans="1:8" ht="102.75" customHeight="1" x14ac:dyDescent="0.2">
      <c r="A6" s="1284" t="s">
        <v>787</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ht="15.75" x14ac:dyDescent="0.25">
      <c r="A9" s="4" t="s">
        <v>320</v>
      </c>
      <c r="B9" s="5">
        <v>1</v>
      </c>
      <c r="C9" s="1292" t="s">
        <v>795</v>
      </c>
      <c r="D9" s="1293"/>
      <c r="E9" s="39" t="s">
        <v>831</v>
      </c>
      <c r="F9" s="5">
        <v>2</v>
      </c>
      <c r="G9" s="1273" t="s">
        <v>846</v>
      </c>
      <c r="H9" s="1274"/>
    </row>
    <row r="10" spans="1:8" ht="15.75" x14ac:dyDescent="0.25">
      <c r="A10" s="4" t="s">
        <v>269</v>
      </c>
      <c r="B10" s="5">
        <v>1</v>
      </c>
      <c r="C10" s="1292" t="s">
        <v>247</v>
      </c>
      <c r="D10" s="1293"/>
      <c r="E10" s="39" t="s">
        <v>663</v>
      </c>
      <c r="F10" s="5">
        <v>1</v>
      </c>
      <c r="G10" s="1273" t="s">
        <v>847</v>
      </c>
      <c r="H10" s="1274"/>
    </row>
    <row r="11" spans="1:8" ht="27.75" customHeight="1" x14ac:dyDescent="0.2">
      <c r="A11" s="20"/>
      <c r="B11" s="1"/>
      <c r="C11" s="1292"/>
      <c r="D11" s="1293"/>
      <c r="E11" s="1"/>
      <c r="F11" s="1"/>
      <c r="G11" s="1273"/>
      <c r="H11" s="1274"/>
    </row>
    <row r="12" spans="1:8" ht="14.25" x14ac:dyDescent="0.2">
      <c r="A12" s="31" t="s">
        <v>11</v>
      </c>
      <c r="B12" s="30"/>
      <c r="C12" s="30"/>
      <c r="D12" s="30"/>
      <c r="E12" s="30"/>
      <c r="F12" s="30"/>
      <c r="G12" s="30"/>
      <c r="H12" s="32"/>
    </row>
    <row r="13" spans="1:8" ht="38.25" customHeight="1" x14ac:dyDescent="0.2">
      <c r="A13" s="1304"/>
      <c r="B13" s="1305"/>
      <c r="C13" s="1305"/>
      <c r="D13" s="1305"/>
      <c r="E13" s="1305"/>
      <c r="F13" s="1305"/>
      <c r="G13" s="1305"/>
      <c r="H13" s="1306"/>
    </row>
    <row r="14" spans="1:8" ht="14.25" x14ac:dyDescent="0.2">
      <c r="A14" s="31" t="s">
        <v>20</v>
      </c>
      <c r="B14" s="29"/>
      <c r="C14" s="29"/>
      <c r="D14" s="29"/>
      <c r="E14" s="29"/>
      <c r="F14" s="29"/>
      <c r="G14" s="29"/>
      <c r="H14" s="38"/>
    </row>
    <row r="15" spans="1:8" x14ac:dyDescent="0.2">
      <c r="A15" s="61" t="s">
        <v>25</v>
      </c>
      <c r="B15" s="62" t="s">
        <v>0</v>
      </c>
      <c r="C15" s="61" t="s">
        <v>783</v>
      </c>
      <c r="D15" s="62" t="s">
        <v>0</v>
      </c>
      <c r="E15" s="903" t="s">
        <v>785</v>
      </c>
      <c r="F15" s="903" t="s">
        <v>293</v>
      </c>
      <c r="G15" s="903" t="s">
        <v>25</v>
      </c>
      <c r="H15" s="903" t="s">
        <v>788</v>
      </c>
    </row>
    <row r="16" spans="1:8" x14ac:dyDescent="0.2">
      <c r="A16" s="595" t="s">
        <v>781</v>
      </c>
      <c r="B16" s="377"/>
      <c r="C16" s="895" t="s">
        <v>42</v>
      </c>
      <c r="D16" s="896">
        <v>25</v>
      </c>
      <c r="E16" s="901" t="s">
        <v>42</v>
      </c>
      <c r="F16" s="901">
        <v>25</v>
      </c>
      <c r="G16" s="901" t="s">
        <v>850</v>
      </c>
      <c r="H16" s="901" t="s">
        <v>796</v>
      </c>
    </row>
    <row r="17" spans="1:13" x14ac:dyDescent="0.2">
      <c r="A17" s="65" t="s">
        <v>233</v>
      </c>
      <c r="B17" s="275">
        <v>53</v>
      </c>
      <c r="C17" s="896" t="s">
        <v>24</v>
      </c>
      <c r="D17" s="896">
        <v>1.5</v>
      </c>
      <c r="E17" s="896" t="s">
        <v>24</v>
      </c>
      <c r="F17" s="896">
        <v>1.2</v>
      </c>
      <c r="G17" s="896" t="s">
        <v>792</v>
      </c>
      <c r="H17" s="896">
        <v>3</v>
      </c>
    </row>
    <row r="18" spans="1:13" x14ac:dyDescent="0.2">
      <c r="A18" s="54" t="s">
        <v>231</v>
      </c>
      <c r="B18" s="275">
        <f>(40+63+90+110+160+42+45)/1000+0.5</f>
        <v>1.05</v>
      </c>
      <c r="C18" s="896" t="s">
        <v>43</v>
      </c>
      <c r="D18" s="896">
        <f>D16/D17</f>
        <v>16.666666666666668</v>
      </c>
      <c r="E18" s="896" t="s">
        <v>43</v>
      </c>
      <c r="F18" s="896">
        <f>F16/F17</f>
        <v>20.833333333333336</v>
      </c>
      <c r="G18" s="896" t="s">
        <v>7</v>
      </c>
      <c r="H18" s="905">
        <f>H17*B18*B17/3600/24</f>
        <v>1.932291666666667E-3</v>
      </c>
    </row>
    <row r="19" spans="1:13" x14ac:dyDescent="0.2">
      <c r="A19" s="893" t="s">
        <v>217</v>
      </c>
      <c r="B19" s="275">
        <f>1.5+0.2</f>
        <v>1.7</v>
      </c>
      <c r="C19" s="896" t="s">
        <v>44</v>
      </c>
      <c r="D19" s="896">
        <f>D18/B27</f>
        <v>20.833333333333332</v>
      </c>
      <c r="E19" s="896" t="s">
        <v>47</v>
      </c>
      <c r="F19" s="896">
        <f>G42</f>
        <v>13</v>
      </c>
      <c r="G19" s="896" t="s">
        <v>789</v>
      </c>
      <c r="H19" s="901" t="s">
        <v>796</v>
      </c>
    </row>
    <row r="20" spans="1:13" x14ac:dyDescent="0.2">
      <c r="A20" s="54" t="s">
        <v>60</v>
      </c>
      <c r="B20" s="275">
        <f>B19*B18*B17</f>
        <v>94.60499999999999</v>
      </c>
      <c r="C20" s="897" t="s">
        <v>37</v>
      </c>
      <c r="D20" s="896">
        <f>ROUNDUP(D19,0)</f>
        <v>21</v>
      </c>
      <c r="E20" s="896" t="s">
        <v>48</v>
      </c>
      <c r="F20" s="896">
        <v>45</v>
      </c>
      <c r="G20" s="896" t="s">
        <v>791</v>
      </c>
      <c r="H20" s="896">
        <v>5</v>
      </c>
    </row>
    <row r="21" spans="1:13" ht="25.5" x14ac:dyDescent="0.2">
      <c r="A21" s="54" t="s">
        <v>794</v>
      </c>
      <c r="B21" s="56">
        <f>53+53+37+37+37</f>
        <v>217</v>
      </c>
      <c r="C21" s="896" t="s">
        <v>45</v>
      </c>
      <c r="D21" s="896">
        <f>D20*B36</f>
        <v>616</v>
      </c>
      <c r="E21" s="896" t="s">
        <v>49</v>
      </c>
      <c r="F21" s="896">
        <f>F19/F20*60</f>
        <v>17.333333333333332</v>
      </c>
      <c r="G21" s="896" t="s">
        <v>7</v>
      </c>
      <c r="H21" s="905">
        <f>(B22+B21)*H20/3600/24</f>
        <v>1.5625E-2</v>
      </c>
    </row>
    <row r="22" spans="1:13" x14ac:dyDescent="0.2">
      <c r="A22" s="54" t="s">
        <v>793</v>
      </c>
      <c r="B22" s="56">
        <f>53</f>
        <v>53</v>
      </c>
      <c r="C22" s="897" t="s">
        <v>46</v>
      </c>
      <c r="D22" s="896">
        <f>D21/60</f>
        <v>10.266666666666667</v>
      </c>
      <c r="E22" s="896" t="s">
        <v>50</v>
      </c>
      <c r="F22" s="896">
        <v>5</v>
      </c>
      <c r="G22" s="896" t="s">
        <v>790</v>
      </c>
      <c r="H22" s="901" t="s">
        <v>796</v>
      </c>
    </row>
    <row r="23" spans="1:13" x14ac:dyDescent="0.2">
      <c r="A23" s="906" t="s">
        <v>784</v>
      </c>
      <c r="B23" s="275"/>
      <c r="C23" s="896" t="s">
        <v>47</v>
      </c>
      <c r="D23" s="896">
        <f>G42</f>
        <v>13</v>
      </c>
      <c r="E23" s="896" t="s">
        <v>51</v>
      </c>
      <c r="F23" s="896">
        <f>F21</f>
        <v>17.333333333333332</v>
      </c>
      <c r="G23" s="896" t="s">
        <v>791</v>
      </c>
      <c r="H23" s="896">
        <v>3</v>
      </c>
    </row>
    <row r="24" spans="1:13" x14ac:dyDescent="0.2">
      <c r="A24" s="54" t="s">
        <v>60</v>
      </c>
      <c r="B24" s="275">
        <f>0.2*B18*B17</f>
        <v>11.13</v>
      </c>
      <c r="C24" s="896" t="s">
        <v>48</v>
      </c>
      <c r="D24" s="896">
        <v>45</v>
      </c>
      <c r="E24" s="896" t="s">
        <v>52</v>
      </c>
      <c r="F24" s="896">
        <v>5</v>
      </c>
      <c r="G24" s="896" t="s">
        <v>7</v>
      </c>
      <c r="H24" s="905">
        <f>H23*B17/3600/24</f>
        <v>1.8402777777777777E-3</v>
      </c>
    </row>
    <row r="25" spans="1:13" ht="27" customHeight="1" x14ac:dyDescent="0.2">
      <c r="A25" s="459" t="s">
        <v>247</v>
      </c>
      <c r="B25" s="804"/>
      <c r="C25" s="904" t="s">
        <v>49</v>
      </c>
      <c r="D25" s="896">
        <f>D23/D24*60</f>
        <v>17.333333333333332</v>
      </c>
      <c r="E25" s="896" t="s">
        <v>53</v>
      </c>
      <c r="F25" s="896">
        <v>0</v>
      </c>
      <c r="G25" s="896"/>
      <c r="H25" s="896"/>
      <c r="M25" s="41"/>
    </row>
    <row r="26" spans="1:13" x14ac:dyDescent="0.2">
      <c r="A26" s="459" t="s">
        <v>26</v>
      </c>
      <c r="B26" s="804">
        <v>800</v>
      </c>
      <c r="C26" s="896" t="s">
        <v>50</v>
      </c>
      <c r="D26" s="896">
        <f>D22</f>
        <v>10.266666666666667</v>
      </c>
      <c r="E26" s="896" t="s">
        <v>54</v>
      </c>
      <c r="F26" s="896">
        <f>SUM(F22:F25)</f>
        <v>27.333333333333332</v>
      </c>
      <c r="G26" s="896"/>
      <c r="H26" s="896"/>
    </row>
    <row r="27" spans="1:13" ht="25.5" x14ac:dyDescent="0.2">
      <c r="A27" s="459" t="s">
        <v>27</v>
      </c>
      <c r="B27" s="804">
        <f>B26/1000</f>
        <v>0.8</v>
      </c>
      <c r="C27" s="896" t="s">
        <v>51</v>
      </c>
      <c r="D27" s="896">
        <f>D25</f>
        <v>17.333333333333332</v>
      </c>
      <c r="E27" s="896" t="s">
        <v>71</v>
      </c>
      <c r="F27" s="896">
        <f>F26/F22</f>
        <v>5.4666666666666668</v>
      </c>
      <c r="G27" s="896"/>
      <c r="H27" s="896"/>
    </row>
    <row r="28" spans="1:13" x14ac:dyDescent="0.2">
      <c r="A28" s="459" t="s">
        <v>69</v>
      </c>
      <c r="B28" s="804">
        <f>ROUNDUP(B20/B27,0)</f>
        <v>119</v>
      </c>
      <c r="C28" s="896" t="s">
        <v>52</v>
      </c>
      <c r="D28" s="896">
        <v>5</v>
      </c>
      <c r="E28" s="896" t="s">
        <v>23</v>
      </c>
      <c r="F28" s="896">
        <f>ROUNDUP(F27,0)</f>
        <v>6</v>
      </c>
      <c r="G28" s="896"/>
      <c r="H28" s="896"/>
    </row>
    <row r="29" spans="1:13" ht="25.5" x14ac:dyDescent="0.2">
      <c r="A29" s="459" t="s">
        <v>29</v>
      </c>
      <c r="B29" s="804">
        <v>10</v>
      </c>
      <c r="C29" s="896" t="s">
        <v>53</v>
      </c>
      <c r="D29" s="896">
        <f>D25</f>
        <v>17.333333333333332</v>
      </c>
      <c r="E29" s="896" t="s">
        <v>56</v>
      </c>
      <c r="F29" s="896">
        <f>F28*F18</f>
        <v>125.00000000000001</v>
      </c>
      <c r="G29" s="913" t="s">
        <v>85</v>
      </c>
      <c r="H29" s="896"/>
    </row>
    <row r="30" spans="1:13" ht="15" x14ac:dyDescent="0.2">
      <c r="A30" s="459" t="s">
        <v>30</v>
      </c>
      <c r="B30" s="804">
        <v>4</v>
      </c>
      <c r="C30" s="896" t="s">
        <v>54</v>
      </c>
      <c r="D30" s="896">
        <f>SUM(D26:D29)</f>
        <v>49.933333333333337</v>
      </c>
      <c r="E30" s="896" t="s">
        <v>55</v>
      </c>
      <c r="F30" s="896">
        <f>B24/F29</f>
        <v>8.9039999999999994E-2</v>
      </c>
      <c r="G30" s="914">
        <f>B38+F34+H24+H21+H18</f>
        <v>7.8780285493827165E-2</v>
      </c>
      <c r="H30" s="896"/>
    </row>
    <row r="31" spans="1:13" ht="25.5" x14ac:dyDescent="0.2">
      <c r="A31" s="459" t="s">
        <v>31</v>
      </c>
      <c r="B31" s="804">
        <v>4</v>
      </c>
      <c r="C31" s="896" t="s">
        <v>71</v>
      </c>
      <c r="D31" s="896">
        <f>D30/D26</f>
        <v>4.8636363636363633</v>
      </c>
      <c r="E31" s="896" t="s">
        <v>23</v>
      </c>
      <c r="F31" s="896">
        <f>ROUNDUP(F30,0)</f>
        <v>1</v>
      </c>
      <c r="G31" s="896"/>
      <c r="H31" s="896"/>
    </row>
    <row r="32" spans="1:13" ht="25.5" x14ac:dyDescent="0.2">
      <c r="A32" s="459" t="s">
        <v>32</v>
      </c>
      <c r="B32" s="804">
        <v>4</v>
      </c>
      <c r="C32" s="897" t="s">
        <v>23</v>
      </c>
      <c r="D32" s="896">
        <f>ROUNDUP(D31,0)</f>
        <v>5</v>
      </c>
      <c r="E32" s="896" t="s">
        <v>782</v>
      </c>
      <c r="F32" s="896">
        <f>ROUNDUP(B24/F18,0)</f>
        <v>1</v>
      </c>
      <c r="G32" s="896"/>
      <c r="H32" s="896"/>
    </row>
    <row r="33" spans="1:8" ht="25.5" x14ac:dyDescent="0.2">
      <c r="A33" s="459" t="s">
        <v>35</v>
      </c>
      <c r="B33" s="804">
        <f>SUM(B29:B32)</f>
        <v>22</v>
      </c>
      <c r="C33" s="896" t="s">
        <v>56</v>
      </c>
      <c r="D33" s="896">
        <f>D32*D18</f>
        <v>83.333333333333343</v>
      </c>
      <c r="E33" s="896" t="s">
        <v>57</v>
      </c>
      <c r="F33" s="896">
        <f>F26*F32</f>
        <v>27.333333333333332</v>
      </c>
      <c r="G33" s="896"/>
      <c r="H33" s="896"/>
    </row>
    <row r="34" spans="1:8" ht="25.5" x14ac:dyDescent="0.2">
      <c r="A34" s="459" t="s">
        <v>64</v>
      </c>
      <c r="B34" s="804">
        <f>60/80</f>
        <v>0.75</v>
      </c>
      <c r="C34" s="896" t="s">
        <v>55</v>
      </c>
      <c r="D34" s="896">
        <f>B20/D33</f>
        <v>1.1352599999999997</v>
      </c>
      <c r="E34" s="896" t="s">
        <v>58</v>
      </c>
      <c r="F34" s="905">
        <f>F33/60/24</f>
        <v>1.8981481481481481E-2</v>
      </c>
      <c r="G34" s="896"/>
      <c r="H34" s="896"/>
    </row>
    <row r="35" spans="1:8" x14ac:dyDescent="0.2">
      <c r="A35" s="907" t="s">
        <v>65</v>
      </c>
      <c r="B35" s="804">
        <f>80/60</f>
        <v>1.3333333333333333</v>
      </c>
      <c r="C35" s="897" t="s">
        <v>23</v>
      </c>
      <c r="D35" s="896">
        <f>ROUNDUP(D34,0)</f>
        <v>2</v>
      </c>
      <c r="E35" s="896"/>
      <c r="F35" s="896"/>
      <c r="G35" s="896"/>
      <c r="H35" s="896"/>
    </row>
    <row r="36" spans="1:8" ht="25.5" x14ac:dyDescent="0.2">
      <c r="A36" s="459" t="s">
        <v>34</v>
      </c>
      <c r="B36" s="804">
        <f>B33*B35</f>
        <v>29.333333333333332</v>
      </c>
      <c r="C36" s="896" t="s">
        <v>57</v>
      </c>
      <c r="D36" s="896">
        <f>D30*D37</f>
        <v>299.60000000000002</v>
      </c>
      <c r="E36" s="896"/>
      <c r="F36" s="896"/>
      <c r="G36" s="896"/>
      <c r="H36" s="896"/>
    </row>
    <row r="37" spans="1:8" ht="25.5" x14ac:dyDescent="0.2">
      <c r="A37" s="462" t="s">
        <v>235</v>
      </c>
      <c r="B37" s="471">
        <f>B36*B28</f>
        <v>3490.6666666666665</v>
      </c>
      <c r="C37" s="896" t="s">
        <v>782</v>
      </c>
      <c r="D37" s="896">
        <f>ROUNDUP(B20/D18,0)</f>
        <v>6</v>
      </c>
      <c r="E37" s="896"/>
      <c r="F37" s="896"/>
      <c r="G37" s="896"/>
      <c r="H37" s="896"/>
    </row>
    <row r="38" spans="1:8" ht="27" thickBot="1" x14ac:dyDescent="0.3">
      <c r="A38" s="465" t="s">
        <v>344</v>
      </c>
      <c r="B38" s="489">
        <f>B37/3600/24</f>
        <v>4.0401234567901234E-2</v>
      </c>
      <c r="C38" s="898" t="s">
        <v>58</v>
      </c>
      <c r="D38" s="899">
        <f>D36/60/24</f>
        <v>0.20805555555555558</v>
      </c>
      <c r="E38" s="902"/>
      <c r="F38" s="902"/>
      <c r="G38" s="902"/>
      <c r="H38" s="902"/>
    </row>
    <row r="39" spans="1:8" x14ac:dyDescent="0.2">
      <c r="A39" s="495" t="s">
        <v>9</v>
      </c>
      <c r="B39" s="496"/>
      <c r="C39" s="496"/>
      <c r="D39" s="496"/>
      <c r="E39" s="496"/>
      <c r="F39" s="1302" t="s">
        <v>16</v>
      </c>
      <c r="G39" s="1302"/>
      <c r="H39" s="1303"/>
    </row>
    <row r="40" spans="1:8" ht="25.5" x14ac:dyDescent="0.2">
      <c r="A40" s="894" t="s">
        <v>4</v>
      </c>
      <c r="B40" s="894" t="s">
        <v>5</v>
      </c>
      <c r="C40" s="894" t="s">
        <v>1</v>
      </c>
      <c r="D40" s="894" t="s">
        <v>6</v>
      </c>
      <c r="E40" s="894" t="s">
        <v>7</v>
      </c>
      <c r="F40" s="19" t="s">
        <v>17</v>
      </c>
      <c r="G40" s="19" t="s">
        <v>18</v>
      </c>
      <c r="H40" s="19" t="s">
        <v>19</v>
      </c>
    </row>
    <row r="41" spans="1:8" ht="48" customHeight="1" x14ac:dyDescent="0.2">
      <c r="A41" s="811" t="s">
        <v>786</v>
      </c>
      <c r="B41" s="811">
        <f>B20*D17</f>
        <v>141.90749999999997</v>
      </c>
      <c r="C41" s="811" t="s">
        <v>319</v>
      </c>
      <c r="D41" s="405">
        <v>3</v>
      </c>
      <c r="E41" s="405">
        <f>B41*D41</f>
        <v>425.72249999999991</v>
      </c>
      <c r="F41" s="900" t="s">
        <v>593</v>
      </c>
      <c r="G41" s="644">
        <v>2.9</v>
      </c>
      <c r="H41" s="644">
        <v>6</v>
      </c>
    </row>
    <row r="42" spans="1:8" x14ac:dyDescent="0.2">
      <c r="A42" s="1" t="s">
        <v>755</v>
      </c>
      <c r="B42" s="1">
        <f>F17*B24</f>
        <v>13.356</v>
      </c>
      <c r="C42" s="803" t="s">
        <v>319</v>
      </c>
      <c r="D42" s="405">
        <v>98</v>
      </c>
      <c r="E42" s="405">
        <f>B42*D42</f>
        <v>1308.8879999999999</v>
      </c>
      <c r="F42" s="405" t="s">
        <v>756</v>
      </c>
      <c r="G42" s="644">
        <v>13</v>
      </c>
      <c r="H42" s="644">
        <v>1</v>
      </c>
    </row>
    <row r="43" spans="1:8" x14ac:dyDescent="0.2">
      <c r="A43" s="1" t="s">
        <v>776</v>
      </c>
      <c r="B43" s="1">
        <v>1</v>
      </c>
      <c r="C43" s="803" t="s">
        <v>419</v>
      </c>
      <c r="D43" s="405">
        <v>69.62</v>
      </c>
      <c r="E43" s="405">
        <f>D43*B43</f>
        <v>69.62</v>
      </c>
      <c r="F43" s="405" t="s">
        <v>758</v>
      </c>
      <c r="G43" s="644">
        <v>27</v>
      </c>
      <c r="H43" s="644"/>
    </row>
    <row r="44" spans="1:8" x14ac:dyDescent="0.2">
      <c r="A44" s="1" t="s">
        <v>777</v>
      </c>
      <c r="B44" s="1">
        <v>1</v>
      </c>
      <c r="C44" s="803" t="s">
        <v>419</v>
      </c>
      <c r="D44" s="405">
        <v>124.69</v>
      </c>
      <c r="E44" s="405">
        <f>D44*B44</f>
        <v>124.69</v>
      </c>
      <c r="F44" s="405" t="s">
        <v>758</v>
      </c>
      <c r="G44" s="644">
        <v>27</v>
      </c>
      <c r="H44" s="644"/>
    </row>
    <row r="45" spans="1:8" x14ac:dyDescent="0.2">
      <c r="A45" s="891" t="s">
        <v>778</v>
      </c>
      <c r="B45" s="891">
        <v>1</v>
      </c>
      <c r="C45" s="892" t="s">
        <v>419</v>
      </c>
      <c r="D45" s="405">
        <v>310.8</v>
      </c>
      <c r="E45" s="405">
        <f>D45*B45</f>
        <v>310.8</v>
      </c>
      <c r="F45" s="405" t="s">
        <v>758</v>
      </c>
      <c r="G45" s="644">
        <v>27</v>
      </c>
      <c r="H45" s="644"/>
    </row>
    <row r="46" spans="1:8" x14ac:dyDescent="0.2">
      <c r="A46" s="891" t="s">
        <v>779</v>
      </c>
      <c r="B46" s="891">
        <v>1</v>
      </c>
      <c r="C46" s="892" t="s">
        <v>419</v>
      </c>
      <c r="D46" s="405">
        <v>716.13</v>
      </c>
      <c r="E46" s="405">
        <f>D46*B46</f>
        <v>716.13</v>
      </c>
      <c r="F46" s="405" t="s">
        <v>758</v>
      </c>
      <c r="G46" s="644">
        <v>27</v>
      </c>
      <c r="H46" s="644"/>
    </row>
    <row r="47" spans="1:8" x14ac:dyDescent="0.2">
      <c r="A47" s="891" t="s">
        <v>780</v>
      </c>
      <c r="B47" s="662">
        <v>53</v>
      </c>
      <c r="C47" s="892" t="s">
        <v>73</v>
      </c>
      <c r="D47" s="405">
        <v>3.55</v>
      </c>
      <c r="E47" s="405">
        <f>D47*B47</f>
        <v>188.14999999999998</v>
      </c>
      <c r="F47" s="405" t="s">
        <v>758</v>
      </c>
      <c r="G47" s="644">
        <v>27</v>
      </c>
      <c r="H47" s="644"/>
    </row>
  </sheetData>
  <mergeCells count="20">
    <mergeCell ref="G10:H10"/>
    <mergeCell ref="G11:H11"/>
    <mergeCell ref="C9:D9"/>
    <mergeCell ref="C10:D10"/>
    <mergeCell ref="F39:H39"/>
    <mergeCell ref="A13:H13"/>
    <mergeCell ref="A6:H6"/>
    <mergeCell ref="A1:C1"/>
    <mergeCell ref="D1:H1"/>
    <mergeCell ref="A2:C2"/>
    <mergeCell ref="D2:H2"/>
    <mergeCell ref="A3:A4"/>
    <mergeCell ref="B3:D4"/>
    <mergeCell ref="A5:H5"/>
    <mergeCell ref="A7:D7"/>
    <mergeCell ref="E7:H7"/>
    <mergeCell ref="C8:D8"/>
    <mergeCell ref="G8:H8"/>
    <mergeCell ref="C11:D11"/>
    <mergeCell ref="G9:H9"/>
  </mergeCells>
  <pageMargins left="0.25" right="0.25" top="0.75" bottom="0.75" header="0.3" footer="0.3"/>
  <pageSetup paperSize="9" scale="77"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115" zoomScaleNormal="115" workbookViewId="0">
      <selection activeCell="A14" sqref="A14:B18"/>
    </sheetView>
  </sheetViews>
  <sheetFormatPr baseColWidth="10" defaultRowHeight="12.75" x14ac:dyDescent="0.2"/>
  <cols>
    <col min="1" max="1" width="18" customWidth="1"/>
    <col min="2" max="2" width="7.42578125" customWidth="1"/>
    <col min="3" max="3" width="5" bestFit="1" customWidth="1"/>
    <col min="4" max="4" width="12.5703125" customWidth="1"/>
    <col min="5" max="5" width="13" customWidth="1"/>
    <col min="8" max="8" width="13.14062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844</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6</v>
      </c>
      <c r="F4" s="505" t="s">
        <v>435</v>
      </c>
      <c r="G4" s="504"/>
      <c r="H4" s="506"/>
    </row>
    <row r="5" spans="1:8" x14ac:dyDescent="0.2">
      <c r="A5" s="1175" t="s">
        <v>14</v>
      </c>
      <c r="B5" s="1176"/>
      <c r="C5" s="1176"/>
      <c r="D5" s="1176"/>
      <c r="E5" s="1176"/>
      <c r="F5" s="1176"/>
      <c r="G5" s="1176"/>
      <c r="H5" s="1177"/>
    </row>
    <row r="6" spans="1:8" ht="119.25" customHeight="1" x14ac:dyDescent="0.2">
      <c r="A6" s="1284" t="s">
        <v>448</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t="s">
        <v>269</v>
      </c>
      <c r="B9" s="1">
        <v>1</v>
      </c>
      <c r="C9" s="1186" t="s">
        <v>804</v>
      </c>
      <c r="D9" s="1187"/>
      <c r="E9" s="388" t="s">
        <v>303</v>
      </c>
      <c r="F9" s="389">
        <v>1</v>
      </c>
      <c r="G9" s="1308" t="s">
        <v>805</v>
      </c>
      <c r="H9" s="1308"/>
    </row>
    <row r="10" spans="1:8" x14ac:dyDescent="0.2">
      <c r="A10" s="20"/>
      <c r="B10" s="1"/>
      <c r="C10" s="1186"/>
      <c r="D10" s="1187"/>
      <c r="E10" s="1" t="s">
        <v>586</v>
      </c>
      <c r="F10" s="1">
        <v>1</v>
      </c>
      <c r="G10" s="1228" t="s">
        <v>310</v>
      </c>
      <c r="H10" s="1310"/>
    </row>
    <row r="11" spans="1:8" ht="14.25" x14ac:dyDescent="0.2">
      <c r="A11" s="31" t="s">
        <v>11</v>
      </c>
      <c r="B11" s="30"/>
      <c r="C11" s="30"/>
      <c r="D11" s="30"/>
      <c r="E11" s="30"/>
      <c r="F11" s="30"/>
      <c r="G11" s="30"/>
      <c r="H11" s="32"/>
    </row>
    <row r="12" spans="1:8" ht="62.25" customHeight="1" x14ac:dyDescent="0.2">
      <c r="A12" s="1308" t="s">
        <v>806</v>
      </c>
      <c r="B12" s="1309"/>
      <c r="C12" s="1309"/>
      <c r="D12" s="1309"/>
      <c r="E12" s="1309"/>
      <c r="F12" s="1309"/>
      <c r="G12" s="1309"/>
      <c r="H12" s="1309"/>
    </row>
    <row r="13" spans="1:8" ht="34.5" customHeight="1" x14ac:dyDescent="0.2">
      <c r="A13" s="1311" t="s">
        <v>20</v>
      </c>
      <c r="B13" s="1312"/>
      <c r="C13" s="1312"/>
      <c r="D13" s="1312"/>
      <c r="E13" s="1312"/>
      <c r="F13" s="1312"/>
      <c r="G13" s="1312"/>
      <c r="H13" s="1313"/>
    </row>
    <row r="14" spans="1:8" ht="24" x14ac:dyDescent="0.2">
      <c r="A14" s="919" t="s">
        <v>798</v>
      </c>
      <c r="B14" s="920"/>
      <c r="C14" s="920"/>
      <c r="D14" s="931" t="s">
        <v>807</v>
      </c>
      <c r="E14" s="920" t="s">
        <v>809</v>
      </c>
      <c r="F14" s="920"/>
      <c r="G14" s="920"/>
      <c r="H14" s="920"/>
    </row>
    <row r="15" spans="1:8" x14ac:dyDescent="0.2">
      <c r="A15" s="921" t="s">
        <v>799</v>
      </c>
      <c r="B15" s="926">
        <v>6</v>
      </c>
      <c r="C15" s="922"/>
      <c r="D15" s="921" t="s">
        <v>810</v>
      </c>
      <c r="E15" s="921">
        <v>3</v>
      </c>
      <c r="F15" s="922"/>
      <c r="G15" s="922"/>
      <c r="H15" s="922"/>
    </row>
    <row r="16" spans="1:8" x14ac:dyDescent="0.2">
      <c r="A16" s="923" t="s">
        <v>196</v>
      </c>
      <c r="B16" s="924">
        <v>0.65</v>
      </c>
      <c r="C16" s="923"/>
      <c r="D16" s="923" t="s">
        <v>348</v>
      </c>
      <c r="E16" s="933">
        <f>((E15*B21*B20)/3600/24)*B15</f>
        <v>3.1250000000000001E-4</v>
      </c>
      <c r="F16" s="923"/>
      <c r="G16" s="923"/>
      <c r="H16" s="925"/>
    </row>
    <row r="17" spans="1:8" x14ac:dyDescent="0.2">
      <c r="A17" s="923" t="s">
        <v>193</v>
      </c>
      <c r="B17" s="923">
        <v>0.5</v>
      </c>
      <c r="C17" s="923"/>
      <c r="D17" s="923" t="s">
        <v>808</v>
      </c>
      <c r="E17" s="923"/>
      <c r="F17" s="923"/>
      <c r="G17" s="923"/>
      <c r="H17" s="923"/>
    </row>
    <row r="18" spans="1:8" x14ac:dyDescent="0.2">
      <c r="A18" s="926" t="s">
        <v>800</v>
      </c>
      <c r="B18" s="923">
        <v>0.55000000000000004</v>
      </c>
      <c r="C18" s="923"/>
      <c r="D18" s="923" t="s">
        <v>811</v>
      </c>
      <c r="E18" s="933">
        <f xml:space="preserve"> 300/3600/24</f>
        <v>3.472222222222222E-3</v>
      </c>
      <c r="F18" s="923"/>
      <c r="G18" s="923"/>
      <c r="H18" s="923"/>
    </row>
    <row r="19" spans="1:8" x14ac:dyDescent="0.2">
      <c r="A19" s="919" t="s">
        <v>784</v>
      </c>
      <c r="B19" s="923"/>
      <c r="C19" s="923"/>
      <c r="D19" s="923" t="s">
        <v>348</v>
      </c>
      <c r="E19" s="933">
        <f>E18*B15</f>
        <v>2.0833333333333332E-2</v>
      </c>
      <c r="F19" s="923"/>
      <c r="G19" s="923"/>
      <c r="H19" s="923"/>
    </row>
    <row r="20" spans="1:8" x14ac:dyDescent="0.2">
      <c r="A20" s="926" t="s">
        <v>196</v>
      </c>
      <c r="B20" s="923">
        <v>1.5</v>
      </c>
      <c r="C20" s="923"/>
      <c r="D20" s="923" t="s">
        <v>347</v>
      </c>
      <c r="E20" s="923">
        <f>8/6</f>
        <v>1.3333333333333333</v>
      </c>
      <c r="F20" s="923"/>
      <c r="G20" s="923"/>
      <c r="H20" s="923"/>
    </row>
    <row r="21" spans="1:8" x14ac:dyDescent="0.2">
      <c r="A21" s="923" t="s">
        <v>193</v>
      </c>
      <c r="B21" s="923">
        <v>1</v>
      </c>
      <c r="C21" s="923"/>
      <c r="D21" s="932" t="s">
        <v>812</v>
      </c>
      <c r="E21" s="934">
        <f>E20*(E19+E16)</f>
        <v>2.8194444444444442E-2</v>
      </c>
      <c r="F21" s="923"/>
      <c r="G21" s="923"/>
      <c r="H21" s="923"/>
    </row>
    <row r="22" spans="1:8" x14ac:dyDescent="0.2">
      <c r="A22" s="387" t="s">
        <v>720</v>
      </c>
      <c r="B22" s="923">
        <v>0.1</v>
      </c>
      <c r="C22" s="929"/>
      <c r="D22" s="929"/>
      <c r="E22" s="929"/>
      <c r="F22" s="929"/>
      <c r="G22" s="929"/>
      <c r="H22" s="927"/>
    </row>
    <row r="23" spans="1:8" x14ac:dyDescent="0.2">
      <c r="A23" s="923" t="s">
        <v>283</v>
      </c>
      <c r="B23" s="932">
        <f>B22*B21*B20</f>
        <v>0.15000000000000002</v>
      </c>
      <c r="C23" s="930"/>
      <c r="D23" s="930"/>
      <c r="E23" s="930"/>
      <c r="F23" s="930"/>
      <c r="G23" s="930"/>
      <c r="H23" s="923"/>
    </row>
    <row r="24" spans="1:8" x14ac:dyDescent="0.2">
      <c r="A24" s="931"/>
      <c r="B24" s="931"/>
      <c r="C24" s="931"/>
      <c r="D24" s="931"/>
      <c r="E24" s="931"/>
      <c r="F24" s="931"/>
      <c r="G24" s="931"/>
      <c r="H24" s="928"/>
    </row>
    <row r="25" spans="1:8" x14ac:dyDescent="0.2">
      <c r="A25" s="14" t="s">
        <v>9</v>
      </c>
      <c r="B25" s="15"/>
      <c r="C25" s="15"/>
      <c r="D25" s="15"/>
      <c r="E25" s="15"/>
      <c r="F25" s="1155" t="s">
        <v>16</v>
      </c>
      <c r="G25" s="1155"/>
      <c r="H25" s="1156"/>
    </row>
    <row r="26" spans="1:8" ht="25.5" x14ac:dyDescent="0.2">
      <c r="A26" s="388" t="s">
        <v>4</v>
      </c>
      <c r="B26" s="388" t="s">
        <v>5</v>
      </c>
      <c r="C26" s="388" t="s">
        <v>1</v>
      </c>
      <c r="D26" s="388" t="s">
        <v>6</v>
      </c>
      <c r="E26" s="388" t="s">
        <v>7</v>
      </c>
      <c r="F26" s="390" t="s">
        <v>17</v>
      </c>
      <c r="G26" s="390" t="s">
        <v>18</v>
      </c>
      <c r="H26" s="398" t="s">
        <v>19</v>
      </c>
    </row>
    <row r="27" spans="1:8" ht="22.5" customHeight="1" x14ac:dyDescent="0.2">
      <c r="A27" s="776" t="s">
        <v>755</v>
      </c>
      <c r="B27" s="757">
        <f>B23*1.2</f>
        <v>0.18000000000000002</v>
      </c>
      <c r="C27" s="845" t="s">
        <v>319</v>
      </c>
      <c r="D27" s="777">
        <v>18</v>
      </c>
      <c r="E27" s="404">
        <f>D27*B27</f>
        <v>3.24</v>
      </c>
      <c r="F27" s="664" t="s">
        <v>756</v>
      </c>
      <c r="G27" s="664" t="s">
        <v>757</v>
      </c>
      <c r="H27" s="22"/>
    </row>
    <row r="28" spans="1:8" x14ac:dyDescent="0.2">
      <c r="A28" s="776" t="s">
        <v>801</v>
      </c>
      <c r="B28" s="1">
        <v>6</v>
      </c>
      <c r="C28" s="845" t="s">
        <v>366</v>
      </c>
      <c r="D28" s="916">
        <v>300</v>
      </c>
      <c r="E28" s="404">
        <f>D28*B28</f>
        <v>1800</v>
      </c>
      <c r="F28" s="664" t="s">
        <v>802</v>
      </c>
      <c r="G28" s="659" t="s">
        <v>803</v>
      </c>
      <c r="H28" s="22"/>
    </row>
    <row r="29" spans="1:8" ht="23.25" customHeight="1" x14ac:dyDescent="0.2">
      <c r="A29" s="390"/>
      <c r="B29" s="395"/>
      <c r="C29" s="395"/>
      <c r="D29" s="397"/>
      <c r="E29" s="494"/>
      <c r="F29" s="395"/>
      <c r="G29" s="395"/>
      <c r="H29" s="22"/>
    </row>
    <row r="30" spans="1:8" ht="13.5" thickBot="1" x14ac:dyDescent="0.25">
      <c r="A30" s="45"/>
      <c r="B30" s="23"/>
      <c r="C30" s="24"/>
      <c r="D30" s="23" t="str">
        <f>IF(A30="","",VLOOKUP(A30,$O$3:$P$12,2,FALSE))</f>
        <v/>
      </c>
      <c r="E30" s="25" t="str">
        <f>IF(A30="","",B30*D30)</f>
        <v/>
      </c>
      <c r="F30" s="12"/>
      <c r="G30" s="12"/>
      <c r="H30" s="13"/>
    </row>
  </sheetData>
  <mergeCells count="19">
    <mergeCell ref="A1:C1"/>
    <mergeCell ref="D1:H1"/>
    <mergeCell ref="A2:C2"/>
    <mergeCell ref="D2:H2"/>
    <mergeCell ref="A3:A4"/>
    <mergeCell ref="B3:D4"/>
    <mergeCell ref="A5:H5"/>
    <mergeCell ref="A7:D7"/>
    <mergeCell ref="E7:H7"/>
    <mergeCell ref="C8:D8"/>
    <mergeCell ref="G8:H8"/>
    <mergeCell ref="F25:H25"/>
    <mergeCell ref="A6:H6"/>
    <mergeCell ref="G9:H9"/>
    <mergeCell ref="A12:H12"/>
    <mergeCell ref="C9:D9"/>
    <mergeCell ref="C10:D10"/>
    <mergeCell ref="G10:H10"/>
    <mergeCell ref="A13:H13"/>
  </mergeCells>
  <pageMargins left="0.7" right="0.7" top="0.75" bottom="0.75" header="0.3" footer="0.3"/>
  <pageSetup paperSize="9" scale="9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selection activeCell="F18" sqref="F18"/>
    </sheetView>
  </sheetViews>
  <sheetFormatPr baseColWidth="10" defaultRowHeight="12.75" x14ac:dyDescent="0.2"/>
  <cols>
    <col min="1" max="1" width="15.5703125" customWidth="1"/>
    <col min="2" max="2" width="7.28515625" customWidth="1"/>
    <col min="3" max="3" width="5" bestFit="1" customWidth="1"/>
    <col min="4" max="4" width="27.42578125"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845</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v>
      </c>
      <c r="F4" s="505" t="s">
        <v>435</v>
      </c>
      <c r="G4" s="948" t="s">
        <v>736</v>
      </c>
      <c r="H4" s="506" t="s">
        <v>843</v>
      </c>
    </row>
    <row r="5" spans="1:8" x14ac:dyDescent="0.2">
      <c r="A5" s="1175" t="s">
        <v>14</v>
      </c>
      <c r="B5" s="1176"/>
      <c r="C5" s="1176"/>
      <c r="D5" s="1176"/>
      <c r="E5" s="1176"/>
      <c r="F5" s="1176"/>
      <c r="G5" s="1176"/>
      <c r="H5" s="1177"/>
    </row>
    <row r="6" spans="1:8" ht="62.25" customHeight="1" x14ac:dyDescent="0.2">
      <c r="A6" s="1314" t="s">
        <v>813</v>
      </c>
      <c r="B6" s="1314"/>
      <c r="C6" s="1314"/>
      <c r="D6" s="1314"/>
      <c r="E6" s="1314"/>
      <c r="F6" s="1314"/>
      <c r="G6" s="1314"/>
      <c r="H6" s="1315"/>
    </row>
    <row r="7" spans="1:8" ht="15.75" x14ac:dyDescent="0.25">
      <c r="A7" s="4" t="s">
        <v>4</v>
      </c>
      <c r="B7" s="5" t="s">
        <v>5</v>
      </c>
      <c r="C7" s="1181" t="s">
        <v>15</v>
      </c>
      <c r="D7" s="1181"/>
      <c r="E7" s="5" t="s">
        <v>4</v>
      </c>
      <c r="F7" s="5" t="s">
        <v>0</v>
      </c>
      <c r="G7" s="1181" t="s">
        <v>15</v>
      </c>
      <c r="H7" s="1181"/>
    </row>
    <row r="8" spans="1:8" x14ac:dyDescent="0.2">
      <c r="A8" s="20" t="s">
        <v>834</v>
      </c>
      <c r="B8" s="1">
        <v>1</v>
      </c>
      <c r="C8" s="1316" t="s">
        <v>835</v>
      </c>
      <c r="D8" s="1317"/>
      <c r="E8" s="500" t="s">
        <v>663</v>
      </c>
      <c r="F8" s="389">
        <v>1</v>
      </c>
      <c r="G8" s="1308" t="s">
        <v>832</v>
      </c>
      <c r="H8" s="1308"/>
    </row>
    <row r="9" spans="1:8" x14ac:dyDescent="0.2">
      <c r="A9" s="20"/>
      <c r="B9" s="1"/>
      <c r="C9" s="1318"/>
      <c r="D9" s="1319"/>
      <c r="E9" s="1" t="s">
        <v>831</v>
      </c>
      <c r="F9" s="1">
        <v>1</v>
      </c>
      <c r="G9" s="1228" t="s">
        <v>833</v>
      </c>
      <c r="H9" s="1229"/>
    </row>
    <row r="10" spans="1:8" ht="14.25" x14ac:dyDescent="0.2">
      <c r="A10" s="31" t="s">
        <v>11</v>
      </c>
      <c r="B10" s="30"/>
      <c r="C10" s="30"/>
      <c r="D10" s="30"/>
      <c r="E10" s="30"/>
      <c r="F10" s="30"/>
      <c r="G10" s="30"/>
      <c r="H10" s="32"/>
    </row>
    <row r="11" spans="1:8" ht="62.25" customHeight="1" x14ac:dyDescent="0.2">
      <c r="A11" s="1308" t="s">
        <v>814</v>
      </c>
      <c r="B11" s="1309"/>
      <c r="C11" s="1309"/>
      <c r="D11" s="1309"/>
      <c r="E11" s="1309"/>
      <c r="F11" s="1309"/>
      <c r="G11" s="1309"/>
      <c r="H11" s="1309"/>
    </row>
    <row r="12" spans="1:8" ht="14.25" x14ac:dyDescent="0.2">
      <c r="A12" s="31" t="s">
        <v>20</v>
      </c>
      <c r="B12" s="29"/>
      <c r="C12" s="29"/>
      <c r="D12" s="29"/>
      <c r="E12" s="29"/>
      <c r="F12" s="29"/>
      <c r="G12" s="29"/>
      <c r="H12" s="38"/>
    </row>
    <row r="13" spans="1:8" x14ac:dyDescent="0.2">
      <c r="A13" s="917" t="s">
        <v>781</v>
      </c>
      <c r="B13" s="915" t="s">
        <v>819</v>
      </c>
      <c r="C13" s="915"/>
      <c r="D13" s="917" t="s">
        <v>283</v>
      </c>
      <c r="E13" s="915" t="s">
        <v>823</v>
      </c>
      <c r="F13" s="915"/>
      <c r="G13" s="917" t="s">
        <v>837</v>
      </c>
      <c r="H13" s="942"/>
    </row>
    <row r="14" spans="1:8" x14ac:dyDescent="0.2">
      <c r="A14" s="941" t="s">
        <v>817</v>
      </c>
      <c r="B14" s="391"/>
      <c r="C14" s="391"/>
      <c r="D14" s="938" t="s">
        <v>820</v>
      </c>
      <c r="E14" s="918">
        <f>B15*B16*B17</f>
        <v>0.58500000000000008</v>
      </c>
      <c r="F14" s="391"/>
      <c r="G14" s="938" t="s">
        <v>815</v>
      </c>
      <c r="H14" s="947">
        <f>300/3600/24</f>
        <v>3.472222222222222E-3</v>
      </c>
    </row>
    <row r="15" spans="1:8" x14ac:dyDescent="0.2">
      <c r="A15" s="847" t="s">
        <v>196</v>
      </c>
      <c r="B15" s="847">
        <v>1.5</v>
      </c>
      <c r="C15" s="847"/>
      <c r="D15" s="943" t="s">
        <v>821</v>
      </c>
      <c r="E15" s="847">
        <f>B19*B20*B21</f>
        <v>0.22499999999999998</v>
      </c>
      <c r="F15" s="847"/>
      <c r="G15" s="943" t="s">
        <v>838</v>
      </c>
      <c r="H15" s="947">
        <f>1200/3600/24</f>
        <v>1.3888888888888888E-2</v>
      </c>
    </row>
    <row r="16" spans="1:8" x14ac:dyDescent="0.2">
      <c r="A16" s="847" t="s">
        <v>346</v>
      </c>
      <c r="B16" s="847">
        <v>1.3</v>
      </c>
      <c r="C16" s="847"/>
      <c r="D16" s="943" t="s">
        <v>822</v>
      </c>
      <c r="E16" s="847">
        <f>B23*B24*B25</f>
        <v>4.8999999999999995E-2</v>
      </c>
      <c r="F16" s="847"/>
      <c r="G16" s="943" t="s">
        <v>839</v>
      </c>
      <c r="H16" s="947">
        <f>600/3600/24</f>
        <v>6.9444444444444441E-3</v>
      </c>
    </row>
    <row r="17" spans="1:8" x14ac:dyDescent="0.2">
      <c r="A17" s="846" t="s">
        <v>816</v>
      </c>
      <c r="B17" s="847">
        <v>0.3</v>
      </c>
      <c r="C17" s="847"/>
      <c r="D17" s="943" t="s">
        <v>829</v>
      </c>
      <c r="E17" s="939">
        <f>E15+E14-E16</f>
        <v>0.76100000000000001</v>
      </c>
      <c r="F17" s="847"/>
      <c r="G17" s="943" t="s">
        <v>840</v>
      </c>
      <c r="H17" s="947">
        <f>180/3600/24</f>
        <v>2.0833333333333333E-3</v>
      </c>
    </row>
    <row r="18" spans="1:8" x14ac:dyDescent="0.2">
      <c r="A18" s="940" t="s">
        <v>815</v>
      </c>
      <c r="B18" s="847"/>
      <c r="C18" s="847"/>
      <c r="D18" s="939" t="s">
        <v>96</v>
      </c>
      <c r="E18" s="847"/>
      <c r="F18" s="847"/>
      <c r="G18" s="943" t="s">
        <v>841</v>
      </c>
      <c r="H18" s="947">
        <f>1800/3600/24</f>
        <v>2.0833333333333332E-2</v>
      </c>
    </row>
    <row r="19" spans="1:8" x14ac:dyDescent="0.2">
      <c r="A19" s="847" t="s">
        <v>196</v>
      </c>
      <c r="B19" s="847">
        <v>1.5</v>
      </c>
      <c r="C19" s="847"/>
      <c r="D19" s="846" t="s">
        <v>93</v>
      </c>
      <c r="E19" s="847">
        <v>5.5</v>
      </c>
      <c r="F19" s="847"/>
      <c r="G19" s="943" t="s">
        <v>842</v>
      </c>
      <c r="H19" s="947">
        <f>600/3600/24</f>
        <v>6.9444444444444441E-3</v>
      </c>
    </row>
    <row r="20" spans="1:8" x14ac:dyDescent="0.2">
      <c r="A20" s="847" t="s">
        <v>346</v>
      </c>
      <c r="B20" s="847">
        <v>0.3</v>
      </c>
      <c r="C20" s="847"/>
      <c r="D20" s="846" t="s">
        <v>92</v>
      </c>
      <c r="E20" s="939">
        <f>E17/E19</f>
        <v>0.13836363636363636</v>
      </c>
      <c r="F20" s="847"/>
      <c r="G20" s="943" t="s">
        <v>347</v>
      </c>
      <c r="H20" s="945">
        <f>8/6</f>
        <v>1.3333333333333333</v>
      </c>
    </row>
    <row r="21" spans="1:8" x14ac:dyDescent="0.2">
      <c r="A21" s="846" t="s">
        <v>816</v>
      </c>
      <c r="B21" s="847">
        <v>0.5</v>
      </c>
      <c r="C21" s="935"/>
      <c r="D21" s="936"/>
      <c r="F21" s="935"/>
      <c r="G21" s="944" t="s">
        <v>85</v>
      </c>
      <c r="H21" s="949">
        <f>(H19+H18+H17+H16+H15+H14)*H20</f>
        <v>7.2222222222222215E-2</v>
      </c>
    </row>
    <row r="22" spans="1:8" x14ac:dyDescent="0.2">
      <c r="A22" s="940" t="s">
        <v>818</v>
      </c>
      <c r="B22" s="847"/>
      <c r="C22" s="936"/>
      <c r="D22" s="936"/>
      <c r="E22" s="936"/>
      <c r="F22" s="936"/>
      <c r="G22" s="936"/>
      <c r="H22" s="947"/>
    </row>
    <row r="23" spans="1:8" x14ac:dyDescent="0.2">
      <c r="A23" s="847" t="s">
        <v>196</v>
      </c>
      <c r="B23" s="847">
        <v>0.35</v>
      </c>
      <c r="C23" s="936"/>
      <c r="D23" s="936"/>
      <c r="E23" s="936"/>
      <c r="F23" s="936"/>
      <c r="G23" s="936"/>
      <c r="H23" s="947"/>
    </row>
    <row r="24" spans="1:8" x14ac:dyDescent="0.2">
      <c r="A24" s="847" t="s">
        <v>346</v>
      </c>
      <c r="B24" s="847">
        <v>0.7</v>
      </c>
      <c r="C24" s="936"/>
      <c r="D24" s="936"/>
      <c r="E24" s="936"/>
      <c r="F24" s="936"/>
      <c r="G24" s="936"/>
      <c r="H24" s="947"/>
    </row>
    <row r="25" spans="1:8" x14ac:dyDescent="0.2">
      <c r="A25" s="846" t="s">
        <v>816</v>
      </c>
      <c r="B25" s="847">
        <v>0.2</v>
      </c>
      <c r="C25" s="936"/>
      <c r="D25" s="936"/>
      <c r="E25" s="936"/>
      <c r="F25" s="936"/>
      <c r="G25" s="936"/>
      <c r="H25" s="947"/>
    </row>
    <row r="26" spans="1:8" ht="22.5" customHeight="1" x14ac:dyDescent="0.2">
      <c r="A26" s="937"/>
      <c r="B26" s="937"/>
      <c r="C26" s="937"/>
      <c r="D26" s="937"/>
      <c r="E26" s="937"/>
      <c r="F26" s="937"/>
      <c r="G26" s="937"/>
      <c r="H26" s="394"/>
    </row>
    <row r="27" spans="1:8" x14ac:dyDescent="0.2">
      <c r="A27" s="14" t="s">
        <v>9</v>
      </c>
      <c r="B27" s="15"/>
      <c r="C27" s="15"/>
      <c r="D27" s="15"/>
      <c r="E27" s="15"/>
      <c r="F27" s="1155" t="s">
        <v>16</v>
      </c>
      <c r="G27" s="1155"/>
      <c r="H27" s="1156"/>
    </row>
    <row r="28" spans="1:8" ht="23.25" customHeight="1" x14ac:dyDescent="0.2">
      <c r="A28" s="500" t="s">
        <v>4</v>
      </c>
      <c r="B28" s="500" t="s">
        <v>5</v>
      </c>
      <c r="C28" s="500" t="s">
        <v>1</v>
      </c>
      <c r="D28" s="500" t="s">
        <v>6</v>
      </c>
      <c r="E28" s="500" t="s">
        <v>7</v>
      </c>
      <c r="F28" s="498" t="s">
        <v>17</v>
      </c>
      <c r="G28" s="498" t="s">
        <v>18</v>
      </c>
      <c r="H28" s="398" t="s">
        <v>19</v>
      </c>
    </row>
    <row r="29" spans="1:8" x14ac:dyDescent="0.2">
      <c r="A29" s="776" t="s">
        <v>364</v>
      </c>
      <c r="B29" s="757">
        <f>E17</f>
        <v>0.76100000000000001</v>
      </c>
      <c r="C29" s="845" t="s">
        <v>22</v>
      </c>
      <c r="D29" s="777">
        <v>98</v>
      </c>
      <c r="E29" s="404">
        <f>B29*D29</f>
        <v>74.578000000000003</v>
      </c>
      <c r="F29" s="664" t="s">
        <v>824</v>
      </c>
      <c r="G29" s="664" t="s">
        <v>825</v>
      </c>
      <c r="H29" s="22">
        <v>1</v>
      </c>
    </row>
    <row r="30" spans="1:8" x14ac:dyDescent="0.2">
      <c r="A30" s="776" t="s">
        <v>826</v>
      </c>
      <c r="B30" s="1" t="s">
        <v>830</v>
      </c>
      <c r="C30" s="845" t="s">
        <v>366</v>
      </c>
      <c r="D30" s="777" t="s">
        <v>830</v>
      </c>
      <c r="E30" s="404"/>
      <c r="F30" s="664" t="s">
        <v>674</v>
      </c>
      <c r="G30" s="659" t="s">
        <v>827</v>
      </c>
      <c r="H30" s="22"/>
    </row>
    <row r="31" spans="1:8" x14ac:dyDescent="0.2">
      <c r="A31" s="776" t="s">
        <v>828</v>
      </c>
      <c r="B31" s="757">
        <v>1</v>
      </c>
      <c r="C31" s="845" t="s">
        <v>366</v>
      </c>
      <c r="D31" s="777">
        <v>200</v>
      </c>
      <c r="E31" s="404">
        <f>+D31*B31</f>
        <v>200</v>
      </c>
      <c r="F31" s="11"/>
      <c r="G31" s="11"/>
      <c r="H31" s="22"/>
    </row>
    <row r="32" spans="1:8" ht="13.5" thickBot="1" x14ac:dyDescent="0.25">
      <c r="A32" s="45"/>
      <c r="B32" s="23"/>
      <c r="C32" s="24"/>
      <c r="D32" s="23" t="str">
        <f>IF(A32="","",VLOOKUP(A32,$O$3:$P$11,2,FALSE))</f>
        <v/>
      </c>
      <c r="E32" s="25" t="str">
        <f>IF(A32="","",B32*D32)</f>
        <v/>
      </c>
      <c r="F32" s="12"/>
      <c r="G32" s="12"/>
      <c r="H32" s="13"/>
    </row>
  </sheetData>
  <mergeCells count="16">
    <mergeCell ref="A5:H5"/>
    <mergeCell ref="C7:D7"/>
    <mergeCell ref="G7:H7"/>
    <mergeCell ref="A6:H6"/>
    <mergeCell ref="F27:H27"/>
    <mergeCell ref="G8:H8"/>
    <mergeCell ref="A11:H11"/>
    <mergeCell ref="G9:H9"/>
    <mergeCell ref="C8:D8"/>
    <mergeCell ref="C9:D9"/>
    <mergeCell ref="A1:C1"/>
    <mergeCell ref="D1:H1"/>
    <mergeCell ref="A2:C2"/>
    <mergeCell ref="D2:H2"/>
    <mergeCell ref="A3:A4"/>
    <mergeCell ref="B3:D4"/>
  </mergeCells>
  <pageMargins left="0.7" right="0.7" top="0.75" bottom="0.75" header="0.3" footer="0.3"/>
  <pageSetup paperSize="9" scale="8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workbookViewId="0">
      <selection activeCell="B29" sqref="B29"/>
    </sheetView>
  </sheetViews>
  <sheetFormatPr baseColWidth="10" defaultRowHeight="12.75" x14ac:dyDescent="0.2"/>
  <cols>
    <col min="1" max="1" width="15.5703125" customWidth="1"/>
    <col min="2" max="2" width="6.85546875" customWidth="1"/>
    <col min="3" max="3" width="5" bestFit="1" customWidth="1"/>
    <col min="4" max="4" width="35.140625" customWidth="1"/>
    <col min="5" max="5" width="12" bestFit="1" customWidth="1"/>
    <col min="8" max="8" width="14.710937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450</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15</v>
      </c>
      <c r="F4" s="505" t="s">
        <v>73</v>
      </c>
      <c r="G4" s="504"/>
      <c r="H4" s="506" t="s">
        <v>858</v>
      </c>
    </row>
    <row r="5" spans="1:8" x14ac:dyDescent="0.2">
      <c r="A5" s="1175" t="s">
        <v>14</v>
      </c>
      <c r="B5" s="1176"/>
      <c r="C5" s="1176"/>
      <c r="D5" s="1176"/>
      <c r="E5" s="1176"/>
      <c r="F5" s="1176"/>
      <c r="G5" s="1176"/>
      <c r="H5" s="1177"/>
    </row>
    <row r="6" spans="1:8" ht="55.5" customHeight="1" x14ac:dyDescent="0.2">
      <c r="A6" s="1284" t="s">
        <v>451</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15.75" x14ac:dyDescent="0.25">
      <c r="A9" s="20"/>
      <c r="B9" s="1"/>
      <c r="C9" s="49"/>
      <c r="D9" s="26"/>
      <c r="E9" s="5" t="s">
        <v>831</v>
      </c>
      <c r="F9" s="5">
        <v>2</v>
      </c>
      <c r="G9" s="1273" t="s">
        <v>846</v>
      </c>
      <c r="H9" s="1274"/>
    </row>
    <row r="10" spans="1:8" ht="15.75" x14ac:dyDescent="0.25">
      <c r="A10" s="20"/>
      <c r="B10" s="1"/>
      <c r="C10" s="26"/>
      <c r="D10" s="26"/>
      <c r="E10" s="5" t="s">
        <v>663</v>
      </c>
      <c r="F10" s="5">
        <v>1</v>
      </c>
      <c r="G10" s="1273" t="s">
        <v>847</v>
      </c>
      <c r="H10" s="1274"/>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ht="12.75" customHeight="1" x14ac:dyDescent="0.2">
      <c r="A14" s="951" t="s">
        <v>848</v>
      </c>
      <c r="B14" s="953"/>
      <c r="C14" s="953"/>
      <c r="D14" s="951" t="s">
        <v>851</v>
      </c>
      <c r="E14" s="953"/>
      <c r="F14" s="953"/>
      <c r="G14" s="946" t="s">
        <v>849</v>
      </c>
      <c r="H14" s="954"/>
    </row>
    <row r="15" spans="1:8" x14ac:dyDescent="0.2">
      <c r="A15" s="956" t="s">
        <v>73</v>
      </c>
      <c r="B15" s="950">
        <v>15</v>
      </c>
      <c r="C15" s="950"/>
      <c r="D15" s="956" t="s">
        <v>852</v>
      </c>
      <c r="E15" s="947">
        <f>30/3600/24</f>
        <v>3.4722222222222224E-4</v>
      </c>
      <c r="F15" s="950"/>
      <c r="G15" s="957" t="s">
        <v>854</v>
      </c>
      <c r="H15" s="947">
        <f>30/3600/24</f>
        <v>3.4722222222222224E-4</v>
      </c>
    </row>
    <row r="16" spans="1:8" x14ac:dyDescent="0.2">
      <c r="A16" s="957" t="s">
        <v>720</v>
      </c>
      <c r="B16" s="954">
        <f>110/1000</f>
        <v>0.11</v>
      </c>
      <c r="C16" s="954"/>
      <c r="D16" s="957" t="s">
        <v>7</v>
      </c>
      <c r="E16" s="947">
        <f>E15*B18*B19</f>
        <v>1.6145833333333333E-3</v>
      </c>
      <c r="F16" s="954"/>
      <c r="G16" s="959" t="s">
        <v>7</v>
      </c>
      <c r="H16" s="947">
        <f>H15*B23</f>
        <v>5.2083333333333339E-3</v>
      </c>
    </row>
    <row r="17" spans="1:8" x14ac:dyDescent="0.2">
      <c r="A17" s="946" t="s">
        <v>784</v>
      </c>
      <c r="B17" s="954"/>
      <c r="C17" s="954"/>
      <c r="D17" s="962" t="s">
        <v>855</v>
      </c>
      <c r="E17" s="965">
        <f>E16*H22</f>
        <v>2.1527777777777778E-3</v>
      </c>
      <c r="F17" s="954"/>
      <c r="G17" s="961" t="s">
        <v>855</v>
      </c>
      <c r="H17" s="966">
        <f>H16*H22</f>
        <v>6.9444444444444449E-3</v>
      </c>
    </row>
    <row r="18" spans="1:8" x14ac:dyDescent="0.2">
      <c r="A18" s="958" t="s">
        <v>193</v>
      </c>
      <c r="B18" s="954">
        <f>B16+0.2</f>
        <v>0.31</v>
      </c>
      <c r="C18" s="954"/>
      <c r="D18" s="946" t="s">
        <v>856</v>
      </c>
      <c r="E18" s="954"/>
      <c r="F18" s="954"/>
      <c r="G18" s="954"/>
      <c r="H18" s="954"/>
    </row>
    <row r="19" spans="1:8" x14ac:dyDescent="0.2">
      <c r="A19" s="958" t="s">
        <v>196</v>
      </c>
      <c r="B19" s="954">
        <f>B15</f>
        <v>15</v>
      </c>
      <c r="C19" s="954"/>
      <c r="D19" s="957" t="s">
        <v>853</v>
      </c>
      <c r="E19" s="947">
        <f>6/3600/24</f>
        <v>6.9444444444444444E-5</v>
      </c>
      <c r="F19" s="954"/>
      <c r="G19" s="954"/>
      <c r="H19" s="954"/>
    </row>
    <row r="20" spans="1:8" x14ac:dyDescent="0.2">
      <c r="A20" s="958" t="s">
        <v>720</v>
      </c>
      <c r="B20" s="954">
        <f>0.1</f>
        <v>0.1</v>
      </c>
      <c r="C20" s="954"/>
      <c r="D20" s="957" t="s">
        <v>7</v>
      </c>
      <c r="E20" s="947">
        <f>E19*B18*B19</f>
        <v>3.2291666666666666E-4</v>
      </c>
      <c r="F20" s="954"/>
      <c r="G20" s="954"/>
      <c r="H20" s="954"/>
    </row>
    <row r="21" spans="1:8" x14ac:dyDescent="0.2">
      <c r="A21" s="957" t="s">
        <v>610</v>
      </c>
      <c r="B21" s="946">
        <f>B20*B18*B19</f>
        <v>0.46499999999999997</v>
      </c>
      <c r="C21" s="954"/>
      <c r="D21" s="963" t="s">
        <v>855</v>
      </c>
      <c r="E21" s="965">
        <f>E20*H22</f>
        <v>4.3055555555555555E-4</v>
      </c>
      <c r="F21" s="954"/>
      <c r="G21" s="954" t="s">
        <v>102</v>
      </c>
      <c r="H21" s="960">
        <f>E25+E21+E17+H17</f>
        <v>1.0916666666666668E-2</v>
      </c>
    </row>
    <row r="22" spans="1:8" x14ac:dyDescent="0.2">
      <c r="A22" s="952" t="s">
        <v>849</v>
      </c>
      <c r="B22" s="955"/>
      <c r="C22" s="955"/>
      <c r="D22" s="946" t="s">
        <v>857</v>
      </c>
      <c r="E22" s="954"/>
      <c r="F22" s="955"/>
      <c r="G22" s="950" t="s">
        <v>99</v>
      </c>
      <c r="H22" s="950">
        <f>8/6</f>
        <v>1.3333333333333333</v>
      </c>
    </row>
    <row r="23" spans="1:8" x14ac:dyDescent="0.2">
      <c r="A23" s="957" t="s">
        <v>204</v>
      </c>
      <c r="B23" s="954">
        <v>15</v>
      </c>
      <c r="C23" s="954"/>
      <c r="D23" s="957" t="s">
        <v>854</v>
      </c>
      <c r="E23" s="947">
        <f>6/3600/24</f>
        <v>6.9444444444444444E-5</v>
      </c>
      <c r="F23" s="954"/>
      <c r="G23" s="954" t="s">
        <v>855</v>
      </c>
      <c r="H23" s="964">
        <f>H22*H21</f>
        <v>1.4555555555555558E-2</v>
      </c>
    </row>
    <row r="24" spans="1:8" x14ac:dyDescent="0.2">
      <c r="A24" s="957" t="s">
        <v>193</v>
      </c>
      <c r="B24" s="954">
        <v>0.31</v>
      </c>
      <c r="C24" s="954"/>
      <c r="D24" s="959" t="s">
        <v>7</v>
      </c>
      <c r="E24" s="947">
        <f>E23*B15</f>
        <v>1.0416666666666667E-3</v>
      </c>
      <c r="F24" s="954"/>
      <c r="G24" s="954"/>
      <c r="H24" s="954"/>
    </row>
    <row r="25" spans="1:8" x14ac:dyDescent="0.2">
      <c r="A25" s="957" t="s">
        <v>720</v>
      </c>
      <c r="B25" s="954">
        <v>0.2</v>
      </c>
      <c r="C25" s="954"/>
      <c r="D25" s="961" t="s">
        <v>855</v>
      </c>
      <c r="E25" s="966">
        <f>E24*H22</f>
        <v>1.3888888888888887E-3</v>
      </c>
      <c r="F25" s="954"/>
      <c r="G25" s="954"/>
      <c r="H25" s="954"/>
    </row>
    <row r="26" spans="1:8" x14ac:dyDescent="0.2">
      <c r="A26" s="953" t="s">
        <v>610</v>
      </c>
      <c r="B26" s="951">
        <f>B23*B24*B25</f>
        <v>0.93000000000000016</v>
      </c>
      <c r="C26" s="953"/>
      <c r="D26" s="953"/>
      <c r="E26" s="953"/>
      <c r="F26" s="953"/>
      <c r="G26" s="953"/>
      <c r="H26" s="955"/>
    </row>
    <row r="27" spans="1:8" ht="22.5" customHeight="1" x14ac:dyDescent="0.2">
      <c r="A27" s="14" t="s">
        <v>9</v>
      </c>
      <c r="B27" s="15"/>
      <c r="C27" s="15"/>
      <c r="D27" s="15"/>
      <c r="E27" s="15"/>
      <c r="F27" s="1155" t="s">
        <v>16</v>
      </c>
      <c r="G27" s="1155"/>
      <c r="H27" s="1156"/>
    </row>
    <row r="28" spans="1:8" ht="25.5" x14ac:dyDescent="0.2">
      <c r="A28" s="500" t="s">
        <v>4</v>
      </c>
      <c r="B28" s="500" t="s">
        <v>5</v>
      </c>
      <c r="C28" s="500" t="s">
        <v>1</v>
      </c>
      <c r="D28" s="500" t="s">
        <v>6</v>
      </c>
      <c r="E28" s="500" t="s">
        <v>7</v>
      </c>
      <c r="F28" s="498" t="s">
        <v>17</v>
      </c>
      <c r="G28" s="498" t="s">
        <v>18</v>
      </c>
      <c r="H28" s="398" t="s">
        <v>19</v>
      </c>
    </row>
    <row r="29" spans="1:8" ht="23.25" customHeight="1" x14ac:dyDescent="0.2">
      <c r="A29" s="498" t="s">
        <v>859</v>
      </c>
      <c r="B29" s="499">
        <v>15</v>
      </c>
      <c r="C29" s="499" t="s">
        <v>366</v>
      </c>
      <c r="D29" s="405">
        <v>310.8</v>
      </c>
      <c r="E29" s="494"/>
      <c r="F29" s="499"/>
      <c r="G29" s="499"/>
      <c r="H29" s="22"/>
    </row>
    <row r="30" spans="1:8" x14ac:dyDescent="0.2">
      <c r="A30" s="500"/>
      <c r="B30" s="499"/>
      <c r="C30" s="499"/>
      <c r="D30" s="396"/>
      <c r="E30" s="494"/>
      <c r="F30" s="499"/>
      <c r="G30" s="499"/>
      <c r="H30" s="22"/>
    </row>
    <row r="31" spans="1:8" x14ac:dyDescent="0.2">
      <c r="A31" s="498"/>
      <c r="B31" s="499"/>
      <c r="C31" s="499"/>
      <c r="D31" s="397"/>
      <c r="E31" s="494"/>
      <c r="F31" s="499"/>
      <c r="G31" s="499"/>
      <c r="H31" s="22"/>
    </row>
    <row r="32" spans="1:8" ht="13.5" thickBot="1" x14ac:dyDescent="0.25">
      <c r="A32" s="45"/>
      <c r="B32" s="23"/>
      <c r="C32" s="24"/>
      <c r="D32" s="23" t="str">
        <f>IF(A32="","",VLOOKUP(A32,$O$3:$P$12,2,FALSE))</f>
        <v/>
      </c>
      <c r="E32" s="25" t="str">
        <f>IF(A32="","",B32*D32)</f>
        <v/>
      </c>
      <c r="F32" s="12"/>
      <c r="G32" s="12"/>
      <c r="H32" s="13"/>
    </row>
  </sheetData>
  <mergeCells count="16">
    <mergeCell ref="F27:H27"/>
    <mergeCell ref="G9:H9"/>
    <mergeCell ref="A12:H12"/>
    <mergeCell ref="G10:H10"/>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7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K7" sqref="K7"/>
    </sheetView>
  </sheetViews>
  <sheetFormatPr baseColWidth="10" defaultRowHeight="12.75" x14ac:dyDescent="0.2"/>
  <cols>
    <col min="1" max="1" width="25" customWidth="1"/>
    <col min="2" max="2" width="17.42578125" customWidth="1"/>
    <col min="3" max="3" width="15.140625"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452</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60</v>
      </c>
      <c r="F4" s="505" t="s">
        <v>73</v>
      </c>
      <c r="G4" s="504"/>
      <c r="H4" s="506"/>
    </row>
    <row r="5" spans="1:8" x14ac:dyDescent="0.2">
      <c r="A5" s="1175" t="s">
        <v>14</v>
      </c>
      <c r="B5" s="1176"/>
      <c r="C5" s="1176"/>
      <c r="D5" s="1176"/>
      <c r="E5" s="1176"/>
      <c r="F5" s="1176"/>
      <c r="G5" s="1176"/>
      <c r="H5" s="1177"/>
    </row>
    <row r="6" spans="1:8" ht="36.75" customHeight="1" x14ac:dyDescent="0.2">
      <c r="A6" s="1284" t="s">
        <v>454</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49"/>
      <c r="D9" s="26"/>
      <c r="E9" s="975" t="s">
        <v>865</v>
      </c>
      <c r="F9" s="976">
        <v>2</v>
      </c>
      <c r="G9" s="1308" t="s">
        <v>866</v>
      </c>
      <c r="H9" s="1308"/>
    </row>
    <row r="10" spans="1:8" x14ac:dyDescent="0.2">
      <c r="A10" s="20"/>
      <c r="B10" s="1"/>
      <c r="C10" s="26"/>
      <c r="D10" s="26"/>
      <c r="E10" s="1"/>
      <c r="F10" s="1"/>
      <c r="G10" s="26"/>
      <c r="H10" s="35"/>
    </row>
    <row r="11" spans="1:8" ht="14.25" x14ac:dyDescent="0.2">
      <c r="A11" s="31" t="s">
        <v>11</v>
      </c>
      <c r="B11" s="30"/>
      <c r="C11" s="30"/>
      <c r="D11" s="30"/>
      <c r="E11" s="30"/>
      <c r="F11" s="30"/>
      <c r="G11" s="30"/>
      <c r="H11" s="32"/>
    </row>
    <row r="12" spans="1:8" ht="62.25" customHeight="1" x14ac:dyDescent="0.2">
      <c r="A12" s="1308" t="s">
        <v>420</v>
      </c>
      <c r="B12" s="1309"/>
      <c r="C12" s="1309"/>
      <c r="D12" s="1309"/>
      <c r="E12" s="1309"/>
      <c r="F12" s="1309"/>
      <c r="G12" s="1309"/>
      <c r="H12" s="1309"/>
    </row>
    <row r="13" spans="1:8" ht="15" thickBot="1" x14ac:dyDescent="0.25">
      <c r="A13" s="31" t="s">
        <v>20</v>
      </c>
      <c r="B13" s="29"/>
      <c r="C13" s="29"/>
      <c r="D13" s="29"/>
      <c r="E13" s="29"/>
      <c r="F13" s="29"/>
      <c r="G13" s="29"/>
      <c r="H13" s="38"/>
    </row>
    <row r="14" spans="1:8" ht="15" x14ac:dyDescent="0.25">
      <c r="A14" s="967" t="s">
        <v>860</v>
      </c>
      <c r="B14" s="968">
        <v>60</v>
      </c>
      <c r="C14" s="915"/>
      <c r="D14" s="915"/>
      <c r="E14" s="915"/>
      <c r="F14" s="915"/>
      <c r="G14" s="915"/>
      <c r="H14" s="915"/>
    </row>
    <row r="15" spans="1:8" ht="15" x14ac:dyDescent="0.25">
      <c r="A15" s="969" t="s">
        <v>864</v>
      </c>
      <c r="B15" s="970">
        <v>1</v>
      </c>
      <c r="C15" s="391"/>
      <c r="D15" s="391"/>
      <c r="E15" s="391"/>
      <c r="F15" s="391"/>
      <c r="G15" s="391"/>
      <c r="H15" s="391"/>
    </row>
    <row r="16" spans="1:8" ht="15" x14ac:dyDescent="0.25">
      <c r="A16" s="969" t="s">
        <v>861</v>
      </c>
      <c r="B16" s="971">
        <f>B14/B15/3600/24</f>
        <v>6.9444444444444447E-4</v>
      </c>
      <c r="C16" s="847"/>
      <c r="D16" s="847"/>
      <c r="E16" s="847"/>
      <c r="F16" s="847"/>
      <c r="G16" s="847"/>
      <c r="H16" s="392"/>
    </row>
    <row r="17" spans="1:8" ht="15" x14ac:dyDescent="0.25">
      <c r="A17" s="969" t="s">
        <v>862</v>
      </c>
      <c r="B17" s="972">
        <f>8/6</f>
        <v>1.3333333333333333</v>
      </c>
      <c r="C17" s="847"/>
      <c r="D17" s="847"/>
      <c r="E17" s="847"/>
      <c r="F17" s="847"/>
      <c r="G17" s="847"/>
      <c r="H17" s="847"/>
    </row>
    <row r="18" spans="1:8" ht="15.75" thickBot="1" x14ac:dyDescent="0.3">
      <c r="A18" s="973" t="s">
        <v>863</v>
      </c>
      <c r="B18" s="974">
        <f>B16*B17</f>
        <v>9.2592592592592596E-4</v>
      </c>
      <c r="C18" s="847"/>
      <c r="D18" s="847"/>
      <c r="E18" s="847"/>
      <c r="F18" s="847"/>
      <c r="G18" s="847"/>
      <c r="H18" s="847"/>
    </row>
    <row r="19" spans="1:8" x14ac:dyDescent="0.2">
      <c r="A19" s="846"/>
      <c r="B19" s="847"/>
      <c r="C19" s="847"/>
      <c r="D19" s="847"/>
      <c r="E19" s="847"/>
      <c r="F19" s="847"/>
      <c r="G19" s="847"/>
      <c r="H19" s="847"/>
    </row>
    <row r="20" spans="1:8" x14ac:dyDescent="0.2">
      <c r="A20" s="846"/>
      <c r="B20" s="847"/>
      <c r="C20" s="847"/>
      <c r="D20" s="847"/>
      <c r="E20" s="847"/>
      <c r="F20" s="847"/>
      <c r="G20" s="847"/>
      <c r="H20" s="847"/>
    </row>
    <row r="21" spans="1:8" x14ac:dyDescent="0.2">
      <c r="A21" s="847"/>
      <c r="B21" s="847"/>
      <c r="C21" s="847"/>
      <c r="D21" s="847"/>
      <c r="E21" s="847"/>
      <c r="F21" s="847"/>
      <c r="G21" s="847"/>
      <c r="H21" s="847"/>
    </row>
    <row r="22" spans="1:8" x14ac:dyDescent="0.2">
      <c r="A22" s="935"/>
      <c r="B22" s="935"/>
      <c r="C22" s="935"/>
      <c r="D22" s="935"/>
      <c r="E22" s="935"/>
      <c r="F22" s="935"/>
      <c r="G22" s="935"/>
      <c r="H22" s="393"/>
    </row>
    <row r="23" spans="1:8" x14ac:dyDescent="0.2">
      <c r="A23" s="936"/>
      <c r="B23" s="936"/>
      <c r="C23" s="936"/>
      <c r="D23" s="936"/>
      <c r="E23" s="936"/>
      <c r="F23" s="936"/>
      <c r="G23" s="936"/>
      <c r="H23" s="847"/>
    </row>
    <row r="24" spans="1:8" x14ac:dyDescent="0.2">
      <c r="A24" s="937"/>
      <c r="B24" s="937"/>
      <c r="C24" s="937"/>
      <c r="D24" s="937"/>
      <c r="E24" s="937"/>
      <c r="F24" s="937"/>
      <c r="G24" s="937"/>
      <c r="H24" s="394"/>
    </row>
    <row r="25" spans="1:8" x14ac:dyDescent="0.2">
      <c r="A25" s="14" t="s">
        <v>9</v>
      </c>
      <c r="B25" s="15"/>
      <c r="C25" s="15"/>
      <c r="D25" s="15"/>
      <c r="E25" s="15"/>
      <c r="F25" s="1155" t="s">
        <v>16</v>
      </c>
      <c r="G25" s="1155"/>
      <c r="H25" s="1156"/>
    </row>
    <row r="26" spans="1:8" ht="25.5" x14ac:dyDescent="0.2">
      <c r="A26" s="500" t="s">
        <v>4</v>
      </c>
      <c r="B26" s="500" t="s">
        <v>5</v>
      </c>
      <c r="C26" s="500" t="s">
        <v>1</v>
      </c>
      <c r="D26" s="500" t="s">
        <v>6</v>
      </c>
      <c r="E26" s="500" t="s">
        <v>7</v>
      </c>
      <c r="F26" s="498" t="s">
        <v>17</v>
      </c>
      <c r="G26" s="498" t="s">
        <v>18</v>
      </c>
      <c r="H26" s="398" t="s">
        <v>19</v>
      </c>
    </row>
    <row r="27" spans="1:8" ht="22.5" customHeight="1" x14ac:dyDescent="0.2">
      <c r="A27" s="498"/>
      <c r="B27" s="499"/>
      <c r="C27" s="499"/>
      <c r="D27" s="396"/>
      <c r="E27" s="494"/>
      <c r="F27" s="499"/>
      <c r="G27" s="499"/>
      <c r="H27" s="22"/>
    </row>
    <row r="28" spans="1:8" x14ac:dyDescent="0.2">
      <c r="A28" s="500"/>
      <c r="B28" s="499"/>
      <c r="C28" s="499"/>
      <c r="D28" s="396"/>
      <c r="E28" s="494"/>
      <c r="F28" s="499"/>
      <c r="G28" s="499"/>
      <c r="H28" s="22"/>
    </row>
    <row r="29" spans="1:8" ht="23.25" customHeight="1" x14ac:dyDescent="0.2">
      <c r="A29" s="498"/>
      <c r="B29" s="499"/>
      <c r="C29" s="499"/>
      <c r="D29" s="397"/>
      <c r="E29" s="494"/>
      <c r="F29" s="499"/>
      <c r="G29" s="499"/>
      <c r="H29" s="22"/>
    </row>
    <row r="30" spans="1:8" ht="13.5" thickBot="1" x14ac:dyDescent="0.25">
      <c r="A30" s="45"/>
      <c r="B30" s="23"/>
      <c r="C30" s="24"/>
      <c r="D30" s="23" t="str">
        <f>IF(A30="","",VLOOKUP(A30,$O$3:$P$12,2,FALSE))</f>
        <v/>
      </c>
      <c r="E30" s="25" t="str">
        <f>IF(A30="","",B30*D30)</f>
        <v/>
      </c>
      <c r="F30" s="12"/>
      <c r="G30" s="12"/>
      <c r="H30" s="13"/>
    </row>
  </sheetData>
  <mergeCells count="15">
    <mergeCell ref="F25:H25"/>
    <mergeCell ref="G9:H9"/>
    <mergeCell ref="A12:H12"/>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selection activeCell="A10" sqref="A10"/>
    </sheetView>
  </sheetViews>
  <sheetFormatPr baseColWidth="10" defaultRowHeight="12.75" x14ac:dyDescent="0.2"/>
  <cols>
    <col min="1" max="1" width="15.5703125" customWidth="1"/>
    <col min="2" max="2" width="11.42578125" customWidth="1"/>
    <col min="3" max="3" width="5" bestFit="1" customWidth="1"/>
    <col min="4" max="4" width="26.5703125" customWidth="1"/>
    <col min="5" max="5" width="11.42578125" bestFit="1" customWidth="1"/>
    <col min="8" max="8" width="15.4257812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453</v>
      </c>
      <c r="E2" s="1225"/>
      <c r="F2" s="1225"/>
      <c r="G2" s="1225"/>
      <c r="H2" s="1226"/>
    </row>
    <row r="3" spans="1:8" ht="12.75" customHeight="1" x14ac:dyDescent="0.2">
      <c r="A3" s="1167" t="s">
        <v>21</v>
      </c>
      <c r="B3" s="1169"/>
      <c r="C3" s="1170"/>
      <c r="D3" s="1171"/>
      <c r="E3" s="501" t="s">
        <v>0</v>
      </c>
      <c r="F3" s="501" t="s">
        <v>1</v>
      </c>
      <c r="G3" s="501" t="s">
        <v>2</v>
      </c>
      <c r="H3" s="502" t="s">
        <v>3</v>
      </c>
    </row>
    <row r="4" spans="1:8" ht="25.5" customHeight="1" thickBot="1" x14ac:dyDescent="0.25">
      <c r="A4" s="1168"/>
      <c r="B4" s="1172"/>
      <c r="C4" s="1173"/>
      <c r="D4" s="1174"/>
      <c r="E4" s="504">
        <v>2</v>
      </c>
      <c r="F4" s="505" t="s">
        <v>1</v>
      </c>
      <c r="G4" s="504" t="s">
        <v>879</v>
      </c>
      <c r="H4" s="506" t="s">
        <v>878</v>
      </c>
    </row>
    <row r="5" spans="1:8" x14ac:dyDescent="0.2">
      <c r="A5" s="1175" t="s">
        <v>14</v>
      </c>
      <c r="B5" s="1176"/>
      <c r="C5" s="1176"/>
      <c r="D5" s="1176"/>
      <c r="E5" s="1176"/>
      <c r="F5" s="1176"/>
      <c r="G5" s="1176"/>
      <c r="H5" s="1177"/>
    </row>
    <row r="6" spans="1:8" ht="95.25" customHeight="1" x14ac:dyDescent="0.2">
      <c r="A6" s="1284" t="s">
        <v>455</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15" x14ac:dyDescent="0.2">
      <c r="A9" s="977" t="s">
        <v>269</v>
      </c>
      <c r="B9" s="643">
        <v>1</v>
      </c>
      <c r="C9" s="1322" t="s">
        <v>872</v>
      </c>
      <c r="D9" s="1323"/>
      <c r="E9" s="975" t="s">
        <v>865</v>
      </c>
      <c r="F9" s="643">
        <v>2</v>
      </c>
      <c r="G9" s="1320" t="s">
        <v>868</v>
      </c>
      <c r="H9" s="1321"/>
    </row>
    <row r="10" spans="1:8" x14ac:dyDescent="0.2">
      <c r="A10" s="20"/>
      <c r="B10" s="1"/>
      <c r="C10" s="26"/>
      <c r="D10" s="26"/>
      <c r="E10" s="1" t="s">
        <v>663</v>
      </c>
      <c r="F10" s="1">
        <v>1</v>
      </c>
      <c r="G10" s="1324" t="s">
        <v>873</v>
      </c>
      <c r="H10" s="1310"/>
    </row>
    <row r="11" spans="1:8" ht="14.25" x14ac:dyDescent="0.2">
      <c r="A11" s="31" t="s">
        <v>11</v>
      </c>
      <c r="B11" s="30"/>
      <c r="C11" s="30"/>
      <c r="D11" s="30"/>
      <c r="E11" s="30"/>
      <c r="F11" s="30"/>
      <c r="G11" s="30"/>
      <c r="H11" s="32"/>
    </row>
    <row r="12" spans="1:8" ht="35.25" customHeight="1" x14ac:dyDescent="0.2">
      <c r="A12" s="1308" t="s">
        <v>869</v>
      </c>
      <c r="B12" s="1309"/>
      <c r="C12" s="1309"/>
      <c r="D12" s="1309"/>
      <c r="E12" s="1309"/>
      <c r="F12" s="1309"/>
      <c r="G12" s="1309"/>
      <c r="H12" s="1309"/>
    </row>
    <row r="13" spans="1:8" ht="14.25" x14ac:dyDescent="0.2">
      <c r="A13" s="31" t="s">
        <v>20</v>
      </c>
      <c r="B13" s="29"/>
      <c r="C13" s="29"/>
      <c r="D13" s="29"/>
      <c r="E13" s="29"/>
      <c r="F13" s="29"/>
      <c r="G13" s="29"/>
      <c r="H13" s="38"/>
    </row>
    <row r="14" spans="1:8" x14ac:dyDescent="0.2">
      <c r="A14" s="986" t="s">
        <v>870</v>
      </c>
      <c r="B14" s="987"/>
      <c r="C14" s="987"/>
      <c r="D14" s="1000" t="s">
        <v>876</v>
      </c>
      <c r="E14" s="11"/>
      <c r="F14" s="987"/>
      <c r="G14" s="987"/>
      <c r="H14" s="987"/>
    </row>
    <row r="15" spans="1:8" x14ac:dyDescent="0.2">
      <c r="A15" s="988" t="s">
        <v>799</v>
      </c>
      <c r="B15" s="985">
        <v>2</v>
      </c>
      <c r="C15" s="989"/>
      <c r="D15" s="988" t="s">
        <v>836</v>
      </c>
      <c r="E15" s="990">
        <f>4/60/24</f>
        <v>2.7777777777777779E-3</v>
      </c>
      <c r="F15" s="989"/>
      <c r="G15" s="989" t="s">
        <v>85</v>
      </c>
      <c r="H15" s="1003">
        <f>E16+E21</f>
        <v>5.5555555555555558E-3</v>
      </c>
    </row>
    <row r="16" spans="1:8" x14ac:dyDescent="0.2">
      <c r="A16" s="989" t="s">
        <v>871</v>
      </c>
      <c r="B16" s="989">
        <v>0.63</v>
      </c>
      <c r="C16" s="983"/>
      <c r="D16" s="41" t="s">
        <v>855</v>
      </c>
      <c r="E16" s="965">
        <f>E15*B23</f>
        <v>3.7037037037037038E-3</v>
      </c>
      <c r="F16" s="983"/>
      <c r="G16" s="1001"/>
      <c r="H16" s="991"/>
    </row>
    <row r="17" spans="1:8" x14ac:dyDescent="0.2">
      <c r="A17" s="992" t="s">
        <v>193</v>
      </c>
      <c r="B17" s="983">
        <v>0.63</v>
      </c>
      <c r="C17" s="983"/>
      <c r="D17" s="995" t="s">
        <v>874</v>
      </c>
      <c r="E17" s="987"/>
      <c r="F17" s="983"/>
      <c r="G17" s="983"/>
      <c r="H17" s="983"/>
    </row>
    <row r="18" spans="1:8" x14ac:dyDescent="0.2">
      <c r="A18" s="992" t="s">
        <v>800</v>
      </c>
      <c r="B18" s="983">
        <v>0.73</v>
      </c>
      <c r="C18" s="983"/>
      <c r="D18" s="988" t="s">
        <v>875</v>
      </c>
      <c r="E18" s="990">
        <f>1/60/24</f>
        <v>6.9444444444444447E-4</v>
      </c>
      <c r="F18" s="983"/>
      <c r="G18" s="983"/>
      <c r="H18" s="983"/>
    </row>
    <row r="19" spans="1:8" x14ac:dyDescent="0.2">
      <c r="A19" s="993" t="s">
        <v>302</v>
      </c>
      <c r="B19" s="994">
        <f>B17*B16</f>
        <v>0.39690000000000003</v>
      </c>
      <c r="C19" s="983"/>
      <c r="D19" s="992" t="s">
        <v>877</v>
      </c>
      <c r="E19" s="990">
        <f>1/60/24</f>
        <v>6.9444444444444447E-4</v>
      </c>
      <c r="F19" s="983"/>
      <c r="G19" s="983"/>
      <c r="H19" s="983"/>
    </row>
    <row r="20" spans="1:8" x14ac:dyDescent="0.2">
      <c r="A20" s="995" t="s">
        <v>784</v>
      </c>
      <c r="B20" s="983"/>
      <c r="C20" s="983"/>
      <c r="D20" s="992" t="s">
        <v>348</v>
      </c>
      <c r="E20" s="1001">
        <f>E19+E18</f>
        <v>1.3888888888888889E-3</v>
      </c>
      <c r="F20" s="983"/>
      <c r="G20" s="983"/>
      <c r="H20" s="983"/>
    </row>
    <row r="21" spans="1:8" x14ac:dyDescent="0.2">
      <c r="A21" s="993" t="s">
        <v>816</v>
      </c>
      <c r="B21" s="983">
        <f>0.2</f>
        <v>0.2</v>
      </c>
      <c r="C21" s="983"/>
      <c r="D21" s="992" t="s">
        <v>855</v>
      </c>
      <c r="E21" s="1002">
        <f>E20*B23</f>
        <v>1.8518518518518519E-3</v>
      </c>
      <c r="F21" s="983"/>
      <c r="G21" s="983"/>
      <c r="H21" s="983"/>
    </row>
    <row r="22" spans="1:8" x14ac:dyDescent="0.2">
      <c r="A22" s="992" t="s">
        <v>610</v>
      </c>
      <c r="B22" s="994">
        <f>B21*B19</f>
        <v>7.9380000000000006E-2</v>
      </c>
      <c r="C22" s="996"/>
      <c r="D22" s="996"/>
      <c r="E22" s="996"/>
      <c r="F22" s="996"/>
      <c r="G22" s="996"/>
      <c r="H22" s="997"/>
    </row>
    <row r="23" spans="1:8" x14ac:dyDescent="0.2">
      <c r="A23" s="998" t="s">
        <v>99</v>
      </c>
      <c r="B23" s="998">
        <f>8/6</f>
        <v>1.3333333333333333</v>
      </c>
      <c r="C23" s="998"/>
      <c r="D23" s="998"/>
      <c r="E23" s="998"/>
      <c r="F23" s="998"/>
      <c r="G23" s="998"/>
      <c r="H23" s="983"/>
    </row>
    <row r="24" spans="1:8" x14ac:dyDescent="0.2">
      <c r="A24" s="986"/>
      <c r="B24" s="986"/>
      <c r="C24" s="986"/>
      <c r="D24" s="986"/>
      <c r="E24" s="986"/>
      <c r="F24" s="986"/>
      <c r="G24" s="986"/>
      <c r="H24" s="999"/>
    </row>
    <row r="25" spans="1:8" x14ac:dyDescent="0.2">
      <c r="A25" s="14" t="s">
        <v>9</v>
      </c>
      <c r="B25" s="15"/>
      <c r="C25" s="15"/>
      <c r="D25" s="15"/>
      <c r="E25" s="15"/>
      <c r="F25" s="1155" t="s">
        <v>16</v>
      </c>
      <c r="G25" s="1155"/>
      <c r="H25" s="1156"/>
    </row>
    <row r="26" spans="1:8" ht="25.5" x14ac:dyDescent="0.2">
      <c r="A26" s="983" t="s">
        <v>4</v>
      </c>
      <c r="B26" s="983" t="s">
        <v>5</v>
      </c>
      <c r="C26" s="983" t="s">
        <v>1</v>
      </c>
      <c r="D26" s="983" t="s">
        <v>6</v>
      </c>
      <c r="E26" s="983" t="s">
        <v>7</v>
      </c>
      <c r="F26" s="984" t="s">
        <v>17</v>
      </c>
      <c r="G26" s="984" t="s">
        <v>18</v>
      </c>
      <c r="H26" s="978" t="s">
        <v>19</v>
      </c>
    </row>
    <row r="27" spans="1:8" ht="22.5" customHeight="1" x14ac:dyDescent="0.2">
      <c r="A27" s="20" t="s">
        <v>755</v>
      </c>
      <c r="B27" s="1">
        <f>B22*1.2</f>
        <v>9.5256000000000007E-2</v>
      </c>
      <c r="C27" s="845" t="s">
        <v>319</v>
      </c>
      <c r="D27" s="404">
        <v>98</v>
      </c>
      <c r="E27" s="404">
        <f>B27*D27</f>
        <v>9.3350880000000007</v>
      </c>
      <c r="F27" s="979" t="s">
        <v>756</v>
      </c>
      <c r="G27" s="845" t="s">
        <v>757</v>
      </c>
      <c r="H27" s="980"/>
    </row>
    <row r="28" spans="1:8" x14ac:dyDescent="0.2">
      <c r="A28" s="20" t="s">
        <v>867</v>
      </c>
      <c r="B28" s="1">
        <v>2</v>
      </c>
      <c r="C28" s="845" t="s">
        <v>366</v>
      </c>
      <c r="D28" s="404">
        <v>50</v>
      </c>
      <c r="E28" s="404">
        <f>D28*B28</f>
        <v>100</v>
      </c>
      <c r="F28" s="979" t="s">
        <v>802</v>
      </c>
      <c r="G28" s="845" t="s">
        <v>803</v>
      </c>
      <c r="H28" s="980"/>
    </row>
    <row r="29" spans="1:8" ht="13.5" thickBot="1" x14ac:dyDescent="0.25">
      <c r="A29" s="45"/>
      <c r="B29" s="23"/>
      <c r="C29" s="24"/>
      <c r="D29" s="23" t="str">
        <f>IF(A29="","",VLOOKUP(A29,$O$3:$P$12,2,FALSE))</f>
        <v/>
      </c>
      <c r="E29" s="25" t="str">
        <f>IF(A29="","",B29*D29)</f>
        <v/>
      </c>
      <c r="F29" s="981"/>
      <c r="G29" s="981"/>
      <c r="H29" s="982"/>
    </row>
  </sheetData>
  <mergeCells count="17">
    <mergeCell ref="F25:H25"/>
    <mergeCell ref="G9:H9"/>
    <mergeCell ref="A12:H12"/>
    <mergeCell ref="C9:D9"/>
    <mergeCell ref="G10:H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93"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topLeftCell="A10" workbookViewId="0">
      <selection activeCell="B28" sqref="B28"/>
    </sheetView>
  </sheetViews>
  <sheetFormatPr baseColWidth="10" defaultRowHeight="12.75" x14ac:dyDescent="0.2"/>
  <cols>
    <col min="1" max="1" width="17.85546875" customWidth="1"/>
    <col min="2" max="2" width="7.42578125" customWidth="1"/>
    <col min="3" max="3" width="5" bestFit="1" customWidth="1"/>
    <col min="4" max="4" width="18.85546875"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456</v>
      </c>
      <c r="E2" s="1225"/>
      <c r="F2" s="1225"/>
      <c r="G2" s="1225"/>
      <c r="H2" s="1226"/>
    </row>
    <row r="3" spans="1:8" ht="12.75" customHeight="1" x14ac:dyDescent="0.2">
      <c r="A3" s="1167" t="s">
        <v>21</v>
      </c>
      <c r="B3" s="1169"/>
      <c r="C3" s="1170"/>
      <c r="D3" s="1171"/>
      <c r="E3" s="501" t="s">
        <v>0</v>
      </c>
      <c r="F3" s="501" t="s">
        <v>1</v>
      </c>
      <c r="G3" s="501" t="s">
        <v>2</v>
      </c>
      <c r="H3" s="502" t="s">
        <v>3</v>
      </c>
    </row>
    <row r="4" spans="1:8" ht="32.25" thickBot="1" x14ac:dyDescent="0.25">
      <c r="A4" s="1168"/>
      <c r="B4" s="1172"/>
      <c r="C4" s="1173"/>
      <c r="D4" s="1174"/>
      <c r="E4" s="504">
        <v>11</v>
      </c>
      <c r="F4" s="505" t="s">
        <v>435</v>
      </c>
      <c r="G4" s="504" t="s">
        <v>891</v>
      </c>
      <c r="H4" s="506" t="s">
        <v>890</v>
      </c>
    </row>
    <row r="5" spans="1:8" x14ac:dyDescent="0.2">
      <c r="A5" s="1175" t="s">
        <v>14</v>
      </c>
      <c r="B5" s="1176"/>
      <c r="C5" s="1176"/>
      <c r="D5" s="1176"/>
      <c r="E5" s="1176"/>
      <c r="F5" s="1176"/>
      <c r="G5" s="1176"/>
      <c r="H5" s="1177"/>
    </row>
    <row r="6" spans="1:8" ht="120" customHeight="1" x14ac:dyDescent="0.2">
      <c r="A6" s="1284" t="s">
        <v>457</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49"/>
      <c r="D9" s="26"/>
      <c r="E9" s="500" t="s">
        <v>663</v>
      </c>
      <c r="F9" s="389">
        <v>1</v>
      </c>
      <c r="G9" s="1308" t="s">
        <v>880</v>
      </c>
      <c r="H9" s="1308"/>
    </row>
    <row r="10" spans="1:8" x14ac:dyDescent="0.2">
      <c r="A10" s="20"/>
      <c r="B10" s="1"/>
      <c r="C10" s="26"/>
      <c r="D10" s="26"/>
      <c r="E10" s="1" t="s">
        <v>303</v>
      </c>
      <c r="F10" s="1">
        <v>1</v>
      </c>
      <c r="G10" s="49" t="s">
        <v>833</v>
      </c>
      <c r="H10" s="35"/>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x14ac:dyDescent="0.2">
      <c r="A14" s="1016" t="s">
        <v>882</v>
      </c>
      <c r="B14" s="1016">
        <v>0.1</v>
      </c>
      <c r="C14" s="920"/>
      <c r="D14" s="920" t="s">
        <v>884</v>
      </c>
      <c r="E14" s="931">
        <f>B19+B24</f>
        <v>0.35750000000000004</v>
      </c>
      <c r="F14" s="920"/>
      <c r="G14" s="920"/>
      <c r="H14" s="920"/>
    </row>
    <row r="15" spans="1:8" ht="24" x14ac:dyDescent="0.2">
      <c r="A15" s="1014" t="s">
        <v>798</v>
      </c>
      <c r="B15" s="920"/>
      <c r="C15" s="922"/>
      <c r="E15" s="922"/>
      <c r="F15" s="922"/>
      <c r="G15" s="922"/>
      <c r="H15" s="922"/>
    </row>
    <row r="16" spans="1:8" x14ac:dyDescent="0.2">
      <c r="A16" s="1009" t="s">
        <v>799</v>
      </c>
      <c r="B16" s="926">
        <v>6</v>
      </c>
      <c r="C16" s="923"/>
      <c r="D16" s="1009" t="s">
        <v>885</v>
      </c>
      <c r="E16" s="662">
        <f>20*11</f>
        <v>220</v>
      </c>
      <c r="F16" s="923"/>
      <c r="G16" s="923"/>
      <c r="H16" s="925"/>
    </row>
    <row r="17" spans="1:8" x14ac:dyDescent="0.2">
      <c r="A17" s="1010" t="s">
        <v>196</v>
      </c>
      <c r="B17" s="924">
        <v>0.65</v>
      </c>
      <c r="C17" s="923"/>
      <c r="D17" s="1010" t="s">
        <v>886</v>
      </c>
      <c r="E17" s="662">
        <f>180*11</f>
        <v>1980</v>
      </c>
      <c r="F17" s="923"/>
      <c r="G17" s="923"/>
      <c r="H17" s="923"/>
    </row>
    <row r="18" spans="1:8" x14ac:dyDescent="0.2">
      <c r="A18" s="1010" t="s">
        <v>193</v>
      </c>
      <c r="B18" s="923">
        <v>0.5</v>
      </c>
      <c r="C18" s="923"/>
      <c r="D18" s="1010" t="s">
        <v>887</v>
      </c>
      <c r="E18" s="662">
        <f>300*11</f>
        <v>3300</v>
      </c>
      <c r="F18" s="923"/>
      <c r="G18" s="923"/>
      <c r="H18" s="923"/>
    </row>
    <row r="19" spans="1:8" x14ac:dyDescent="0.2">
      <c r="A19" s="1013" t="s">
        <v>883</v>
      </c>
      <c r="B19" s="1018">
        <f>B18*B17*B14*B16</f>
        <v>0.19500000000000001</v>
      </c>
      <c r="C19" s="923"/>
      <c r="D19" s="1010" t="s">
        <v>99</v>
      </c>
      <c r="E19" s="923">
        <f>8/6</f>
        <v>1.3333333333333333</v>
      </c>
      <c r="F19" s="923"/>
      <c r="G19" s="933"/>
      <c r="H19" s="923"/>
    </row>
    <row r="20" spans="1:8" x14ac:dyDescent="0.2">
      <c r="A20" s="1015" t="s">
        <v>881</v>
      </c>
      <c r="B20" s="1016"/>
      <c r="C20" s="1019"/>
      <c r="D20" s="923" t="s">
        <v>888</v>
      </c>
      <c r="E20" s="923">
        <f>E19*(E18+E17+E16)</f>
        <v>7333.333333333333</v>
      </c>
      <c r="F20" s="1020"/>
      <c r="G20" s="923"/>
      <c r="H20" s="923"/>
    </row>
    <row r="21" spans="1:8" ht="13.5" thickBot="1" x14ac:dyDescent="0.25">
      <c r="A21" s="1012" t="s">
        <v>799</v>
      </c>
      <c r="B21" s="923">
        <v>5</v>
      </c>
      <c r="C21" s="1019"/>
      <c r="D21" s="588"/>
      <c r="E21" s="588"/>
      <c r="F21" s="1020"/>
      <c r="G21" s="923"/>
      <c r="H21" s="923"/>
    </row>
    <row r="22" spans="1:8" ht="13.5" thickBot="1" x14ac:dyDescent="0.25">
      <c r="A22" s="1010" t="s">
        <v>196</v>
      </c>
      <c r="B22" s="924">
        <v>0.65</v>
      </c>
      <c r="C22" s="929"/>
      <c r="D22" s="1021" t="s">
        <v>889</v>
      </c>
      <c r="E22" s="1022">
        <f>E20/3600/24</f>
        <v>8.4876543209876532E-2</v>
      </c>
      <c r="F22" s="929"/>
      <c r="G22" s="929"/>
      <c r="H22" s="927"/>
    </row>
    <row r="23" spans="1:8" x14ac:dyDescent="0.2">
      <c r="A23" s="1010" t="s">
        <v>193</v>
      </c>
      <c r="B23" s="923">
        <v>0.5</v>
      </c>
      <c r="C23" s="930"/>
      <c r="D23" s="930"/>
      <c r="E23" s="930"/>
      <c r="F23" s="930"/>
      <c r="G23" s="930"/>
      <c r="H23" s="923"/>
    </row>
    <row r="24" spans="1:8" x14ac:dyDescent="0.2">
      <c r="A24" s="1013" t="s">
        <v>883</v>
      </c>
      <c r="B24" s="1018">
        <f>B23*B22*B14*B21</f>
        <v>0.16250000000000001</v>
      </c>
      <c r="C24" s="931"/>
      <c r="D24" s="931"/>
      <c r="E24" s="931"/>
      <c r="F24" s="931"/>
      <c r="G24" s="931"/>
      <c r="H24" s="928"/>
    </row>
    <row r="25" spans="1:8" x14ac:dyDescent="0.2">
      <c r="A25" s="14" t="s">
        <v>9</v>
      </c>
      <c r="B25" s="15"/>
      <c r="C25" s="15"/>
      <c r="D25" s="15"/>
      <c r="E25" s="15"/>
      <c r="F25" s="1155" t="s">
        <v>16</v>
      </c>
      <c r="G25" s="1155"/>
      <c r="H25" s="1156"/>
    </row>
    <row r="26" spans="1:8" ht="25.5" x14ac:dyDescent="0.2">
      <c r="A26" s="500" t="s">
        <v>4</v>
      </c>
      <c r="B26" s="500" t="s">
        <v>5</v>
      </c>
      <c r="C26" s="500" t="s">
        <v>1</v>
      </c>
      <c r="D26" s="500" t="s">
        <v>6</v>
      </c>
      <c r="E26" s="500" t="s">
        <v>7</v>
      </c>
      <c r="F26" s="498" t="s">
        <v>17</v>
      </c>
      <c r="G26" s="498" t="s">
        <v>18</v>
      </c>
      <c r="H26" s="398" t="s">
        <v>19</v>
      </c>
    </row>
    <row r="27" spans="1:8" ht="22.5" customHeight="1" x14ac:dyDescent="0.2">
      <c r="A27" s="776" t="s">
        <v>364</v>
      </c>
      <c r="B27" s="757">
        <f>E14</f>
        <v>0.35750000000000004</v>
      </c>
      <c r="C27" s="908" t="s">
        <v>22</v>
      </c>
      <c r="D27" s="777">
        <v>98</v>
      </c>
      <c r="E27" s="2">
        <f>B27*D27</f>
        <v>35.035000000000004</v>
      </c>
      <c r="F27" s="664" t="s">
        <v>756</v>
      </c>
      <c r="G27" s="499"/>
      <c r="H27" s="22"/>
    </row>
    <row r="28" spans="1:8" x14ac:dyDescent="0.2">
      <c r="A28" s="776" t="s">
        <v>892</v>
      </c>
      <c r="B28" s="1">
        <v>11</v>
      </c>
      <c r="C28" s="908" t="s">
        <v>366</v>
      </c>
      <c r="D28" s="777">
        <v>50</v>
      </c>
      <c r="E28" s="2">
        <f>D28*B28</f>
        <v>550</v>
      </c>
      <c r="F28" s="664" t="s">
        <v>802</v>
      </c>
      <c r="G28" s="499"/>
      <c r="H28" s="22"/>
    </row>
    <row r="29" spans="1:8" ht="23.25" customHeight="1" x14ac:dyDescent="0.2">
      <c r="A29" s="498"/>
      <c r="B29" s="499"/>
      <c r="C29" s="499"/>
      <c r="D29" s="397"/>
      <c r="E29" s="494"/>
      <c r="F29" s="499"/>
      <c r="G29" s="499"/>
      <c r="H29" s="22"/>
    </row>
    <row r="30" spans="1:8" ht="13.5" thickBot="1" x14ac:dyDescent="0.25">
      <c r="A30" s="45"/>
      <c r="B30" s="23"/>
      <c r="C30" s="24"/>
      <c r="D30" s="23"/>
      <c r="E30" s="25"/>
      <c r="F30" s="12"/>
      <c r="G30" s="12"/>
      <c r="H30" s="13"/>
    </row>
  </sheetData>
  <mergeCells count="15">
    <mergeCell ref="F25:H25"/>
    <mergeCell ref="G9:H9"/>
    <mergeCell ref="A12:H12"/>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WE63"/>
  <sheetViews>
    <sheetView zoomScaleNormal="100" workbookViewId="0">
      <selection sqref="A1:H58"/>
    </sheetView>
  </sheetViews>
  <sheetFormatPr baseColWidth="10" defaultRowHeight="12.75" x14ac:dyDescent="0.2"/>
  <cols>
    <col min="1" max="1" width="33.42578125" customWidth="1"/>
    <col min="2" max="2" width="12" bestFit="1" customWidth="1"/>
    <col min="3" max="3" width="28.85546875" bestFit="1" customWidth="1"/>
    <col min="4" max="4" width="11" bestFit="1" customWidth="1"/>
    <col min="5" max="5" width="29.28515625" bestFit="1" customWidth="1"/>
    <col min="7" max="7" width="39.42578125" bestFit="1" customWidth="1"/>
    <col min="8" max="8" width="12" bestFit="1" customWidth="1"/>
  </cols>
  <sheetData>
    <row r="1" spans="1:16151" ht="15.75" x14ac:dyDescent="0.25">
      <c r="A1" s="1157" t="s">
        <v>12</v>
      </c>
      <c r="B1" s="1158"/>
      <c r="C1" s="1159"/>
      <c r="D1" s="1157" t="s">
        <v>13</v>
      </c>
      <c r="E1" s="1158"/>
      <c r="F1" s="1158"/>
      <c r="G1" s="1158"/>
      <c r="H1" s="1160"/>
    </row>
    <row r="2" spans="1:16151" ht="13.5" thickBot="1" x14ac:dyDescent="0.25">
      <c r="A2" s="1325" t="s">
        <v>59</v>
      </c>
      <c r="B2" s="1162"/>
      <c r="C2" s="1163"/>
      <c r="D2" s="1307" t="s">
        <v>458</v>
      </c>
      <c r="E2" s="1225"/>
      <c r="F2" s="1225"/>
      <c r="G2" s="1225"/>
      <c r="H2" s="1226"/>
    </row>
    <row r="3" spans="1:16151" ht="12.75" customHeight="1" x14ac:dyDescent="0.2">
      <c r="A3" s="1167" t="s">
        <v>21</v>
      </c>
      <c r="B3" s="1169"/>
      <c r="C3" s="1170"/>
      <c r="D3" s="1171"/>
      <c r="E3" s="501" t="s">
        <v>0</v>
      </c>
      <c r="F3" s="501" t="s">
        <v>1</v>
      </c>
      <c r="G3" s="501" t="s">
        <v>2</v>
      </c>
      <c r="H3" s="502" t="s">
        <v>3</v>
      </c>
    </row>
    <row r="4" spans="1:16151" ht="25.5" customHeight="1" thickBot="1" x14ac:dyDescent="0.25">
      <c r="A4" s="1168"/>
      <c r="B4" s="1172"/>
      <c r="C4" s="1173"/>
      <c r="D4" s="1174"/>
      <c r="E4" s="504">
        <v>196</v>
      </c>
      <c r="F4" s="505" t="s">
        <v>73</v>
      </c>
      <c r="G4" s="504" t="s">
        <v>544</v>
      </c>
      <c r="H4" s="506" t="s">
        <v>545</v>
      </c>
    </row>
    <row r="5" spans="1:16151" x14ac:dyDescent="0.2">
      <c r="A5" s="1175" t="s">
        <v>14</v>
      </c>
      <c r="B5" s="1176"/>
      <c r="C5" s="1176"/>
      <c r="D5" s="1176"/>
      <c r="E5" s="1176"/>
      <c r="F5" s="1176"/>
      <c r="G5" s="1176"/>
      <c r="H5" s="1177"/>
    </row>
    <row r="6" spans="1:16151" ht="62.25" customHeight="1" x14ac:dyDescent="0.2">
      <c r="A6" s="1284" t="s">
        <v>498</v>
      </c>
      <c r="B6" s="1285"/>
      <c r="C6" s="1285"/>
      <c r="D6" s="1285"/>
      <c r="E6" s="1285"/>
      <c r="F6" s="1285"/>
      <c r="G6" s="1285"/>
      <c r="H6" s="1195"/>
    </row>
    <row r="7" spans="1:16151" ht="62.25" customHeight="1" x14ac:dyDescent="0.2">
      <c r="A7" s="1178" t="s">
        <v>8</v>
      </c>
      <c r="B7" s="1179"/>
      <c r="C7" s="1179"/>
      <c r="D7" s="1179"/>
      <c r="E7" s="1179" t="s">
        <v>10</v>
      </c>
      <c r="F7" s="1179"/>
      <c r="G7" s="1179"/>
      <c r="H7" s="1180"/>
      <c r="AF7" s="1178" t="s">
        <v>8</v>
      </c>
      <c r="AG7" s="1179"/>
      <c r="AH7" s="1179"/>
      <c r="AI7" s="1179"/>
      <c r="AJ7" s="1179" t="s">
        <v>10</v>
      </c>
      <c r="AK7" s="1179"/>
      <c r="AL7" s="1179"/>
      <c r="AM7" s="1180"/>
      <c r="AN7" s="1178" t="s">
        <v>8</v>
      </c>
      <c r="AO7" s="1179"/>
      <c r="AP7" s="1179"/>
      <c r="AQ7" s="1179"/>
      <c r="AR7" s="1179" t="s">
        <v>10</v>
      </c>
      <c r="AS7" s="1179"/>
      <c r="AT7" s="1179"/>
      <c r="AU7" s="1180"/>
      <c r="AV7" s="1178" t="s">
        <v>8</v>
      </c>
      <c r="AW7" s="1179"/>
      <c r="AX7" s="1179"/>
      <c r="AY7" s="1179"/>
      <c r="AZ7" s="1179" t="s">
        <v>10</v>
      </c>
      <c r="BA7" s="1179"/>
      <c r="BB7" s="1179"/>
      <c r="BC7" s="1180"/>
      <c r="BD7" s="1178" t="s">
        <v>8</v>
      </c>
      <c r="BE7" s="1179"/>
      <c r="BF7" s="1179"/>
      <c r="BG7" s="1179"/>
      <c r="BH7" s="1179" t="s">
        <v>10</v>
      </c>
      <c r="BI7" s="1179"/>
      <c r="BJ7" s="1179"/>
      <c r="BK7" s="1180"/>
      <c r="BL7" s="1178" t="s">
        <v>8</v>
      </c>
      <c r="BM7" s="1179"/>
      <c r="BN7" s="1179"/>
      <c r="BO7" s="1179"/>
      <c r="BP7" s="1179" t="s">
        <v>10</v>
      </c>
      <c r="BQ7" s="1179"/>
      <c r="BR7" s="1179"/>
      <c r="BS7" s="1180"/>
      <c r="BT7" s="1178" t="s">
        <v>8</v>
      </c>
      <c r="BU7" s="1179"/>
      <c r="BV7" s="1179"/>
      <c r="BW7" s="1179"/>
      <c r="BX7" s="1179" t="s">
        <v>10</v>
      </c>
      <c r="BY7" s="1179"/>
      <c r="BZ7" s="1179"/>
      <c r="CA7" s="1180"/>
      <c r="CB7" s="1178" t="s">
        <v>8</v>
      </c>
      <c r="CC7" s="1179"/>
      <c r="CD7" s="1179"/>
      <c r="CE7" s="1179"/>
      <c r="CF7" s="1179" t="s">
        <v>10</v>
      </c>
      <c r="CG7" s="1179"/>
      <c r="CH7" s="1179"/>
      <c r="CI7" s="1180"/>
      <c r="CJ7" s="1178" t="s">
        <v>8</v>
      </c>
      <c r="CK7" s="1179"/>
      <c r="CL7" s="1179"/>
      <c r="CM7" s="1179"/>
      <c r="CN7" s="1179" t="s">
        <v>10</v>
      </c>
      <c r="CO7" s="1179"/>
      <c r="CP7" s="1179"/>
      <c r="CQ7" s="1180"/>
      <c r="CR7" s="1178" t="s">
        <v>8</v>
      </c>
      <c r="CS7" s="1179"/>
      <c r="CT7" s="1179"/>
      <c r="CU7" s="1179"/>
      <c r="CV7" s="1179" t="s">
        <v>10</v>
      </c>
      <c r="CW7" s="1179"/>
      <c r="CX7" s="1179"/>
      <c r="CY7" s="1180"/>
      <c r="CZ7" s="1178" t="s">
        <v>8</v>
      </c>
      <c r="DA7" s="1179"/>
      <c r="DB7" s="1179"/>
      <c r="DC7" s="1179"/>
      <c r="DD7" s="1179" t="s">
        <v>10</v>
      </c>
      <c r="DE7" s="1179"/>
      <c r="DF7" s="1179"/>
      <c r="DG7" s="1180"/>
      <c r="DH7" s="1178" t="s">
        <v>8</v>
      </c>
      <c r="DI7" s="1179"/>
      <c r="DJ7" s="1179"/>
      <c r="DK7" s="1179"/>
      <c r="DL7" s="1179" t="s">
        <v>10</v>
      </c>
      <c r="DM7" s="1179"/>
      <c r="DN7" s="1179"/>
      <c r="DO7" s="1180"/>
      <c r="DP7" s="1178" t="s">
        <v>8</v>
      </c>
      <c r="DQ7" s="1179"/>
      <c r="DR7" s="1179"/>
      <c r="DS7" s="1179"/>
      <c r="DT7" s="1179" t="s">
        <v>10</v>
      </c>
      <c r="DU7" s="1179"/>
      <c r="DV7" s="1179"/>
      <c r="DW7" s="1180"/>
      <c r="DX7" s="1178" t="s">
        <v>8</v>
      </c>
      <c r="DY7" s="1179"/>
      <c r="DZ7" s="1179"/>
      <c r="EA7" s="1179"/>
      <c r="EB7" s="1179" t="s">
        <v>10</v>
      </c>
      <c r="EC7" s="1179"/>
      <c r="ED7" s="1179"/>
      <c r="EE7" s="1180"/>
      <c r="EF7" s="1178" t="s">
        <v>8</v>
      </c>
      <c r="EG7" s="1179"/>
      <c r="EH7" s="1179"/>
      <c r="EI7" s="1179"/>
      <c r="EJ7" s="1179" t="s">
        <v>10</v>
      </c>
      <c r="EK7" s="1179"/>
      <c r="EL7" s="1179"/>
      <c r="EM7" s="1180"/>
      <c r="EN7" s="1178" t="s">
        <v>8</v>
      </c>
      <c r="EO7" s="1179"/>
      <c r="EP7" s="1179"/>
      <c r="EQ7" s="1179"/>
      <c r="ER7" s="1179" t="s">
        <v>10</v>
      </c>
      <c r="ES7" s="1179"/>
      <c r="ET7" s="1179"/>
      <c r="EU7" s="1180"/>
      <c r="EV7" s="1178" t="s">
        <v>8</v>
      </c>
      <c r="EW7" s="1179"/>
      <c r="EX7" s="1179"/>
      <c r="EY7" s="1179"/>
      <c r="EZ7" s="1179" t="s">
        <v>10</v>
      </c>
      <c r="FA7" s="1179"/>
      <c r="FB7" s="1179"/>
      <c r="FC7" s="1180"/>
      <c r="FD7" s="1178" t="s">
        <v>8</v>
      </c>
      <c r="FE7" s="1179"/>
      <c r="FF7" s="1179"/>
      <c r="FG7" s="1179"/>
      <c r="FH7" s="1179" t="s">
        <v>10</v>
      </c>
      <c r="FI7" s="1179"/>
      <c r="FJ7" s="1179"/>
      <c r="FK7" s="1180"/>
      <c r="FL7" s="1178" t="s">
        <v>8</v>
      </c>
      <c r="FM7" s="1179"/>
      <c r="FN7" s="1179"/>
      <c r="FO7" s="1179"/>
      <c r="FP7" s="1179" t="s">
        <v>10</v>
      </c>
      <c r="FQ7" s="1179"/>
      <c r="FR7" s="1179"/>
      <c r="FS7" s="1180"/>
      <c r="FT7" s="1178" t="s">
        <v>8</v>
      </c>
      <c r="FU7" s="1179"/>
      <c r="FV7" s="1179"/>
      <c r="FW7" s="1179"/>
      <c r="FX7" s="1179" t="s">
        <v>10</v>
      </c>
      <c r="FY7" s="1179"/>
      <c r="FZ7" s="1179"/>
      <c r="GA7" s="1180"/>
      <c r="GB7" s="1178" t="s">
        <v>8</v>
      </c>
      <c r="GC7" s="1179"/>
      <c r="GD7" s="1179"/>
      <c r="GE7" s="1179"/>
      <c r="GF7" s="1179" t="s">
        <v>10</v>
      </c>
      <c r="GG7" s="1179"/>
      <c r="GH7" s="1179"/>
      <c r="GI7" s="1180"/>
      <c r="GJ7" s="1178" t="s">
        <v>8</v>
      </c>
      <c r="GK7" s="1179"/>
      <c r="GL7" s="1179"/>
      <c r="GM7" s="1179"/>
      <c r="GN7" s="1179" t="s">
        <v>10</v>
      </c>
      <c r="GO7" s="1179"/>
      <c r="GP7" s="1179"/>
      <c r="GQ7" s="1180"/>
      <c r="GR7" s="1178" t="s">
        <v>8</v>
      </c>
      <c r="GS7" s="1179"/>
      <c r="GT7" s="1179"/>
      <c r="GU7" s="1179"/>
      <c r="GV7" s="1179" t="s">
        <v>10</v>
      </c>
      <c r="GW7" s="1179"/>
      <c r="GX7" s="1179"/>
      <c r="GY7" s="1180"/>
      <c r="GZ7" s="1178" t="s">
        <v>8</v>
      </c>
      <c r="HA7" s="1179"/>
      <c r="HB7" s="1179"/>
      <c r="HC7" s="1179"/>
      <c r="HD7" s="1179" t="s">
        <v>10</v>
      </c>
      <c r="HE7" s="1179"/>
      <c r="HF7" s="1179"/>
      <c r="HG7" s="1180"/>
      <c r="HH7" s="1178" t="s">
        <v>8</v>
      </c>
      <c r="HI7" s="1179"/>
      <c r="HJ7" s="1179"/>
      <c r="HK7" s="1179"/>
      <c r="HL7" s="1179" t="s">
        <v>10</v>
      </c>
      <c r="HM7" s="1179"/>
      <c r="HN7" s="1179"/>
      <c r="HO7" s="1180"/>
      <c r="HP7" s="1178" t="s">
        <v>8</v>
      </c>
      <c r="HQ7" s="1179"/>
      <c r="HR7" s="1179"/>
      <c r="HS7" s="1179"/>
      <c r="HT7" s="1179" t="s">
        <v>10</v>
      </c>
      <c r="HU7" s="1179"/>
      <c r="HV7" s="1179"/>
      <c r="HW7" s="1180"/>
      <c r="HX7" s="1178" t="s">
        <v>8</v>
      </c>
      <c r="HY7" s="1179"/>
      <c r="HZ7" s="1179"/>
      <c r="IA7" s="1179"/>
      <c r="IB7" s="1179" t="s">
        <v>10</v>
      </c>
      <c r="IC7" s="1179"/>
      <c r="ID7" s="1179"/>
      <c r="IE7" s="1180"/>
      <c r="IF7" s="1178" t="s">
        <v>8</v>
      </c>
      <c r="IG7" s="1179"/>
      <c r="IH7" s="1179"/>
      <c r="II7" s="1179"/>
      <c r="IJ7" s="1179" t="s">
        <v>10</v>
      </c>
      <c r="IK7" s="1179"/>
      <c r="IL7" s="1179"/>
      <c r="IM7" s="1180"/>
      <c r="IN7" s="1178" t="s">
        <v>8</v>
      </c>
      <c r="IO7" s="1179"/>
      <c r="IP7" s="1179"/>
      <c r="IQ7" s="1179"/>
      <c r="IR7" s="1179" t="s">
        <v>10</v>
      </c>
      <c r="IS7" s="1179"/>
      <c r="IT7" s="1179"/>
      <c r="IU7" s="1180"/>
      <c r="IV7" s="1178" t="s">
        <v>8</v>
      </c>
      <c r="IW7" s="1179"/>
      <c r="IX7" s="1179"/>
      <c r="IY7" s="1179"/>
      <c r="IZ7" s="1179" t="s">
        <v>10</v>
      </c>
      <c r="JA7" s="1179"/>
      <c r="JB7" s="1179"/>
      <c r="JC7" s="1180"/>
      <c r="JD7" s="1178" t="s">
        <v>8</v>
      </c>
      <c r="JE7" s="1179"/>
      <c r="JF7" s="1179"/>
      <c r="JG7" s="1179"/>
      <c r="JH7" s="1179" t="s">
        <v>10</v>
      </c>
      <c r="JI7" s="1179"/>
      <c r="JJ7" s="1179"/>
      <c r="JK7" s="1180"/>
      <c r="JL7" s="1178" t="s">
        <v>8</v>
      </c>
      <c r="JM7" s="1179"/>
      <c r="JN7" s="1179"/>
      <c r="JO7" s="1179"/>
      <c r="JP7" s="1179" t="s">
        <v>10</v>
      </c>
      <c r="JQ7" s="1179"/>
      <c r="JR7" s="1179"/>
      <c r="JS7" s="1180"/>
      <c r="JT7" s="1178" t="s">
        <v>8</v>
      </c>
      <c r="JU7" s="1179"/>
      <c r="JV7" s="1179"/>
      <c r="JW7" s="1179"/>
      <c r="JX7" s="1179" t="s">
        <v>10</v>
      </c>
      <c r="JY7" s="1179"/>
      <c r="JZ7" s="1179"/>
      <c r="KA7" s="1180"/>
      <c r="KB7" s="1178" t="s">
        <v>8</v>
      </c>
      <c r="KC7" s="1179"/>
      <c r="KD7" s="1179"/>
      <c r="KE7" s="1179"/>
      <c r="KF7" s="1179" t="s">
        <v>10</v>
      </c>
      <c r="KG7" s="1179"/>
      <c r="KH7" s="1179"/>
      <c r="KI7" s="1180"/>
      <c r="KJ7" s="1178" t="s">
        <v>8</v>
      </c>
      <c r="KK7" s="1179"/>
      <c r="KL7" s="1179"/>
      <c r="KM7" s="1179"/>
      <c r="KN7" s="1179" t="s">
        <v>10</v>
      </c>
      <c r="KO7" s="1179"/>
      <c r="KP7" s="1179"/>
      <c r="KQ7" s="1180"/>
      <c r="KR7" s="1178" t="s">
        <v>8</v>
      </c>
      <c r="KS7" s="1179"/>
      <c r="KT7" s="1179"/>
      <c r="KU7" s="1179"/>
      <c r="KV7" s="1179" t="s">
        <v>10</v>
      </c>
      <c r="KW7" s="1179"/>
      <c r="KX7" s="1179"/>
      <c r="KY7" s="1180"/>
      <c r="KZ7" s="1178" t="s">
        <v>8</v>
      </c>
      <c r="LA7" s="1179"/>
      <c r="LB7" s="1179"/>
      <c r="LC7" s="1179"/>
      <c r="LD7" s="1179" t="s">
        <v>10</v>
      </c>
      <c r="LE7" s="1179"/>
      <c r="LF7" s="1179"/>
      <c r="LG7" s="1180"/>
      <c r="LH7" s="1178" t="s">
        <v>8</v>
      </c>
      <c r="LI7" s="1179"/>
      <c r="LJ7" s="1179"/>
      <c r="LK7" s="1179"/>
      <c r="LL7" s="1179" t="s">
        <v>10</v>
      </c>
      <c r="LM7" s="1179"/>
      <c r="LN7" s="1179"/>
      <c r="LO7" s="1180"/>
      <c r="LP7" s="1178" t="s">
        <v>8</v>
      </c>
      <c r="LQ7" s="1179"/>
      <c r="LR7" s="1179"/>
      <c r="LS7" s="1179"/>
      <c r="LT7" s="1179" t="s">
        <v>10</v>
      </c>
      <c r="LU7" s="1179"/>
      <c r="LV7" s="1179"/>
      <c r="LW7" s="1180"/>
      <c r="LX7" s="1178" t="s">
        <v>8</v>
      </c>
      <c r="LY7" s="1179"/>
      <c r="LZ7" s="1179"/>
      <c r="MA7" s="1179"/>
      <c r="MB7" s="1179" t="s">
        <v>10</v>
      </c>
      <c r="MC7" s="1179"/>
      <c r="MD7" s="1179"/>
      <c r="ME7" s="1180"/>
      <c r="MF7" s="1178" t="s">
        <v>8</v>
      </c>
      <c r="MG7" s="1179"/>
      <c r="MH7" s="1179"/>
      <c r="MI7" s="1179"/>
      <c r="MJ7" s="1179" t="s">
        <v>10</v>
      </c>
      <c r="MK7" s="1179"/>
      <c r="ML7" s="1179"/>
      <c r="MM7" s="1180"/>
      <c r="MN7" s="1178" t="s">
        <v>8</v>
      </c>
      <c r="MO7" s="1179"/>
      <c r="MP7" s="1179"/>
      <c r="MQ7" s="1179"/>
      <c r="MR7" s="1179" t="s">
        <v>10</v>
      </c>
      <c r="MS7" s="1179"/>
      <c r="MT7" s="1179"/>
      <c r="MU7" s="1180"/>
      <c r="MV7" s="1178" t="s">
        <v>8</v>
      </c>
      <c r="MW7" s="1179"/>
      <c r="MX7" s="1179"/>
      <c r="MY7" s="1179"/>
      <c r="MZ7" s="1179" t="s">
        <v>10</v>
      </c>
      <c r="NA7" s="1179"/>
      <c r="NB7" s="1179"/>
      <c r="NC7" s="1180"/>
      <c r="ND7" s="1178" t="s">
        <v>8</v>
      </c>
      <c r="NE7" s="1179"/>
      <c r="NF7" s="1179"/>
      <c r="NG7" s="1179"/>
      <c r="NH7" s="1179" t="s">
        <v>10</v>
      </c>
      <c r="NI7" s="1179"/>
      <c r="NJ7" s="1179"/>
      <c r="NK7" s="1180"/>
      <c r="NL7" s="1178" t="s">
        <v>8</v>
      </c>
      <c r="NM7" s="1179"/>
      <c r="NN7" s="1179"/>
      <c r="NO7" s="1179"/>
      <c r="NP7" s="1179" t="s">
        <v>10</v>
      </c>
      <c r="NQ7" s="1179"/>
      <c r="NR7" s="1179"/>
      <c r="NS7" s="1180"/>
      <c r="NT7" s="1178" t="s">
        <v>8</v>
      </c>
      <c r="NU7" s="1179"/>
      <c r="NV7" s="1179"/>
      <c r="NW7" s="1179"/>
      <c r="NX7" s="1179" t="s">
        <v>10</v>
      </c>
      <c r="NY7" s="1179"/>
      <c r="NZ7" s="1179"/>
      <c r="OA7" s="1180"/>
      <c r="OB7" s="1178" t="s">
        <v>8</v>
      </c>
      <c r="OC7" s="1179"/>
      <c r="OD7" s="1179"/>
      <c r="OE7" s="1179"/>
      <c r="OF7" s="1179" t="s">
        <v>10</v>
      </c>
      <c r="OG7" s="1179"/>
      <c r="OH7" s="1179"/>
      <c r="OI7" s="1180"/>
      <c r="OJ7" s="1178" t="s">
        <v>8</v>
      </c>
      <c r="OK7" s="1179"/>
      <c r="OL7" s="1179"/>
      <c r="OM7" s="1179"/>
      <c r="ON7" s="1179" t="s">
        <v>10</v>
      </c>
      <c r="OO7" s="1179"/>
      <c r="OP7" s="1179"/>
      <c r="OQ7" s="1180"/>
      <c r="OR7" s="1178" t="s">
        <v>8</v>
      </c>
      <c r="OS7" s="1179"/>
      <c r="OT7" s="1179"/>
      <c r="OU7" s="1179"/>
      <c r="OV7" s="1179" t="s">
        <v>10</v>
      </c>
      <c r="OW7" s="1179"/>
      <c r="OX7" s="1179"/>
      <c r="OY7" s="1180"/>
      <c r="OZ7" s="1178" t="s">
        <v>8</v>
      </c>
      <c r="PA7" s="1179"/>
      <c r="PB7" s="1179"/>
      <c r="PC7" s="1179"/>
      <c r="PD7" s="1179" t="s">
        <v>10</v>
      </c>
      <c r="PE7" s="1179"/>
      <c r="PF7" s="1179"/>
      <c r="PG7" s="1180"/>
      <c r="PH7" s="1178" t="s">
        <v>8</v>
      </c>
      <c r="PI7" s="1179"/>
      <c r="PJ7" s="1179"/>
      <c r="PK7" s="1179"/>
      <c r="PL7" s="1179" t="s">
        <v>10</v>
      </c>
      <c r="PM7" s="1179"/>
      <c r="PN7" s="1179"/>
      <c r="PO7" s="1180"/>
      <c r="PP7" s="1178" t="s">
        <v>8</v>
      </c>
      <c r="PQ7" s="1179"/>
      <c r="PR7" s="1179"/>
      <c r="PS7" s="1179"/>
      <c r="PT7" s="1179" t="s">
        <v>10</v>
      </c>
      <c r="PU7" s="1179"/>
      <c r="PV7" s="1179"/>
      <c r="PW7" s="1180"/>
      <c r="PX7" s="1178" t="s">
        <v>8</v>
      </c>
      <c r="PY7" s="1179"/>
      <c r="PZ7" s="1179"/>
      <c r="QA7" s="1179"/>
      <c r="QB7" s="1179" t="s">
        <v>10</v>
      </c>
      <c r="QC7" s="1179"/>
      <c r="QD7" s="1179"/>
      <c r="QE7" s="1180"/>
      <c r="QF7" s="1178" t="s">
        <v>8</v>
      </c>
      <c r="QG7" s="1179"/>
      <c r="QH7" s="1179"/>
      <c r="QI7" s="1179"/>
      <c r="QJ7" s="1179" t="s">
        <v>10</v>
      </c>
      <c r="QK7" s="1179"/>
      <c r="QL7" s="1179"/>
      <c r="QM7" s="1180"/>
      <c r="QN7" s="1178" t="s">
        <v>8</v>
      </c>
      <c r="QO7" s="1179"/>
      <c r="QP7" s="1179"/>
      <c r="QQ7" s="1179"/>
      <c r="QR7" s="1179" t="s">
        <v>10</v>
      </c>
      <c r="QS7" s="1179"/>
      <c r="QT7" s="1179"/>
      <c r="QU7" s="1180"/>
      <c r="QV7" s="1178" t="s">
        <v>8</v>
      </c>
      <c r="QW7" s="1179"/>
      <c r="QX7" s="1179"/>
      <c r="QY7" s="1179"/>
      <c r="QZ7" s="1179" t="s">
        <v>10</v>
      </c>
      <c r="RA7" s="1179"/>
      <c r="RB7" s="1179"/>
      <c r="RC7" s="1180"/>
      <c r="RD7" s="1178" t="s">
        <v>8</v>
      </c>
      <c r="RE7" s="1179"/>
      <c r="RF7" s="1179"/>
      <c r="RG7" s="1179"/>
      <c r="RH7" s="1179" t="s">
        <v>10</v>
      </c>
      <c r="RI7" s="1179"/>
      <c r="RJ7" s="1179"/>
      <c r="RK7" s="1180"/>
      <c r="RL7" s="1178" t="s">
        <v>8</v>
      </c>
      <c r="RM7" s="1179"/>
      <c r="RN7" s="1179"/>
      <c r="RO7" s="1179"/>
      <c r="RP7" s="1179" t="s">
        <v>10</v>
      </c>
      <c r="RQ7" s="1179"/>
      <c r="RR7" s="1179"/>
      <c r="RS7" s="1180"/>
      <c r="RT7" s="1178" t="s">
        <v>8</v>
      </c>
      <c r="RU7" s="1179"/>
      <c r="RV7" s="1179"/>
      <c r="RW7" s="1179"/>
      <c r="RX7" s="1179" t="s">
        <v>10</v>
      </c>
      <c r="RY7" s="1179"/>
      <c r="RZ7" s="1179"/>
      <c r="SA7" s="1180"/>
      <c r="SB7" s="1178" t="s">
        <v>8</v>
      </c>
      <c r="SC7" s="1179"/>
      <c r="SD7" s="1179"/>
      <c r="SE7" s="1179"/>
      <c r="SF7" s="1179" t="s">
        <v>10</v>
      </c>
      <c r="SG7" s="1179"/>
      <c r="SH7" s="1179"/>
      <c r="SI7" s="1180"/>
      <c r="SJ7" s="1178" t="s">
        <v>8</v>
      </c>
      <c r="SK7" s="1179"/>
      <c r="SL7" s="1179"/>
      <c r="SM7" s="1179"/>
      <c r="SN7" s="1179" t="s">
        <v>10</v>
      </c>
      <c r="SO7" s="1179"/>
      <c r="SP7" s="1179"/>
      <c r="SQ7" s="1180"/>
      <c r="SR7" s="1178" t="s">
        <v>8</v>
      </c>
      <c r="SS7" s="1179"/>
      <c r="ST7" s="1179"/>
      <c r="SU7" s="1179"/>
      <c r="SV7" s="1179" t="s">
        <v>10</v>
      </c>
      <c r="SW7" s="1179"/>
      <c r="SX7" s="1179"/>
      <c r="SY7" s="1180"/>
      <c r="SZ7" s="1178" t="s">
        <v>8</v>
      </c>
      <c r="TA7" s="1179"/>
      <c r="TB7" s="1179"/>
      <c r="TC7" s="1179"/>
      <c r="TD7" s="1179" t="s">
        <v>10</v>
      </c>
      <c r="TE7" s="1179"/>
      <c r="TF7" s="1179"/>
      <c r="TG7" s="1180"/>
      <c r="TH7" s="1178" t="s">
        <v>8</v>
      </c>
      <c r="TI7" s="1179"/>
      <c r="TJ7" s="1179"/>
      <c r="TK7" s="1179"/>
      <c r="TL7" s="1179" t="s">
        <v>10</v>
      </c>
      <c r="TM7" s="1179"/>
      <c r="TN7" s="1179"/>
      <c r="TO7" s="1180"/>
      <c r="TP7" s="1178" t="s">
        <v>8</v>
      </c>
      <c r="TQ7" s="1179"/>
      <c r="TR7" s="1179"/>
      <c r="TS7" s="1179"/>
      <c r="TT7" s="1179" t="s">
        <v>10</v>
      </c>
      <c r="TU7" s="1179"/>
      <c r="TV7" s="1179"/>
      <c r="TW7" s="1180"/>
      <c r="TX7" s="1178" t="s">
        <v>8</v>
      </c>
      <c r="TY7" s="1179"/>
      <c r="TZ7" s="1179"/>
      <c r="UA7" s="1179"/>
      <c r="UB7" s="1179" t="s">
        <v>10</v>
      </c>
      <c r="UC7" s="1179"/>
      <c r="UD7" s="1179"/>
      <c r="UE7" s="1180"/>
      <c r="UF7" s="1178" t="s">
        <v>8</v>
      </c>
      <c r="UG7" s="1179"/>
      <c r="UH7" s="1179"/>
      <c r="UI7" s="1179"/>
      <c r="UJ7" s="1179" t="s">
        <v>10</v>
      </c>
      <c r="UK7" s="1179"/>
      <c r="UL7" s="1179"/>
      <c r="UM7" s="1180"/>
      <c r="UN7" s="1178" t="s">
        <v>8</v>
      </c>
      <c r="UO7" s="1179"/>
      <c r="UP7" s="1179"/>
      <c r="UQ7" s="1179"/>
      <c r="UR7" s="1179" t="s">
        <v>10</v>
      </c>
      <c r="US7" s="1179"/>
      <c r="UT7" s="1179"/>
      <c r="UU7" s="1180"/>
      <c r="UV7" s="1178" t="s">
        <v>8</v>
      </c>
      <c r="UW7" s="1179"/>
      <c r="UX7" s="1179"/>
      <c r="UY7" s="1179"/>
      <c r="UZ7" s="1179" t="s">
        <v>10</v>
      </c>
      <c r="VA7" s="1179"/>
      <c r="VB7" s="1179"/>
      <c r="VC7" s="1180"/>
      <c r="VD7" s="1178" t="s">
        <v>8</v>
      </c>
      <c r="VE7" s="1179"/>
      <c r="VF7" s="1179"/>
      <c r="VG7" s="1179"/>
      <c r="VH7" s="1179" t="s">
        <v>10</v>
      </c>
      <c r="VI7" s="1179"/>
      <c r="VJ7" s="1179"/>
      <c r="VK7" s="1180"/>
      <c r="VL7" s="1178" t="s">
        <v>8</v>
      </c>
      <c r="VM7" s="1179"/>
      <c r="VN7" s="1179"/>
      <c r="VO7" s="1179"/>
      <c r="VP7" s="1179" t="s">
        <v>10</v>
      </c>
      <c r="VQ7" s="1179"/>
      <c r="VR7" s="1179"/>
      <c r="VS7" s="1180"/>
      <c r="VT7" s="1178" t="s">
        <v>8</v>
      </c>
      <c r="VU7" s="1179"/>
      <c r="VV7" s="1179"/>
      <c r="VW7" s="1179"/>
      <c r="VX7" s="1179" t="s">
        <v>10</v>
      </c>
      <c r="VY7" s="1179"/>
      <c r="VZ7" s="1179"/>
      <c r="WA7" s="1180"/>
      <c r="WB7" s="1178" t="s">
        <v>8</v>
      </c>
      <c r="WC7" s="1179"/>
      <c r="WD7" s="1179"/>
      <c r="WE7" s="1179"/>
      <c r="WF7" s="1179" t="s">
        <v>10</v>
      </c>
      <c r="WG7" s="1179"/>
      <c r="WH7" s="1179"/>
      <c r="WI7" s="1180"/>
      <c r="WJ7" s="1178" t="s">
        <v>8</v>
      </c>
      <c r="WK7" s="1179"/>
      <c r="WL7" s="1179"/>
      <c r="WM7" s="1179"/>
      <c r="WN7" s="1179" t="s">
        <v>10</v>
      </c>
      <c r="WO7" s="1179"/>
      <c r="WP7" s="1179"/>
      <c r="WQ7" s="1180"/>
      <c r="WR7" s="1178" t="s">
        <v>8</v>
      </c>
      <c r="WS7" s="1179"/>
      <c r="WT7" s="1179"/>
      <c r="WU7" s="1179"/>
      <c r="WV7" s="1179" t="s">
        <v>10</v>
      </c>
      <c r="WW7" s="1179"/>
      <c r="WX7" s="1179"/>
      <c r="WY7" s="1180"/>
      <c r="WZ7" s="1178" t="s">
        <v>8</v>
      </c>
      <c r="XA7" s="1179"/>
      <c r="XB7" s="1179"/>
      <c r="XC7" s="1179"/>
      <c r="XD7" s="1179" t="s">
        <v>10</v>
      </c>
      <c r="XE7" s="1179"/>
      <c r="XF7" s="1179"/>
      <c r="XG7" s="1180"/>
      <c r="XH7" s="1178" t="s">
        <v>8</v>
      </c>
      <c r="XI7" s="1179"/>
      <c r="XJ7" s="1179"/>
      <c r="XK7" s="1179"/>
      <c r="XL7" s="1179" t="s">
        <v>10</v>
      </c>
      <c r="XM7" s="1179"/>
      <c r="XN7" s="1179"/>
      <c r="XO7" s="1180"/>
      <c r="XP7" s="1178" t="s">
        <v>8</v>
      </c>
      <c r="XQ7" s="1179"/>
      <c r="XR7" s="1179"/>
      <c r="XS7" s="1179"/>
      <c r="XT7" s="1179" t="s">
        <v>10</v>
      </c>
      <c r="XU7" s="1179"/>
      <c r="XV7" s="1179"/>
      <c r="XW7" s="1180"/>
      <c r="XX7" s="1178" t="s">
        <v>8</v>
      </c>
      <c r="XY7" s="1179"/>
      <c r="XZ7" s="1179"/>
      <c r="YA7" s="1179"/>
      <c r="YB7" s="1179" t="s">
        <v>10</v>
      </c>
      <c r="YC7" s="1179"/>
      <c r="YD7" s="1179"/>
      <c r="YE7" s="1180"/>
      <c r="YF7" s="1178" t="s">
        <v>8</v>
      </c>
      <c r="YG7" s="1179"/>
      <c r="YH7" s="1179"/>
      <c r="YI7" s="1179"/>
      <c r="YJ7" s="1179" t="s">
        <v>10</v>
      </c>
      <c r="YK7" s="1179"/>
      <c r="YL7" s="1179"/>
      <c r="YM7" s="1180"/>
      <c r="YN7" s="1178" t="s">
        <v>8</v>
      </c>
      <c r="YO7" s="1179"/>
      <c r="YP7" s="1179"/>
      <c r="YQ7" s="1179"/>
      <c r="YR7" s="1179" t="s">
        <v>10</v>
      </c>
      <c r="YS7" s="1179"/>
      <c r="YT7" s="1179"/>
      <c r="YU7" s="1180"/>
      <c r="YV7" s="1178" t="s">
        <v>8</v>
      </c>
      <c r="YW7" s="1179"/>
      <c r="YX7" s="1179"/>
      <c r="YY7" s="1179"/>
      <c r="YZ7" s="1179" t="s">
        <v>10</v>
      </c>
      <c r="ZA7" s="1179"/>
      <c r="ZB7" s="1179"/>
      <c r="ZC7" s="1180"/>
      <c r="ZD7" s="1178" t="s">
        <v>8</v>
      </c>
      <c r="ZE7" s="1179"/>
      <c r="ZF7" s="1179"/>
      <c r="ZG7" s="1179"/>
      <c r="ZH7" s="1179" t="s">
        <v>10</v>
      </c>
      <c r="ZI7" s="1179"/>
      <c r="ZJ7" s="1179"/>
      <c r="ZK7" s="1180"/>
      <c r="ZL7" s="1178" t="s">
        <v>8</v>
      </c>
      <c r="ZM7" s="1179"/>
      <c r="ZN7" s="1179"/>
      <c r="ZO7" s="1179"/>
      <c r="ZP7" s="1179" t="s">
        <v>10</v>
      </c>
      <c r="ZQ7" s="1179"/>
      <c r="ZR7" s="1179"/>
      <c r="ZS7" s="1180"/>
      <c r="ZT7" s="1178" t="s">
        <v>8</v>
      </c>
      <c r="ZU7" s="1179"/>
      <c r="ZV7" s="1179"/>
      <c r="ZW7" s="1179"/>
      <c r="ZX7" s="1179" t="s">
        <v>10</v>
      </c>
      <c r="ZY7" s="1179"/>
      <c r="ZZ7" s="1179"/>
      <c r="AAA7" s="1180"/>
      <c r="AAB7" s="1178" t="s">
        <v>8</v>
      </c>
      <c r="AAC7" s="1179"/>
      <c r="AAD7" s="1179"/>
      <c r="AAE7" s="1179"/>
      <c r="AAF7" s="1179" t="s">
        <v>10</v>
      </c>
      <c r="AAG7" s="1179"/>
      <c r="AAH7" s="1179"/>
      <c r="AAI7" s="1180"/>
      <c r="AAJ7" s="1178" t="s">
        <v>8</v>
      </c>
      <c r="AAK7" s="1179"/>
      <c r="AAL7" s="1179"/>
      <c r="AAM7" s="1179"/>
      <c r="AAN7" s="1179" t="s">
        <v>10</v>
      </c>
      <c r="AAO7" s="1179"/>
      <c r="AAP7" s="1179"/>
      <c r="AAQ7" s="1180"/>
      <c r="AAR7" s="1178" t="s">
        <v>8</v>
      </c>
      <c r="AAS7" s="1179"/>
      <c r="AAT7" s="1179"/>
      <c r="AAU7" s="1179"/>
      <c r="AAV7" s="1179" t="s">
        <v>10</v>
      </c>
      <c r="AAW7" s="1179"/>
      <c r="AAX7" s="1179"/>
      <c r="AAY7" s="1180"/>
      <c r="AAZ7" s="1178" t="s">
        <v>8</v>
      </c>
      <c r="ABA7" s="1179"/>
      <c r="ABB7" s="1179"/>
      <c r="ABC7" s="1179"/>
      <c r="ABD7" s="1179" t="s">
        <v>10</v>
      </c>
      <c r="ABE7" s="1179"/>
      <c r="ABF7" s="1179"/>
      <c r="ABG7" s="1180"/>
      <c r="ABH7" s="1178" t="s">
        <v>8</v>
      </c>
      <c r="ABI7" s="1179"/>
      <c r="ABJ7" s="1179"/>
      <c r="ABK7" s="1179"/>
      <c r="ABL7" s="1179" t="s">
        <v>10</v>
      </c>
      <c r="ABM7" s="1179"/>
      <c r="ABN7" s="1179"/>
      <c r="ABO7" s="1180"/>
      <c r="ABP7" s="1178" t="s">
        <v>8</v>
      </c>
      <c r="ABQ7" s="1179"/>
      <c r="ABR7" s="1179"/>
      <c r="ABS7" s="1179"/>
      <c r="ABT7" s="1179" t="s">
        <v>10</v>
      </c>
      <c r="ABU7" s="1179"/>
      <c r="ABV7" s="1179"/>
      <c r="ABW7" s="1180"/>
      <c r="ABX7" s="1178" t="s">
        <v>8</v>
      </c>
      <c r="ABY7" s="1179"/>
      <c r="ABZ7" s="1179"/>
      <c r="ACA7" s="1179"/>
      <c r="ACB7" s="1179" t="s">
        <v>10</v>
      </c>
      <c r="ACC7" s="1179"/>
      <c r="ACD7" s="1179"/>
      <c r="ACE7" s="1180"/>
      <c r="ACF7" s="1178" t="s">
        <v>8</v>
      </c>
      <c r="ACG7" s="1179"/>
      <c r="ACH7" s="1179"/>
      <c r="ACI7" s="1179"/>
      <c r="ACJ7" s="1179" t="s">
        <v>10</v>
      </c>
      <c r="ACK7" s="1179"/>
      <c r="ACL7" s="1179"/>
      <c r="ACM7" s="1180"/>
      <c r="ACN7" s="1178" t="s">
        <v>8</v>
      </c>
      <c r="ACO7" s="1179"/>
      <c r="ACP7" s="1179"/>
      <c r="ACQ7" s="1179"/>
      <c r="ACR7" s="1179" t="s">
        <v>10</v>
      </c>
      <c r="ACS7" s="1179"/>
      <c r="ACT7" s="1179"/>
      <c r="ACU7" s="1180"/>
      <c r="ACV7" s="1178" t="s">
        <v>8</v>
      </c>
      <c r="ACW7" s="1179"/>
      <c r="ACX7" s="1179"/>
      <c r="ACY7" s="1179"/>
      <c r="ACZ7" s="1179" t="s">
        <v>10</v>
      </c>
      <c r="ADA7" s="1179"/>
      <c r="ADB7" s="1179"/>
      <c r="ADC7" s="1180"/>
      <c r="ADD7" s="1178" t="s">
        <v>8</v>
      </c>
      <c r="ADE7" s="1179"/>
      <c r="ADF7" s="1179"/>
      <c r="ADG7" s="1179"/>
      <c r="ADH7" s="1179" t="s">
        <v>10</v>
      </c>
      <c r="ADI7" s="1179"/>
      <c r="ADJ7" s="1179"/>
      <c r="ADK7" s="1180"/>
      <c r="ADL7" s="1178" t="s">
        <v>8</v>
      </c>
      <c r="ADM7" s="1179"/>
      <c r="ADN7" s="1179"/>
      <c r="ADO7" s="1179"/>
      <c r="ADP7" s="1179" t="s">
        <v>10</v>
      </c>
      <c r="ADQ7" s="1179"/>
      <c r="ADR7" s="1179"/>
      <c r="ADS7" s="1180"/>
      <c r="ADT7" s="1178" t="s">
        <v>8</v>
      </c>
      <c r="ADU7" s="1179"/>
      <c r="ADV7" s="1179"/>
      <c r="ADW7" s="1179"/>
      <c r="ADX7" s="1179" t="s">
        <v>10</v>
      </c>
      <c r="ADY7" s="1179"/>
      <c r="ADZ7" s="1179"/>
      <c r="AEA7" s="1180"/>
      <c r="AEB7" s="1178" t="s">
        <v>8</v>
      </c>
      <c r="AEC7" s="1179"/>
      <c r="AED7" s="1179"/>
      <c r="AEE7" s="1179"/>
      <c r="AEF7" s="1179" t="s">
        <v>10</v>
      </c>
      <c r="AEG7" s="1179"/>
      <c r="AEH7" s="1179"/>
      <c r="AEI7" s="1180"/>
      <c r="AEJ7" s="1178" t="s">
        <v>8</v>
      </c>
      <c r="AEK7" s="1179"/>
      <c r="AEL7" s="1179"/>
      <c r="AEM7" s="1179"/>
      <c r="AEN7" s="1179" t="s">
        <v>10</v>
      </c>
      <c r="AEO7" s="1179"/>
      <c r="AEP7" s="1179"/>
      <c r="AEQ7" s="1180"/>
      <c r="AER7" s="1178" t="s">
        <v>8</v>
      </c>
      <c r="AES7" s="1179"/>
      <c r="AET7" s="1179"/>
      <c r="AEU7" s="1179"/>
      <c r="AEV7" s="1179" t="s">
        <v>10</v>
      </c>
      <c r="AEW7" s="1179"/>
      <c r="AEX7" s="1179"/>
      <c r="AEY7" s="1180"/>
      <c r="AEZ7" s="1178" t="s">
        <v>8</v>
      </c>
      <c r="AFA7" s="1179"/>
      <c r="AFB7" s="1179"/>
      <c r="AFC7" s="1179"/>
      <c r="AFD7" s="1179" t="s">
        <v>10</v>
      </c>
      <c r="AFE7" s="1179"/>
      <c r="AFF7" s="1179"/>
      <c r="AFG7" s="1180"/>
      <c r="AFH7" s="1178" t="s">
        <v>8</v>
      </c>
      <c r="AFI7" s="1179"/>
      <c r="AFJ7" s="1179"/>
      <c r="AFK7" s="1179"/>
      <c r="AFL7" s="1179" t="s">
        <v>10</v>
      </c>
      <c r="AFM7" s="1179"/>
      <c r="AFN7" s="1179"/>
      <c r="AFO7" s="1180"/>
      <c r="AFP7" s="1178" t="s">
        <v>8</v>
      </c>
      <c r="AFQ7" s="1179"/>
      <c r="AFR7" s="1179"/>
      <c r="AFS7" s="1179"/>
      <c r="AFT7" s="1179" t="s">
        <v>10</v>
      </c>
      <c r="AFU7" s="1179"/>
      <c r="AFV7" s="1179"/>
      <c r="AFW7" s="1180"/>
      <c r="AFX7" s="1178" t="s">
        <v>8</v>
      </c>
      <c r="AFY7" s="1179"/>
      <c r="AFZ7" s="1179"/>
      <c r="AGA7" s="1179"/>
      <c r="AGB7" s="1179" t="s">
        <v>10</v>
      </c>
      <c r="AGC7" s="1179"/>
      <c r="AGD7" s="1179"/>
      <c r="AGE7" s="1180"/>
      <c r="AGF7" s="1178" t="s">
        <v>8</v>
      </c>
      <c r="AGG7" s="1179"/>
      <c r="AGH7" s="1179"/>
      <c r="AGI7" s="1179"/>
      <c r="AGJ7" s="1179" t="s">
        <v>10</v>
      </c>
      <c r="AGK7" s="1179"/>
      <c r="AGL7" s="1179"/>
      <c r="AGM7" s="1180"/>
      <c r="AGN7" s="1178" t="s">
        <v>8</v>
      </c>
      <c r="AGO7" s="1179"/>
      <c r="AGP7" s="1179"/>
      <c r="AGQ7" s="1179"/>
      <c r="AGR7" s="1179" t="s">
        <v>10</v>
      </c>
      <c r="AGS7" s="1179"/>
      <c r="AGT7" s="1179"/>
      <c r="AGU7" s="1180"/>
      <c r="AGV7" s="1178" t="s">
        <v>8</v>
      </c>
      <c r="AGW7" s="1179"/>
      <c r="AGX7" s="1179"/>
      <c r="AGY7" s="1179"/>
      <c r="AGZ7" s="1179" t="s">
        <v>10</v>
      </c>
      <c r="AHA7" s="1179"/>
      <c r="AHB7" s="1179"/>
      <c r="AHC7" s="1180"/>
      <c r="AHD7" s="1178" t="s">
        <v>8</v>
      </c>
      <c r="AHE7" s="1179"/>
      <c r="AHF7" s="1179"/>
      <c r="AHG7" s="1179"/>
      <c r="AHH7" s="1179" t="s">
        <v>10</v>
      </c>
      <c r="AHI7" s="1179"/>
      <c r="AHJ7" s="1179"/>
      <c r="AHK7" s="1180"/>
      <c r="AHL7" s="1178" t="s">
        <v>8</v>
      </c>
      <c r="AHM7" s="1179"/>
      <c r="AHN7" s="1179"/>
      <c r="AHO7" s="1179"/>
      <c r="AHP7" s="1179" t="s">
        <v>10</v>
      </c>
      <c r="AHQ7" s="1179"/>
      <c r="AHR7" s="1179"/>
      <c r="AHS7" s="1180"/>
      <c r="AHT7" s="1178" t="s">
        <v>8</v>
      </c>
      <c r="AHU7" s="1179"/>
      <c r="AHV7" s="1179"/>
      <c r="AHW7" s="1179"/>
      <c r="AHX7" s="1179" t="s">
        <v>10</v>
      </c>
      <c r="AHY7" s="1179"/>
      <c r="AHZ7" s="1179"/>
      <c r="AIA7" s="1180"/>
      <c r="AIB7" s="1178" t="s">
        <v>8</v>
      </c>
      <c r="AIC7" s="1179"/>
      <c r="AID7" s="1179"/>
      <c r="AIE7" s="1179"/>
      <c r="AIF7" s="1179" t="s">
        <v>10</v>
      </c>
      <c r="AIG7" s="1179"/>
      <c r="AIH7" s="1179"/>
      <c r="AII7" s="1180"/>
      <c r="AIJ7" s="1178" t="s">
        <v>8</v>
      </c>
      <c r="AIK7" s="1179"/>
      <c r="AIL7" s="1179"/>
      <c r="AIM7" s="1179"/>
      <c r="AIN7" s="1179" t="s">
        <v>10</v>
      </c>
      <c r="AIO7" s="1179"/>
      <c r="AIP7" s="1179"/>
      <c r="AIQ7" s="1180"/>
      <c r="AIR7" s="1178" t="s">
        <v>8</v>
      </c>
      <c r="AIS7" s="1179"/>
      <c r="AIT7" s="1179"/>
      <c r="AIU7" s="1179"/>
      <c r="AIV7" s="1179" t="s">
        <v>10</v>
      </c>
      <c r="AIW7" s="1179"/>
      <c r="AIX7" s="1179"/>
      <c r="AIY7" s="1180"/>
      <c r="AIZ7" s="1178" t="s">
        <v>8</v>
      </c>
      <c r="AJA7" s="1179"/>
      <c r="AJB7" s="1179"/>
      <c r="AJC7" s="1179"/>
      <c r="AJD7" s="1179" t="s">
        <v>10</v>
      </c>
      <c r="AJE7" s="1179"/>
      <c r="AJF7" s="1179"/>
      <c r="AJG7" s="1180"/>
      <c r="AJH7" s="1178" t="s">
        <v>8</v>
      </c>
      <c r="AJI7" s="1179"/>
      <c r="AJJ7" s="1179"/>
      <c r="AJK7" s="1179"/>
      <c r="AJL7" s="1179" t="s">
        <v>10</v>
      </c>
      <c r="AJM7" s="1179"/>
      <c r="AJN7" s="1179"/>
      <c r="AJO7" s="1180"/>
      <c r="AJP7" s="1178" t="s">
        <v>8</v>
      </c>
      <c r="AJQ7" s="1179"/>
      <c r="AJR7" s="1179"/>
      <c r="AJS7" s="1179"/>
      <c r="AJT7" s="1179" t="s">
        <v>10</v>
      </c>
      <c r="AJU7" s="1179"/>
      <c r="AJV7" s="1179"/>
      <c r="AJW7" s="1180"/>
      <c r="AJX7" s="1178" t="s">
        <v>8</v>
      </c>
      <c r="AJY7" s="1179"/>
      <c r="AJZ7" s="1179"/>
      <c r="AKA7" s="1179"/>
      <c r="AKB7" s="1179" t="s">
        <v>10</v>
      </c>
      <c r="AKC7" s="1179"/>
      <c r="AKD7" s="1179"/>
      <c r="AKE7" s="1180"/>
      <c r="AKF7" s="1178" t="s">
        <v>8</v>
      </c>
      <c r="AKG7" s="1179"/>
      <c r="AKH7" s="1179"/>
      <c r="AKI7" s="1179"/>
      <c r="AKJ7" s="1179" t="s">
        <v>10</v>
      </c>
      <c r="AKK7" s="1179"/>
      <c r="AKL7" s="1179"/>
      <c r="AKM7" s="1180"/>
      <c r="AKN7" s="1178" t="s">
        <v>8</v>
      </c>
      <c r="AKO7" s="1179"/>
      <c r="AKP7" s="1179"/>
      <c r="AKQ7" s="1179"/>
      <c r="AKR7" s="1179" t="s">
        <v>10</v>
      </c>
      <c r="AKS7" s="1179"/>
      <c r="AKT7" s="1179"/>
      <c r="AKU7" s="1180"/>
      <c r="AKV7" s="1178" t="s">
        <v>8</v>
      </c>
      <c r="AKW7" s="1179"/>
      <c r="AKX7" s="1179"/>
      <c r="AKY7" s="1179"/>
      <c r="AKZ7" s="1179" t="s">
        <v>10</v>
      </c>
      <c r="ALA7" s="1179"/>
      <c r="ALB7" s="1179"/>
      <c r="ALC7" s="1180"/>
      <c r="ALD7" s="1178" t="s">
        <v>8</v>
      </c>
      <c r="ALE7" s="1179"/>
      <c r="ALF7" s="1179"/>
      <c r="ALG7" s="1179"/>
      <c r="ALH7" s="1179" t="s">
        <v>10</v>
      </c>
      <c r="ALI7" s="1179"/>
      <c r="ALJ7" s="1179"/>
      <c r="ALK7" s="1180"/>
      <c r="ALL7" s="1178" t="s">
        <v>8</v>
      </c>
      <c r="ALM7" s="1179"/>
      <c r="ALN7" s="1179"/>
      <c r="ALO7" s="1179"/>
      <c r="ALP7" s="1179" t="s">
        <v>10</v>
      </c>
      <c r="ALQ7" s="1179"/>
      <c r="ALR7" s="1179"/>
      <c r="ALS7" s="1180"/>
      <c r="ALT7" s="1178" t="s">
        <v>8</v>
      </c>
      <c r="ALU7" s="1179"/>
      <c r="ALV7" s="1179"/>
      <c r="ALW7" s="1179"/>
      <c r="ALX7" s="1179" t="s">
        <v>10</v>
      </c>
      <c r="ALY7" s="1179"/>
      <c r="ALZ7" s="1179"/>
      <c r="AMA7" s="1180"/>
      <c r="AMB7" s="1178" t="s">
        <v>8</v>
      </c>
      <c r="AMC7" s="1179"/>
      <c r="AMD7" s="1179"/>
      <c r="AME7" s="1179"/>
      <c r="AMF7" s="1179" t="s">
        <v>10</v>
      </c>
      <c r="AMG7" s="1179"/>
      <c r="AMH7" s="1179"/>
      <c r="AMI7" s="1180"/>
      <c r="AMJ7" s="1178" t="s">
        <v>8</v>
      </c>
      <c r="AMK7" s="1179"/>
      <c r="AML7" s="1179"/>
      <c r="AMM7" s="1179"/>
      <c r="AMN7" s="1179" t="s">
        <v>10</v>
      </c>
      <c r="AMO7" s="1179"/>
      <c r="AMP7" s="1179"/>
      <c r="AMQ7" s="1180"/>
      <c r="AMR7" s="1178" t="s">
        <v>8</v>
      </c>
      <c r="AMS7" s="1179"/>
      <c r="AMT7" s="1179"/>
      <c r="AMU7" s="1179"/>
      <c r="AMV7" s="1179" t="s">
        <v>10</v>
      </c>
      <c r="AMW7" s="1179"/>
      <c r="AMX7" s="1179"/>
      <c r="AMY7" s="1180"/>
      <c r="AMZ7" s="1178" t="s">
        <v>8</v>
      </c>
      <c r="ANA7" s="1179"/>
      <c r="ANB7" s="1179"/>
      <c r="ANC7" s="1179"/>
      <c r="AND7" s="1179" t="s">
        <v>10</v>
      </c>
      <c r="ANE7" s="1179"/>
      <c r="ANF7" s="1179"/>
      <c r="ANG7" s="1180"/>
      <c r="ANH7" s="1178" t="s">
        <v>8</v>
      </c>
      <c r="ANI7" s="1179"/>
      <c r="ANJ7" s="1179"/>
      <c r="ANK7" s="1179"/>
      <c r="ANL7" s="1179" t="s">
        <v>10</v>
      </c>
      <c r="ANM7" s="1179"/>
      <c r="ANN7" s="1179"/>
      <c r="ANO7" s="1180"/>
      <c r="ANP7" s="1178" t="s">
        <v>8</v>
      </c>
      <c r="ANQ7" s="1179"/>
      <c r="ANR7" s="1179"/>
      <c r="ANS7" s="1179"/>
      <c r="ANT7" s="1179" t="s">
        <v>10</v>
      </c>
      <c r="ANU7" s="1179"/>
      <c r="ANV7" s="1179"/>
      <c r="ANW7" s="1180"/>
      <c r="ANX7" s="1178" t="s">
        <v>8</v>
      </c>
      <c r="ANY7" s="1179"/>
      <c r="ANZ7" s="1179"/>
      <c r="AOA7" s="1179"/>
      <c r="AOB7" s="1179" t="s">
        <v>10</v>
      </c>
      <c r="AOC7" s="1179"/>
      <c r="AOD7" s="1179"/>
      <c r="AOE7" s="1180"/>
      <c r="AOF7" s="1178" t="s">
        <v>8</v>
      </c>
      <c r="AOG7" s="1179"/>
      <c r="AOH7" s="1179"/>
      <c r="AOI7" s="1179"/>
      <c r="AOJ7" s="1179" t="s">
        <v>10</v>
      </c>
      <c r="AOK7" s="1179"/>
      <c r="AOL7" s="1179"/>
      <c r="AOM7" s="1180"/>
      <c r="AON7" s="1178" t="s">
        <v>8</v>
      </c>
      <c r="AOO7" s="1179"/>
      <c r="AOP7" s="1179"/>
      <c r="AOQ7" s="1179"/>
      <c r="AOR7" s="1179" t="s">
        <v>10</v>
      </c>
      <c r="AOS7" s="1179"/>
      <c r="AOT7" s="1179"/>
      <c r="AOU7" s="1180"/>
      <c r="AOV7" s="1178" t="s">
        <v>8</v>
      </c>
      <c r="AOW7" s="1179"/>
      <c r="AOX7" s="1179"/>
      <c r="AOY7" s="1179"/>
      <c r="AOZ7" s="1179" t="s">
        <v>10</v>
      </c>
      <c r="APA7" s="1179"/>
      <c r="APB7" s="1179"/>
      <c r="APC7" s="1180"/>
      <c r="APD7" s="1178" t="s">
        <v>8</v>
      </c>
      <c r="APE7" s="1179"/>
      <c r="APF7" s="1179"/>
      <c r="APG7" s="1179"/>
      <c r="APH7" s="1179" t="s">
        <v>10</v>
      </c>
      <c r="API7" s="1179"/>
      <c r="APJ7" s="1179"/>
      <c r="APK7" s="1180"/>
      <c r="APL7" s="1178" t="s">
        <v>8</v>
      </c>
      <c r="APM7" s="1179"/>
      <c r="APN7" s="1179"/>
      <c r="APO7" s="1179"/>
      <c r="APP7" s="1179" t="s">
        <v>10</v>
      </c>
      <c r="APQ7" s="1179"/>
      <c r="APR7" s="1179"/>
      <c r="APS7" s="1180"/>
      <c r="APT7" s="1178" t="s">
        <v>8</v>
      </c>
      <c r="APU7" s="1179"/>
      <c r="APV7" s="1179"/>
      <c r="APW7" s="1179"/>
      <c r="APX7" s="1179" t="s">
        <v>10</v>
      </c>
      <c r="APY7" s="1179"/>
      <c r="APZ7" s="1179"/>
      <c r="AQA7" s="1180"/>
      <c r="AQB7" s="1178" t="s">
        <v>8</v>
      </c>
      <c r="AQC7" s="1179"/>
      <c r="AQD7" s="1179"/>
      <c r="AQE7" s="1179"/>
      <c r="AQF7" s="1179" t="s">
        <v>10</v>
      </c>
      <c r="AQG7" s="1179"/>
      <c r="AQH7" s="1179"/>
      <c r="AQI7" s="1180"/>
      <c r="AQJ7" s="1178" t="s">
        <v>8</v>
      </c>
      <c r="AQK7" s="1179"/>
      <c r="AQL7" s="1179"/>
      <c r="AQM7" s="1179"/>
      <c r="AQN7" s="1179" t="s">
        <v>10</v>
      </c>
      <c r="AQO7" s="1179"/>
      <c r="AQP7" s="1179"/>
      <c r="AQQ7" s="1180"/>
      <c r="AQR7" s="1178" t="s">
        <v>8</v>
      </c>
      <c r="AQS7" s="1179"/>
      <c r="AQT7" s="1179"/>
      <c r="AQU7" s="1179"/>
      <c r="AQV7" s="1179" t="s">
        <v>10</v>
      </c>
      <c r="AQW7" s="1179"/>
      <c r="AQX7" s="1179"/>
      <c r="AQY7" s="1180"/>
      <c r="AQZ7" s="1178" t="s">
        <v>8</v>
      </c>
      <c r="ARA7" s="1179"/>
      <c r="ARB7" s="1179"/>
      <c r="ARC7" s="1179"/>
      <c r="ARD7" s="1179" t="s">
        <v>10</v>
      </c>
      <c r="ARE7" s="1179"/>
      <c r="ARF7" s="1179"/>
      <c r="ARG7" s="1180"/>
      <c r="ARH7" s="1178" t="s">
        <v>8</v>
      </c>
      <c r="ARI7" s="1179"/>
      <c r="ARJ7" s="1179"/>
      <c r="ARK7" s="1179"/>
      <c r="ARL7" s="1179" t="s">
        <v>10</v>
      </c>
      <c r="ARM7" s="1179"/>
      <c r="ARN7" s="1179"/>
      <c r="ARO7" s="1180"/>
      <c r="ARP7" s="1178" t="s">
        <v>8</v>
      </c>
      <c r="ARQ7" s="1179"/>
      <c r="ARR7" s="1179"/>
      <c r="ARS7" s="1179"/>
      <c r="ART7" s="1179" t="s">
        <v>10</v>
      </c>
      <c r="ARU7" s="1179"/>
      <c r="ARV7" s="1179"/>
      <c r="ARW7" s="1180"/>
      <c r="ARX7" s="1178" t="s">
        <v>8</v>
      </c>
      <c r="ARY7" s="1179"/>
      <c r="ARZ7" s="1179"/>
      <c r="ASA7" s="1179"/>
      <c r="ASB7" s="1179" t="s">
        <v>10</v>
      </c>
      <c r="ASC7" s="1179"/>
      <c r="ASD7" s="1179"/>
      <c r="ASE7" s="1180"/>
      <c r="ASF7" s="1178" t="s">
        <v>8</v>
      </c>
      <c r="ASG7" s="1179"/>
      <c r="ASH7" s="1179"/>
      <c r="ASI7" s="1179"/>
      <c r="ASJ7" s="1179" t="s">
        <v>10</v>
      </c>
      <c r="ASK7" s="1179"/>
      <c r="ASL7" s="1179"/>
      <c r="ASM7" s="1180"/>
      <c r="ASN7" s="1178" t="s">
        <v>8</v>
      </c>
      <c r="ASO7" s="1179"/>
      <c r="ASP7" s="1179"/>
      <c r="ASQ7" s="1179"/>
      <c r="ASR7" s="1179" t="s">
        <v>10</v>
      </c>
      <c r="ASS7" s="1179"/>
      <c r="AST7" s="1179"/>
      <c r="ASU7" s="1180"/>
      <c r="ASV7" s="1178" t="s">
        <v>8</v>
      </c>
      <c r="ASW7" s="1179"/>
      <c r="ASX7" s="1179"/>
      <c r="ASY7" s="1179"/>
      <c r="ASZ7" s="1179" t="s">
        <v>10</v>
      </c>
      <c r="ATA7" s="1179"/>
      <c r="ATB7" s="1179"/>
      <c r="ATC7" s="1180"/>
      <c r="ATD7" s="1178" t="s">
        <v>8</v>
      </c>
      <c r="ATE7" s="1179"/>
      <c r="ATF7" s="1179"/>
      <c r="ATG7" s="1179"/>
      <c r="ATH7" s="1179" t="s">
        <v>10</v>
      </c>
      <c r="ATI7" s="1179"/>
      <c r="ATJ7" s="1179"/>
      <c r="ATK7" s="1180"/>
      <c r="ATL7" s="1178" t="s">
        <v>8</v>
      </c>
      <c r="ATM7" s="1179"/>
      <c r="ATN7" s="1179"/>
      <c r="ATO7" s="1179"/>
      <c r="ATP7" s="1179" t="s">
        <v>10</v>
      </c>
      <c r="ATQ7" s="1179"/>
      <c r="ATR7" s="1179"/>
      <c r="ATS7" s="1180"/>
      <c r="ATT7" s="1178" t="s">
        <v>8</v>
      </c>
      <c r="ATU7" s="1179"/>
      <c r="ATV7" s="1179"/>
      <c r="ATW7" s="1179"/>
      <c r="ATX7" s="1179" t="s">
        <v>10</v>
      </c>
      <c r="ATY7" s="1179"/>
      <c r="ATZ7" s="1179"/>
      <c r="AUA7" s="1180"/>
      <c r="AUB7" s="1178" t="s">
        <v>8</v>
      </c>
      <c r="AUC7" s="1179"/>
      <c r="AUD7" s="1179"/>
      <c r="AUE7" s="1179"/>
      <c r="AUF7" s="1179" t="s">
        <v>10</v>
      </c>
      <c r="AUG7" s="1179"/>
      <c r="AUH7" s="1179"/>
      <c r="AUI7" s="1180"/>
      <c r="AUJ7" s="1178" t="s">
        <v>8</v>
      </c>
      <c r="AUK7" s="1179"/>
      <c r="AUL7" s="1179"/>
      <c r="AUM7" s="1179"/>
      <c r="AUN7" s="1179" t="s">
        <v>10</v>
      </c>
      <c r="AUO7" s="1179"/>
      <c r="AUP7" s="1179"/>
      <c r="AUQ7" s="1180"/>
      <c r="AUR7" s="1178" t="s">
        <v>8</v>
      </c>
      <c r="AUS7" s="1179"/>
      <c r="AUT7" s="1179"/>
      <c r="AUU7" s="1179"/>
      <c r="AUV7" s="1179" t="s">
        <v>10</v>
      </c>
      <c r="AUW7" s="1179"/>
      <c r="AUX7" s="1179"/>
      <c r="AUY7" s="1180"/>
      <c r="AUZ7" s="1178" t="s">
        <v>8</v>
      </c>
      <c r="AVA7" s="1179"/>
      <c r="AVB7" s="1179"/>
      <c r="AVC7" s="1179"/>
      <c r="AVD7" s="1179" t="s">
        <v>10</v>
      </c>
      <c r="AVE7" s="1179"/>
      <c r="AVF7" s="1179"/>
      <c r="AVG7" s="1180"/>
      <c r="AVH7" s="1178" t="s">
        <v>8</v>
      </c>
      <c r="AVI7" s="1179"/>
      <c r="AVJ7" s="1179"/>
      <c r="AVK7" s="1179"/>
      <c r="AVL7" s="1179" t="s">
        <v>10</v>
      </c>
      <c r="AVM7" s="1179"/>
      <c r="AVN7" s="1179"/>
      <c r="AVO7" s="1180"/>
      <c r="AVP7" s="1178" t="s">
        <v>8</v>
      </c>
      <c r="AVQ7" s="1179"/>
      <c r="AVR7" s="1179"/>
      <c r="AVS7" s="1179"/>
      <c r="AVT7" s="1179" t="s">
        <v>10</v>
      </c>
      <c r="AVU7" s="1179"/>
      <c r="AVV7" s="1179"/>
      <c r="AVW7" s="1180"/>
      <c r="AVX7" s="1178" t="s">
        <v>8</v>
      </c>
      <c r="AVY7" s="1179"/>
      <c r="AVZ7" s="1179"/>
      <c r="AWA7" s="1179"/>
      <c r="AWB7" s="1179" t="s">
        <v>10</v>
      </c>
      <c r="AWC7" s="1179"/>
      <c r="AWD7" s="1179"/>
      <c r="AWE7" s="1180"/>
      <c r="AWF7" s="1178" t="s">
        <v>8</v>
      </c>
      <c r="AWG7" s="1179"/>
      <c r="AWH7" s="1179"/>
      <c r="AWI7" s="1179"/>
      <c r="AWJ7" s="1179" t="s">
        <v>10</v>
      </c>
      <c r="AWK7" s="1179"/>
      <c r="AWL7" s="1179"/>
      <c r="AWM7" s="1180"/>
      <c r="AWN7" s="1178" t="s">
        <v>8</v>
      </c>
      <c r="AWO7" s="1179"/>
      <c r="AWP7" s="1179"/>
      <c r="AWQ7" s="1179"/>
      <c r="AWR7" s="1179" t="s">
        <v>10</v>
      </c>
      <c r="AWS7" s="1179"/>
      <c r="AWT7" s="1179"/>
      <c r="AWU7" s="1180"/>
      <c r="AWV7" s="1178" t="s">
        <v>8</v>
      </c>
      <c r="AWW7" s="1179"/>
      <c r="AWX7" s="1179"/>
      <c r="AWY7" s="1179"/>
      <c r="AWZ7" s="1179" t="s">
        <v>10</v>
      </c>
      <c r="AXA7" s="1179"/>
      <c r="AXB7" s="1179"/>
      <c r="AXC7" s="1180"/>
      <c r="AXD7" s="1178" t="s">
        <v>8</v>
      </c>
      <c r="AXE7" s="1179"/>
      <c r="AXF7" s="1179"/>
      <c r="AXG7" s="1179"/>
      <c r="AXH7" s="1179" t="s">
        <v>10</v>
      </c>
      <c r="AXI7" s="1179"/>
      <c r="AXJ7" s="1179"/>
      <c r="AXK7" s="1180"/>
      <c r="AXL7" s="1178" t="s">
        <v>8</v>
      </c>
      <c r="AXM7" s="1179"/>
      <c r="AXN7" s="1179"/>
      <c r="AXO7" s="1179"/>
      <c r="AXP7" s="1179" t="s">
        <v>10</v>
      </c>
      <c r="AXQ7" s="1179"/>
      <c r="AXR7" s="1179"/>
      <c r="AXS7" s="1180"/>
      <c r="AXT7" s="1178" t="s">
        <v>8</v>
      </c>
      <c r="AXU7" s="1179"/>
      <c r="AXV7" s="1179"/>
      <c r="AXW7" s="1179"/>
      <c r="AXX7" s="1179" t="s">
        <v>10</v>
      </c>
      <c r="AXY7" s="1179"/>
      <c r="AXZ7" s="1179"/>
      <c r="AYA7" s="1180"/>
      <c r="AYB7" s="1178" t="s">
        <v>8</v>
      </c>
      <c r="AYC7" s="1179"/>
      <c r="AYD7" s="1179"/>
      <c r="AYE7" s="1179"/>
      <c r="AYF7" s="1179" t="s">
        <v>10</v>
      </c>
      <c r="AYG7" s="1179"/>
      <c r="AYH7" s="1179"/>
      <c r="AYI7" s="1180"/>
      <c r="AYJ7" s="1178" t="s">
        <v>8</v>
      </c>
      <c r="AYK7" s="1179"/>
      <c r="AYL7" s="1179"/>
      <c r="AYM7" s="1179"/>
      <c r="AYN7" s="1179" t="s">
        <v>10</v>
      </c>
      <c r="AYO7" s="1179"/>
      <c r="AYP7" s="1179"/>
      <c r="AYQ7" s="1180"/>
      <c r="AYR7" s="1178" t="s">
        <v>8</v>
      </c>
      <c r="AYS7" s="1179"/>
      <c r="AYT7" s="1179"/>
      <c r="AYU7" s="1179"/>
      <c r="AYV7" s="1179" t="s">
        <v>10</v>
      </c>
      <c r="AYW7" s="1179"/>
      <c r="AYX7" s="1179"/>
      <c r="AYY7" s="1180"/>
      <c r="AYZ7" s="1178" t="s">
        <v>8</v>
      </c>
      <c r="AZA7" s="1179"/>
      <c r="AZB7" s="1179"/>
      <c r="AZC7" s="1179"/>
      <c r="AZD7" s="1179" t="s">
        <v>10</v>
      </c>
      <c r="AZE7" s="1179"/>
      <c r="AZF7" s="1179"/>
      <c r="AZG7" s="1180"/>
      <c r="AZH7" s="1178" t="s">
        <v>8</v>
      </c>
      <c r="AZI7" s="1179"/>
      <c r="AZJ7" s="1179"/>
      <c r="AZK7" s="1179"/>
      <c r="AZL7" s="1179" t="s">
        <v>10</v>
      </c>
      <c r="AZM7" s="1179"/>
      <c r="AZN7" s="1179"/>
      <c r="AZO7" s="1180"/>
      <c r="AZP7" s="1178" t="s">
        <v>8</v>
      </c>
      <c r="AZQ7" s="1179"/>
      <c r="AZR7" s="1179"/>
      <c r="AZS7" s="1179"/>
      <c r="AZT7" s="1179" t="s">
        <v>10</v>
      </c>
      <c r="AZU7" s="1179"/>
      <c r="AZV7" s="1179"/>
      <c r="AZW7" s="1180"/>
      <c r="AZX7" s="1178" t="s">
        <v>8</v>
      </c>
      <c r="AZY7" s="1179"/>
      <c r="AZZ7" s="1179"/>
      <c r="BAA7" s="1179"/>
      <c r="BAB7" s="1179" t="s">
        <v>10</v>
      </c>
      <c r="BAC7" s="1179"/>
      <c r="BAD7" s="1179"/>
      <c r="BAE7" s="1180"/>
      <c r="BAF7" s="1178" t="s">
        <v>8</v>
      </c>
      <c r="BAG7" s="1179"/>
      <c r="BAH7" s="1179"/>
      <c r="BAI7" s="1179"/>
      <c r="BAJ7" s="1179" t="s">
        <v>10</v>
      </c>
      <c r="BAK7" s="1179"/>
      <c r="BAL7" s="1179"/>
      <c r="BAM7" s="1180"/>
      <c r="BAN7" s="1178" t="s">
        <v>8</v>
      </c>
      <c r="BAO7" s="1179"/>
      <c r="BAP7" s="1179"/>
      <c r="BAQ7" s="1179"/>
      <c r="BAR7" s="1179" t="s">
        <v>10</v>
      </c>
      <c r="BAS7" s="1179"/>
      <c r="BAT7" s="1179"/>
      <c r="BAU7" s="1180"/>
      <c r="BAV7" s="1178" t="s">
        <v>8</v>
      </c>
      <c r="BAW7" s="1179"/>
      <c r="BAX7" s="1179"/>
      <c r="BAY7" s="1179"/>
      <c r="BAZ7" s="1179" t="s">
        <v>10</v>
      </c>
      <c r="BBA7" s="1179"/>
      <c r="BBB7" s="1179"/>
      <c r="BBC7" s="1180"/>
      <c r="BBD7" s="1178" t="s">
        <v>8</v>
      </c>
      <c r="BBE7" s="1179"/>
      <c r="BBF7" s="1179"/>
      <c r="BBG7" s="1179"/>
      <c r="BBH7" s="1179" t="s">
        <v>10</v>
      </c>
      <c r="BBI7" s="1179"/>
      <c r="BBJ7" s="1179"/>
      <c r="BBK7" s="1180"/>
      <c r="BBL7" s="1178" t="s">
        <v>8</v>
      </c>
      <c r="BBM7" s="1179"/>
      <c r="BBN7" s="1179"/>
      <c r="BBO7" s="1179"/>
      <c r="BBP7" s="1179" t="s">
        <v>10</v>
      </c>
      <c r="BBQ7" s="1179"/>
      <c r="BBR7" s="1179"/>
      <c r="BBS7" s="1180"/>
      <c r="BBT7" s="1178" t="s">
        <v>8</v>
      </c>
      <c r="BBU7" s="1179"/>
      <c r="BBV7" s="1179"/>
      <c r="BBW7" s="1179"/>
      <c r="BBX7" s="1179" t="s">
        <v>10</v>
      </c>
      <c r="BBY7" s="1179"/>
      <c r="BBZ7" s="1179"/>
      <c r="BCA7" s="1180"/>
      <c r="BCB7" s="1178" t="s">
        <v>8</v>
      </c>
      <c r="BCC7" s="1179"/>
      <c r="BCD7" s="1179"/>
      <c r="BCE7" s="1179"/>
      <c r="BCF7" s="1179" t="s">
        <v>10</v>
      </c>
      <c r="BCG7" s="1179"/>
      <c r="BCH7" s="1179"/>
      <c r="BCI7" s="1180"/>
      <c r="BCJ7" s="1178" t="s">
        <v>8</v>
      </c>
      <c r="BCK7" s="1179"/>
      <c r="BCL7" s="1179"/>
      <c r="BCM7" s="1179"/>
      <c r="BCN7" s="1179" t="s">
        <v>10</v>
      </c>
      <c r="BCO7" s="1179"/>
      <c r="BCP7" s="1179"/>
      <c r="BCQ7" s="1180"/>
      <c r="BCR7" s="1178" t="s">
        <v>8</v>
      </c>
      <c r="BCS7" s="1179"/>
      <c r="BCT7" s="1179"/>
      <c r="BCU7" s="1179"/>
      <c r="BCV7" s="1179" t="s">
        <v>10</v>
      </c>
      <c r="BCW7" s="1179"/>
      <c r="BCX7" s="1179"/>
      <c r="BCY7" s="1180"/>
      <c r="BCZ7" s="1178" t="s">
        <v>8</v>
      </c>
      <c r="BDA7" s="1179"/>
      <c r="BDB7" s="1179"/>
      <c r="BDC7" s="1179"/>
      <c r="BDD7" s="1179" t="s">
        <v>10</v>
      </c>
      <c r="BDE7" s="1179"/>
      <c r="BDF7" s="1179"/>
      <c r="BDG7" s="1180"/>
      <c r="BDH7" s="1178" t="s">
        <v>8</v>
      </c>
      <c r="BDI7" s="1179"/>
      <c r="BDJ7" s="1179"/>
      <c r="BDK7" s="1179"/>
      <c r="BDL7" s="1179" t="s">
        <v>10</v>
      </c>
      <c r="BDM7" s="1179"/>
      <c r="BDN7" s="1179"/>
      <c r="BDO7" s="1180"/>
      <c r="BDP7" s="1178" t="s">
        <v>8</v>
      </c>
      <c r="BDQ7" s="1179"/>
      <c r="BDR7" s="1179"/>
      <c r="BDS7" s="1179"/>
      <c r="BDT7" s="1179" t="s">
        <v>10</v>
      </c>
      <c r="BDU7" s="1179"/>
      <c r="BDV7" s="1179"/>
      <c r="BDW7" s="1180"/>
      <c r="BDX7" s="1178" t="s">
        <v>8</v>
      </c>
      <c r="BDY7" s="1179"/>
      <c r="BDZ7" s="1179"/>
      <c r="BEA7" s="1179"/>
      <c r="BEB7" s="1179" t="s">
        <v>10</v>
      </c>
      <c r="BEC7" s="1179"/>
      <c r="BED7" s="1179"/>
      <c r="BEE7" s="1180"/>
      <c r="BEF7" s="1178" t="s">
        <v>8</v>
      </c>
      <c r="BEG7" s="1179"/>
      <c r="BEH7" s="1179"/>
      <c r="BEI7" s="1179"/>
      <c r="BEJ7" s="1179" t="s">
        <v>10</v>
      </c>
      <c r="BEK7" s="1179"/>
      <c r="BEL7" s="1179"/>
      <c r="BEM7" s="1180"/>
      <c r="BEN7" s="1178" t="s">
        <v>8</v>
      </c>
      <c r="BEO7" s="1179"/>
      <c r="BEP7" s="1179"/>
      <c r="BEQ7" s="1179"/>
      <c r="BER7" s="1179" t="s">
        <v>10</v>
      </c>
      <c r="BES7" s="1179"/>
      <c r="BET7" s="1179"/>
      <c r="BEU7" s="1180"/>
      <c r="BEV7" s="1178" t="s">
        <v>8</v>
      </c>
      <c r="BEW7" s="1179"/>
      <c r="BEX7" s="1179"/>
      <c r="BEY7" s="1179"/>
      <c r="BEZ7" s="1179" t="s">
        <v>10</v>
      </c>
      <c r="BFA7" s="1179"/>
      <c r="BFB7" s="1179"/>
      <c r="BFC7" s="1180"/>
      <c r="BFD7" s="1178" t="s">
        <v>8</v>
      </c>
      <c r="BFE7" s="1179"/>
      <c r="BFF7" s="1179"/>
      <c r="BFG7" s="1179"/>
      <c r="BFH7" s="1179" t="s">
        <v>10</v>
      </c>
      <c r="BFI7" s="1179"/>
      <c r="BFJ7" s="1179"/>
      <c r="BFK7" s="1180"/>
      <c r="BFL7" s="1178" t="s">
        <v>8</v>
      </c>
      <c r="BFM7" s="1179"/>
      <c r="BFN7" s="1179"/>
      <c r="BFO7" s="1179"/>
      <c r="BFP7" s="1179" t="s">
        <v>10</v>
      </c>
      <c r="BFQ7" s="1179"/>
      <c r="BFR7" s="1179"/>
      <c r="BFS7" s="1180"/>
      <c r="BFT7" s="1178" t="s">
        <v>8</v>
      </c>
      <c r="BFU7" s="1179"/>
      <c r="BFV7" s="1179"/>
      <c r="BFW7" s="1179"/>
      <c r="BFX7" s="1179" t="s">
        <v>10</v>
      </c>
      <c r="BFY7" s="1179"/>
      <c r="BFZ7" s="1179"/>
      <c r="BGA7" s="1180"/>
      <c r="BGB7" s="1178" t="s">
        <v>8</v>
      </c>
      <c r="BGC7" s="1179"/>
      <c r="BGD7" s="1179"/>
      <c r="BGE7" s="1179"/>
      <c r="BGF7" s="1179" t="s">
        <v>10</v>
      </c>
      <c r="BGG7" s="1179"/>
      <c r="BGH7" s="1179"/>
      <c r="BGI7" s="1180"/>
      <c r="BGJ7" s="1178" t="s">
        <v>8</v>
      </c>
      <c r="BGK7" s="1179"/>
      <c r="BGL7" s="1179"/>
      <c r="BGM7" s="1179"/>
      <c r="BGN7" s="1179" t="s">
        <v>10</v>
      </c>
      <c r="BGO7" s="1179"/>
      <c r="BGP7" s="1179"/>
      <c r="BGQ7" s="1180"/>
      <c r="BGR7" s="1178" t="s">
        <v>8</v>
      </c>
      <c r="BGS7" s="1179"/>
      <c r="BGT7" s="1179"/>
      <c r="BGU7" s="1179"/>
      <c r="BGV7" s="1179" t="s">
        <v>10</v>
      </c>
      <c r="BGW7" s="1179"/>
      <c r="BGX7" s="1179"/>
      <c r="BGY7" s="1180"/>
      <c r="BGZ7" s="1178" t="s">
        <v>8</v>
      </c>
      <c r="BHA7" s="1179"/>
      <c r="BHB7" s="1179"/>
      <c r="BHC7" s="1179"/>
      <c r="BHD7" s="1179" t="s">
        <v>10</v>
      </c>
      <c r="BHE7" s="1179"/>
      <c r="BHF7" s="1179"/>
      <c r="BHG7" s="1180"/>
      <c r="BHH7" s="1178" t="s">
        <v>8</v>
      </c>
      <c r="BHI7" s="1179"/>
      <c r="BHJ7" s="1179"/>
      <c r="BHK7" s="1179"/>
      <c r="BHL7" s="1179" t="s">
        <v>10</v>
      </c>
      <c r="BHM7" s="1179"/>
      <c r="BHN7" s="1179"/>
      <c r="BHO7" s="1180"/>
      <c r="BHP7" s="1178" t="s">
        <v>8</v>
      </c>
      <c r="BHQ7" s="1179"/>
      <c r="BHR7" s="1179"/>
      <c r="BHS7" s="1179"/>
      <c r="BHT7" s="1179" t="s">
        <v>10</v>
      </c>
      <c r="BHU7" s="1179"/>
      <c r="BHV7" s="1179"/>
      <c r="BHW7" s="1180"/>
      <c r="BHX7" s="1178" t="s">
        <v>8</v>
      </c>
      <c r="BHY7" s="1179"/>
      <c r="BHZ7" s="1179"/>
      <c r="BIA7" s="1179"/>
      <c r="BIB7" s="1179" t="s">
        <v>10</v>
      </c>
      <c r="BIC7" s="1179"/>
      <c r="BID7" s="1179"/>
      <c r="BIE7" s="1180"/>
      <c r="BIF7" s="1178" t="s">
        <v>8</v>
      </c>
      <c r="BIG7" s="1179"/>
      <c r="BIH7" s="1179"/>
      <c r="BII7" s="1179"/>
      <c r="BIJ7" s="1179" t="s">
        <v>10</v>
      </c>
      <c r="BIK7" s="1179"/>
      <c r="BIL7" s="1179"/>
      <c r="BIM7" s="1180"/>
      <c r="BIN7" s="1178" t="s">
        <v>8</v>
      </c>
      <c r="BIO7" s="1179"/>
      <c r="BIP7" s="1179"/>
      <c r="BIQ7" s="1179"/>
      <c r="BIR7" s="1179" t="s">
        <v>10</v>
      </c>
      <c r="BIS7" s="1179"/>
      <c r="BIT7" s="1179"/>
      <c r="BIU7" s="1180"/>
      <c r="BIV7" s="1178" t="s">
        <v>8</v>
      </c>
      <c r="BIW7" s="1179"/>
      <c r="BIX7" s="1179"/>
      <c r="BIY7" s="1179"/>
      <c r="BIZ7" s="1179" t="s">
        <v>10</v>
      </c>
      <c r="BJA7" s="1179"/>
      <c r="BJB7" s="1179"/>
      <c r="BJC7" s="1180"/>
      <c r="BJD7" s="1178" t="s">
        <v>8</v>
      </c>
      <c r="BJE7" s="1179"/>
      <c r="BJF7" s="1179"/>
      <c r="BJG7" s="1179"/>
      <c r="BJH7" s="1179" t="s">
        <v>10</v>
      </c>
      <c r="BJI7" s="1179"/>
      <c r="BJJ7" s="1179"/>
      <c r="BJK7" s="1180"/>
      <c r="BJL7" s="1178" t="s">
        <v>8</v>
      </c>
      <c r="BJM7" s="1179"/>
      <c r="BJN7" s="1179"/>
      <c r="BJO7" s="1179"/>
      <c r="BJP7" s="1179" t="s">
        <v>10</v>
      </c>
      <c r="BJQ7" s="1179"/>
      <c r="BJR7" s="1179"/>
      <c r="BJS7" s="1180"/>
      <c r="BJT7" s="1178" t="s">
        <v>8</v>
      </c>
      <c r="BJU7" s="1179"/>
      <c r="BJV7" s="1179"/>
      <c r="BJW7" s="1179"/>
      <c r="BJX7" s="1179" t="s">
        <v>10</v>
      </c>
      <c r="BJY7" s="1179"/>
      <c r="BJZ7" s="1179"/>
      <c r="BKA7" s="1180"/>
      <c r="BKB7" s="1178" t="s">
        <v>8</v>
      </c>
      <c r="BKC7" s="1179"/>
      <c r="BKD7" s="1179"/>
      <c r="BKE7" s="1179"/>
      <c r="BKF7" s="1179" t="s">
        <v>10</v>
      </c>
      <c r="BKG7" s="1179"/>
      <c r="BKH7" s="1179"/>
      <c r="BKI7" s="1180"/>
      <c r="BKJ7" s="1178" t="s">
        <v>8</v>
      </c>
      <c r="BKK7" s="1179"/>
      <c r="BKL7" s="1179"/>
      <c r="BKM7" s="1179"/>
      <c r="BKN7" s="1179" t="s">
        <v>10</v>
      </c>
      <c r="BKO7" s="1179"/>
      <c r="BKP7" s="1179"/>
      <c r="BKQ7" s="1180"/>
      <c r="BKR7" s="1178" t="s">
        <v>8</v>
      </c>
      <c r="BKS7" s="1179"/>
      <c r="BKT7" s="1179"/>
      <c r="BKU7" s="1179"/>
      <c r="BKV7" s="1179" t="s">
        <v>10</v>
      </c>
      <c r="BKW7" s="1179"/>
      <c r="BKX7" s="1179"/>
      <c r="BKY7" s="1180"/>
      <c r="BKZ7" s="1178" t="s">
        <v>8</v>
      </c>
      <c r="BLA7" s="1179"/>
      <c r="BLB7" s="1179"/>
      <c r="BLC7" s="1179"/>
      <c r="BLD7" s="1179" t="s">
        <v>10</v>
      </c>
      <c r="BLE7" s="1179"/>
      <c r="BLF7" s="1179"/>
      <c r="BLG7" s="1180"/>
      <c r="BLH7" s="1178" t="s">
        <v>8</v>
      </c>
      <c r="BLI7" s="1179"/>
      <c r="BLJ7" s="1179"/>
      <c r="BLK7" s="1179"/>
      <c r="BLL7" s="1179" t="s">
        <v>10</v>
      </c>
      <c r="BLM7" s="1179"/>
      <c r="BLN7" s="1179"/>
      <c r="BLO7" s="1180"/>
      <c r="BLP7" s="1178" t="s">
        <v>8</v>
      </c>
      <c r="BLQ7" s="1179"/>
      <c r="BLR7" s="1179"/>
      <c r="BLS7" s="1179"/>
      <c r="BLT7" s="1179" t="s">
        <v>10</v>
      </c>
      <c r="BLU7" s="1179"/>
      <c r="BLV7" s="1179"/>
      <c r="BLW7" s="1180"/>
      <c r="BLX7" s="1178" t="s">
        <v>8</v>
      </c>
      <c r="BLY7" s="1179"/>
      <c r="BLZ7" s="1179"/>
      <c r="BMA7" s="1179"/>
      <c r="BMB7" s="1179" t="s">
        <v>10</v>
      </c>
      <c r="BMC7" s="1179"/>
      <c r="BMD7" s="1179"/>
      <c r="BME7" s="1180"/>
      <c r="BMF7" s="1178" t="s">
        <v>8</v>
      </c>
      <c r="BMG7" s="1179"/>
      <c r="BMH7" s="1179"/>
      <c r="BMI7" s="1179"/>
      <c r="BMJ7" s="1179" t="s">
        <v>10</v>
      </c>
      <c r="BMK7" s="1179"/>
      <c r="BML7" s="1179"/>
      <c r="BMM7" s="1180"/>
      <c r="BMN7" s="1178" t="s">
        <v>8</v>
      </c>
      <c r="BMO7" s="1179"/>
      <c r="BMP7" s="1179"/>
      <c r="BMQ7" s="1179"/>
      <c r="BMR7" s="1179" t="s">
        <v>10</v>
      </c>
      <c r="BMS7" s="1179"/>
      <c r="BMT7" s="1179"/>
      <c r="BMU7" s="1180"/>
      <c r="BMV7" s="1178" t="s">
        <v>8</v>
      </c>
      <c r="BMW7" s="1179"/>
      <c r="BMX7" s="1179"/>
      <c r="BMY7" s="1179"/>
      <c r="BMZ7" s="1179" t="s">
        <v>10</v>
      </c>
      <c r="BNA7" s="1179"/>
      <c r="BNB7" s="1179"/>
      <c r="BNC7" s="1180"/>
      <c r="BND7" s="1178" t="s">
        <v>8</v>
      </c>
      <c r="BNE7" s="1179"/>
      <c r="BNF7" s="1179"/>
      <c r="BNG7" s="1179"/>
      <c r="BNH7" s="1179" t="s">
        <v>10</v>
      </c>
      <c r="BNI7" s="1179"/>
      <c r="BNJ7" s="1179"/>
      <c r="BNK7" s="1180"/>
      <c r="BNL7" s="1178" t="s">
        <v>8</v>
      </c>
      <c r="BNM7" s="1179"/>
      <c r="BNN7" s="1179"/>
      <c r="BNO7" s="1179"/>
      <c r="BNP7" s="1179" t="s">
        <v>10</v>
      </c>
      <c r="BNQ7" s="1179"/>
      <c r="BNR7" s="1179"/>
      <c r="BNS7" s="1180"/>
      <c r="BNT7" s="1178" t="s">
        <v>8</v>
      </c>
      <c r="BNU7" s="1179"/>
      <c r="BNV7" s="1179"/>
      <c r="BNW7" s="1179"/>
      <c r="BNX7" s="1179" t="s">
        <v>10</v>
      </c>
      <c r="BNY7" s="1179"/>
      <c r="BNZ7" s="1179"/>
      <c r="BOA7" s="1180"/>
      <c r="BOB7" s="1178" t="s">
        <v>8</v>
      </c>
      <c r="BOC7" s="1179"/>
      <c r="BOD7" s="1179"/>
      <c r="BOE7" s="1179"/>
      <c r="BOF7" s="1179" t="s">
        <v>10</v>
      </c>
      <c r="BOG7" s="1179"/>
      <c r="BOH7" s="1179"/>
      <c r="BOI7" s="1180"/>
      <c r="BOJ7" s="1178" t="s">
        <v>8</v>
      </c>
      <c r="BOK7" s="1179"/>
      <c r="BOL7" s="1179"/>
      <c r="BOM7" s="1179"/>
      <c r="BON7" s="1179" t="s">
        <v>10</v>
      </c>
      <c r="BOO7" s="1179"/>
      <c r="BOP7" s="1179"/>
      <c r="BOQ7" s="1180"/>
      <c r="BOR7" s="1178" t="s">
        <v>8</v>
      </c>
      <c r="BOS7" s="1179"/>
      <c r="BOT7" s="1179"/>
      <c r="BOU7" s="1179"/>
      <c r="BOV7" s="1179" t="s">
        <v>10</v>
      </c>
      <c r="BOW7" s="1179"/>
      <c r="BOX7" s="1179"/>
      <c r="BOY7" s="1180"/>
      <c r="BOZ7" s="1178" t="s">
        <v>8</v>
      </c>
      <c r="BPA7" s="1179"/>
      <c r="BPB7" s="1179"/>
      <c r="BPC7" s="1179"/>
      <c r="BPD7" s="1179" t="s">
        <v>10</v>
      </c>
      <c r="BPE7" s="1179"/>
      <c r="BPF7" s="1179"/>
      <c r="BPG7" s="1180"/>
      <c r="BPH7" s="1178" t="s">
        <v>8</v>
      </c>
      <c r="BPI7" s="1179"/>
      <c r="BPJ7" s="1179"/>
      <c r="BPK7" s="1179"/>
      <c r="BPL7" s="1179" t="s">
        <v>10</v>
      </c>
      <c r="BPM7" s="1179"/>
      <c r="BPN7" s="1179"/>
      <c r="BPO7" s="1180"/>
      <c r="BPP7" s="1178" t="s">
        <v>8</v>
      </c>
      <c r="BPQ7" s="1179"/>
      <c r="BPR7" s="1179"/>
      <c r="BPS7" s="1179"/>
      <c r="BPT7" s="1179" t="s">
        <v>10</v>
      </c>
      <c r="BPU7" s="1179"/>
      <c r="BPV7" s="1179"/>
      <c r="BPW7" s="1180"/>
      <c r="BPX7" s="1178" t="s">
        <v>8</v>
      </c>
      <c r="BPY7" s="1179"/>
      <c r="BPZ7" s="1179"/>
      <c r="BQA7" s="1179"/>
      <c r="BQB7" s="1179" t="s">
        <v>10</v>
      </c>
      <c r="BQC7" s="1179"/>
      <c r="BQD7" s="1179"/>
      <c r="BQE7" s="1180"/>
      <c r="BQF7" s="1178" t="s">
        <v>8</v>
      </c>
      <c r="BQG7" s="1179"/>
      <c r="BQH7" s="1179"/>
      <c r="BQI7" s="1179"/>
      <c r="BQJ7" s="1179" t="s">
        <v>10</v>
      </c>
      <c r="BQK7" s="1179"/>
      <c r="BQL7" s="1179"/>
      <c r="BQM7" s="1180"/>
      <c r="BQN7" s="1178" t="s">
        <v>8</v>
      </c>
      <c r="BQO7" s="1179"/>
      <c r="BQP7" s="1179"/>
      <c r="BQQ7" s="1179"/>
      <c r="BQR7" s="1179" t="s">
        <v>10</v>
      </c>
      <c r="BQS7" s="1179"/>
      <c r="BQT7" s="1179"/>
      <c r="BQU7" s="1180"/>
      <c r="BQV7" s="1178" t="s">
        <v>8</v>
      </c>
      <c r="BQW7" s="1179"/>
      <c r="BQX7" s="1179"/>
      <c r="BQY7" s="1179"/>
      <c r="BQZ7" s="1179" t="s">
        <v>10</v>
      </c>
      <c r="BRA7" s="1179"/>
      <c r="BRB7" s="1179"/>
      <c r="BRC7" s="1180"/>
      <c r="BRD7" s="1178" t="s">
        <v>8</v>
      </c>
      <c r="BRE7" s="1179"/>
      <c r="BRF7" s="1179"/>
      <c r="BRG7" s="1179"/>
      <c r="BRH7" s="1179" t="s">
        <v>10</v>
      </c>
      <c r="BRI7" s="1179"/>
      <c r="BRJ7" s="1179"/>
      <c r="BRK7" s="1180"/>
      <c r="BRL7" s="1178" t="s">
        <v>8</v>
      </c>
      <c r="BRM7" s="1179"/>
      <c r="BRN7" s="1179"/>
      <c r="BRO7" s="1179"/>
      <c r="BRP7" s="1179" t="s">
        <v>10</v>
      </c>
      <c r="BRQ7" s="1179"/>
      <c r="BRR7" s="1179"/>
      <c r="BRS7" s="1180"/>
      <c r="BRT7" s="1178" t="s">
        <v>8</v>
      </c>
      <c r="BRU7" s="1179"/>
      <c r="BRV7" s="1179"/>
      <c r="BRW7" s="1179"/>
      <c r="BRX7" s="1179" t="s">
        <v>10</v>
      </c>
      <c r="BRY7" s="1179"/>
      <c r="BRZ7" s="1179"/>
      <c r="BSA7" s="1180"/>
      <c r="BSB7" s="1178" t="s">
        <v>8</v>
      </c>
      <c r="BSC7" s="1179"/>
      <c r="BSD7" s="1179"/>
      <c r="BSE7" s="1179"/>
      <c r="BSF7" s="1179" t="s">
        <v>10</v>
      </c>
      <c r="BSG7" s="1179"/>
      <c r="BSH7" s="1179"/>
      <c r="BSI7" s="1180"/>
      <c r="BSJ7" s="1178" t="s">
        <v>8</v>
      </c>
      <c r="BSK7" s="1179"/>
      <c r="BSL7" s="1179"/>
      <c r="BSM7" s="1179"/>
      <c r="BSN7" s="1179" t="s">
        <v>10</v>
      </c>
      <c r="BSO7" s="1179"/>
      <c r="BSP7" s="1179"/>
      <c r="BSQ7" s="1180"/>
      <c r="BSR7" s="1178" t="s">
        <v>8</v>
      </c>
      <c r="BSS7" s="1179"/>
      <c r="BST7" s="1179"/>
      <c r="BSU7" s="1179"/>
      <c r="BSV7" s="1179" t="s">
        <v>10</v>
      </c>
      <c r="BSW7" s="1179"/>
      <c r="BSX7" s="1179"/>
      <c r="BSY7" s="1180"/>
      <c r="BSZ7" s="1178" t="s">
        <v>8</v>
      </c>
      <c r="BTA7" s="1179"/>
      <c r="BTB7" s="1179"/>
      <c r="BTC7" s="1179"/>
      <c r="BTD7" s="1179" t="s">
        <v>10</v>
      </c>
      <c r="BTE7" s="1179"/>
      <c r="BTF7" s="1179"/>
      <c r="BTG7" s="1180"/>
      <c r="BTH7" s="1178" t="s">
        <v>8</v>
      </c>
      <c r="BTI7" s="1179"/>
      <c r="BTJ7" s="1179"/>
      <c r="BTK7" s="1179"/>
      <c r="BTL7" s="1179" t="s">
        <v>10</v>
      </c>
      <c r="BTM7" s="1179"/>
      <c r="BTN7" s="1179"/>
      <c r="BTO7" s="1180"/>
      <c r="BTP7" s="1178" t="s">
        <v>8</v>
      </c>
      <c r="BTQ7" s="1179"/>
      <c r="BTR7" s="1179"/>
      <c r="BTS7" s="1179"/>
      <c r="BTT7" s="1179" t="s">
        <v>10</v>
      </c>
      <c r="BTU7" s="1179"/>
      <c r="BTV7" s="1179"/>
      <c r="BTW7" s="1180"/>
      <c r="BTX7" s="1178" t="s">
        <v>8</v>
      </c>
      <c r="BTY7" s="1179"/>
      <c r="BTZ7" s="1179"/>
      <c r="BUA7" s="1179"/>
      <c r="BUB7" s="1179" t="s">
        <v>10</v>
      </c>
      <c r="BUC7" s="1179"/>
      <c r="BUD7" s="1179"/>
      <c r="BUE7" s="1180"/>
      <c r="BUF7" s="1178" t="s">
        <v>8</v>
      </c>
      <c r="BUG7" s="1179"/>
      <c r="BUH7" s="1179"/>
      <c r="BUI7" s="1179"/>
      <c r="BUJ7" s="1179" t="s">
        <v>10</v>
      </c>
      <c r="BUK7" s="1179"/>
      <c r="BUL7" s="1179"/>
      <c r="BUM7" s="1180"/>
      <c r="BUN7" s="1178" t="s">
        <v>8</v>
      </c>
      <c r="BUO7" s="1179"/>
      <c r="BUP7" s="1179"/>
      <c r="BUQ7" s="1179"/>
      <c r="BUR7" s="1179" t="s">
        <v>10</v>
      </c>
      <c r="BUS7" s="1179"/>
      <c r="BUT7" s="1179"/>
      <c r="BUU7" s="1180"/>
      <c r="BUV7" s="1178" t="s">
        <v>8</v>
      </c>
      <c r="BUW7" s="1179"/>
      <c r="BUX7" s="1179"/>
      <c r="BUY7" s="1179"/>
      <c r="BUZ7" s="1179" t="s">
        <v>10</v>
      </c>
      <c r="BVA7" s="1179"/>
      <c r="BVB7" s="1179"/>
      <c r="BVC7" s="1180"/>
      <c r="BVD7" s="1178" t="s">
        <v>8</v>
      </c>
      <c r="BVE7" s="1179"/>
      <c r="BVF7" s="1179"/>
      <c r="BVG7" s="1179"/>
      <c r="BVH7" s="1179" t="s">
        <v>10</v>
      </c>
      <c r="BVI7" s="1179"/>
      <c r="BVJ7" s="1179"/>
      <c r="BVK7" s="1180"/>
      <c r="BVL7" s="1178" t="s">
        <v>8</v>
      </c>
      <c r="BVM7" s="1179"/>
      <c r="BVN7" s="1179"/>
      <c r="BVO7" s="1179"/>
      <c r="BVP7" s="1179" t="s">
        <v>10</v>
      </c>
      <c r="BVQ7" s="1179"/>
      <c r="BVR7" s="1179"/>
      <c r="BVS7" s="1180"/>
      <c r="BVT7" s="1178" t="s">
        <v>8</v>
      </c>
      <c r="BVU7" s="1179"/>
      <c r="BVV7" s="1179"/>
      <c r="BVW7" s="1179"/>
      <c r="BVX7" s="1179" t="s">
        <v>10</v>
      </c>
      <c r="BVY7" s="1179"/>
      <c r="BVZ7" s="1179"/>
      <c r="BWA7" s="1180"/>
      <c r="BWB7" s="1178" t="s">
        <v>8</v>
      </c>
      <c r="BWC7" s="1179"/>
      <c r="BWD7" s="1179"/>
      <c r="BWE7" s="1179"/>
      <c r="BWF7" s="1179" t="s">
        <v>10</v>
      </c>
      <c r="BWG7" s="1179"/>
      <c r="BWH7" s="1179"/>
      <c r="BWI7" s="1180"/>
      <c r="BWJ7" s="1178" t="s">
        <v>8</v>
      </c>
      <c r="BWK7" s="1179"/>
      <c r="BWL7" s="1179"/>
      <c r="BWM7" s="1179"/>
      <c r="BWN7" s="1179" t="s">
        <v>10</v>
      </c>
      <c r="BWO7" s="1179"/>
      <c r="BWP7" s="1179"/>
      <c r="BWQ7" s="1180"/>
      <c r="BWR7" s="1178" t="s">
        <v>8</v>
      </c>
      <c r="BWS7" s="1179"/>
      <c r="BWT7" s="1179"/>
      <c r="BWU7" s="1179"/>
      <c r="BWV7" s="1179" t="s">
        <v>10</v>
      </c>
      <c r="BWW7" s="1179"/>
      <c r="BWX7" s="1179"/>
      <c r="BWY7" s="1180"/>
      <c r="BWZ7" s="1178" t="s">
        <v>8</v>
      </c>
      <c r="BXA7" s="1179"/>
      <c r="BXB7" s="1179"/>
      <c r="BXC7" s="1179"/>
      <c r="BXD7" s="1179" t="s">
        <v>10</v>
      </c>
      <c r="BXE7" s="1179"/>
      <c r="BXF7" s="1179"/>
      <c r="BXG7" s="1180"/>
      <c r="BXH7" s="1178" t="s">
        <v>8</v>
      </c>
      <c r="BXI7" s="1179"/>
      <c r="BXJ7" s="1179"/>
      <c r="BXK7" s="1179"/>
      <c r="BXL7" s="1179" t="s">
        <v>10</v>
      </c>
      <c r="BXM7" s="1179"/>
      <c r="BXN7" s="1179"/>
      <c r="BXO7" s="1180"/>
      <c r="BXP7" s="1178" t="s">
        <v>8</v>
      </c>
      <c r="BXQ7" s="1179"/>
      <c r="BXR7" s="1179"/>
      <c r="BXS7" s="1179"/>
      <c r="BXT7" s="1179" t="s">
        <v>10</v>
      </c>
      <c r="BXU7" s="1179"/>
      <c r="BXV7" s="1179"/>
      <c r="BXW7" s="1180"/>
      <c r="BXX7" s="1178" t="s">
        <v>8</v>
      </c>
      <c r="BXY7" s="1179"/>
      <c r="BXZ7" s="1179"/>
      <c r="BYA7" s="1179"/>
      <c r="BYB7" s="1179" t="s">
        <v>10</v>
      </c>
      <c r="BYC7" s="1179"/>
      <c r="BYD7" s="1179"/>
      <c r="BYE7" s="1180"/>
      <c r="BYF7" s="1178" t="s">
        <v>8</v>
      </c>
      <c r="BYG7" s="1179"/>
      <c r="BYH7" s="1179"/>
      <c r="BYI7" s="1179"/>
      <c r="BYJ7" s="1179" t="s">
        <v>10</v>
      </c>
      <c r="BYK7" s="1179"/>
      <c r="BYL7" s="1179"/>
      <c r="BYM7" s="1180"/>
      <c r="BYN7" s="1178" t="s">
        <v>8</v>
      </c>
      <c r="BYO7" s="1179"/>
      <c r="BYP7" s="1179"/>
      <c r="BYQ7" s="1179"/>
      <c r="BYR7" s="1179" t="s">
        <v>10</v>
      </c>
      <c r="BYS7" s="1179"/>
      <c r="BYT7" s="1179"/>
      <c r="BYU7" s="1180"/>
      <c r="BYV7" s="1178" t="s">
        <v>8</v>
      </c>
      <c r="BYW7" s="1179"/>
      <c r="BYX7" s="1179"/>
      <c r="BYY7" s="1179"/>
      <c r="BYZ7" s="1179" t="s">
        <v>10</v>
      </c>
      <c r="BZA7" s="1179"/>
      <c r="BZB7" s="1179"/>
      <c r="BZC7" s="1180"/>
      <c r="BZD7" s="1178" t="s">
        <v>8</v>
      </c>
      <c r="BZE7" s="1179"/>
      <c r="BZF7" s="1179"/>
      <c r="BZG7" s="1179"/>
      <c r="BZH7" s="1179" t="s">
        <v>10</v>
      </c>
      <c r="BZI7" s="1179"/>
      <c r="BZJ7" s="1179"/>
      <c r="BZK7" s="1180"/>
      <c r="BZL7" s="1178" t="s">
        <v>8</v>
      </c>
      <c r="BZM7" s="1179"/>
      <c r="BZN7" s="1179"/>
      <c r="BZO7" s="1179"/>
      <c r="BZP7" s="1179" t="s">
        <v>10</v>
      </c>
      <c r="BZQ7" s="1179"/>
      <c r="BZR7" s="1179"/>
      <c r="BZS7" s="1180"/>
      <c r="BZT7" s="1178" t="s">
        <v>8</v>
      </c>
      <c r="BZU7" s="1179"/>
      <c r="BZV7" s="1179"/>
      <c r="BZW7" s="1179"/>
      <c r="BZX7" s="1179" t="s">
        <v>10</v>
      </c>
      <c r="BZY7" s="1179"/>
      <c r="BZZ7" s="1179"/>
      <c r="CAA7" s="1180"/>
      <c r="CAB7" s="1178" t="s">
        <v>8</v>
      </c>
      <c r="CAC7" s="1179"/>
      <c r="CAD7" s="1179"/>
      <c r="CAE7" s="1179"/>
      <c r="CAF7" s="1179" t="s">
        <v>10</v>
      </c>
      <c r="CAG7" s="1179"/>
      <c r="CAH7" s="1179"/>
      <c r="CAI7" s="1180"/>
      <c r="CAJ7" s="1178" t="s">
        <v>8</v>
      </c>
      <c r="CAK7" s="1179"/>
      <c r="CAL7" s="1179"/>
      <c r="CAM7" s="1179"/>
      <c r="CAN7" s="1179" t="s">
        <v>10</v>
      </c>
      <c r="CAO7" s="1179"/>
      <c r="CAP7" s="1179"/>
      <c r="CAQ7" s="1180"/>
      <c r="CAR7" s="1178" t="s">
        <v>8</v>
      </c>
      <c r="CAS7" s="1179"/>
      <c r="CAT7" s="1179"/>
      <c r="CAU7" s="1179"/>
      <c r="CAV7" s="1179" t="s">
        <v>10</v>
      </c>
      <c r="CAW7" s="1179"/>
      <c r="CAX7" s="1179"/>
      <c r="CAY7" s="1180"/>
      <c r="CAZ7" s="1178" t="s">
        <v>8</v>
      </c>
      <c r="CBA7" s="1179"/>
      <c r="CBB7" s="1179"/>
      <c r="CBC7" s="1179"/>
      <c r="CBD7" s="1179" t="s">
        <v>10</v>
      </c>
      <c r="CBE7" s="1179"/>
      <c r="CBF7" s="1179"/>
      <c r="CBG7" s="1180"/>
      <c r="CBH7" s="1178" t="s">
        <v>8</v>
      </c>
      <c r="CBI7" s="1179"/>
      <c r="CBJ7" s="1179"/>
      <c r="CBK7" s="1179"/>
      <c r="CBL7" s="1179" t="s">
        <v>10</v>
      </c>
      <c r="CBM7" s="1179"/>
      <c r="CBN7" s="1179"/>
      <c r="CBO7" s="1180"/>
      <c r="CBP7" s="1178" t="s">
        <v>8</v>
      </c>
      <c r="CBQ7" s="1179"/>
      <c r="CBR7" s="1179"/>
      <c r="CBS7" s="1179"/>
      <c r="CBT7" s="1179" t="s">
        <v>10</v>
      </c>
      <c r="CBU7" s="1179"/>
      <c r="CBV7" s="1179"/>
      <c r="CBW7" s="1180"/>
      <c r="CBX7" s="1178" t="s">
        <v>8</v>
      </c>
      <c r="CBY7" s="1179"/>
      <c r="CBZ7" s="1179"/>
      <c r="CCA7" s="1179"/>
      <c r="CCB7" s="1179" t="s">
        <v>10</v>
      </c>
      <c r="CCC7" s="1179"/>
      <c r="CCD7" s="1179"/>
      <c r="CCE7" s="1180"/>
      <c r="CCF7" s="1178" t="s">
        <v>8</v>
      </c>
      <c r="CCG7" s="1179"/>
      <c r="CCH7" s="1179"/>
      <c r="CCI7" s="1179"/>
      <c r="CCJ7" s="1179" t="s">
        <v>10</v>
      </c>
      <c r="CCK7" s="1179"/>
      <c r="CCL7" s="1179"/>
      <c r="CCM7" s="1180"/>
      <c r="CCN7" s="1178" t="s">
        <v>8</v>
      </c>
      <c r="CCO7" s="1179"/>
      <c r="CCP7" s="1179"/>
      <c r="CCQ7" s="1179"/>
      <c r="CCR7" s="1179" t="s">
        <v>10</v>
      </c>
      <c r="CCS7" s="1179"/>
      <c r="CCT7" s="1179"/>
      <c r="CCU7" s="1180"/>
      <c r="CCV7" s="1178" t="s">
        <v>8</v>
      </c>
      <c r="CCW7" s="1179"/>
      <c r="CCX7" s="1179"/>
      <c r="CCY7" s="1179"/>
      <c r="CCZ7" s="1179" t="s">
        <v>10</v>
      </c>
      <c r="CDA7" s="1179"/>
      <c r="CDB7" s="1179"/>
      <c r="CDC7" s="1180"/>
      <c r="CDD7" s="1178" t="s">
        <v>8</v>
      </c>
      <c r="CDE7" s="1179"/>
      <c r="CDF7" s="1179"/>
      <c r="CDG7" s="1179"/>
      <c r="CDH7" s="1179" t="s">
        <v>10</v>
      </c>
      <c r="CDI7" s="1179"/>
      <c r="CDJ7" s="1179"/>
      <c r="CDK7" s="1180"/>
      <c r="CDL7" s="1178" t="s">
        <v>8</v>
      </c>
      <c r="CDM7" s="1179"/>
      <c r="CDN7" s="1179"/>
      <c r="CDO7" s="1179"/>
      <c r="CDP7" s="1179" t="s">
        <v>10</v>
      </c>
      <c r="CDQ7" s="1179"/>
      <c r="CDR7" s="1179"/>
      <c r="CDS7" s="1180"/>
      <c r="CDT7" s="1178" t="s">
        <v>8</v>
      </c>
      <c r="CDU7" s="1179"/>
      <c r="CDV7" s="1179"/>
      <c r="CDW7" s="1179"/>
      <c r="CDX7" s="1179" t="s">
        <v>10</v>
      </c>
      <c r="CDY7" s="1179"/>
      <c r="CDZ7" s="1179"/>
      <c r="CEA7" s="1180"/>
      <c r="CEB7" s="1178" t="s">
        <v>8</v>
      </c>
      <c r="CEC7" s="1179"/>
      <c r="CED7" s="1179"/>
      <c r="CEE7" s="1179"/>
      <c r="CEF7" s="1179" t="s">
        <v>10</v>
      </c>
      <c r="CEG7" s="1179"/>
      <c r="CEH7" s="1179"/>
      <c r="CEI7" s="1180"/>
      <c r="CEJ7" s="1178" t="s">
        <v>8</v>
      </c>
      <c r="CEK7" s="1179"/>
      <c r="CEL7" s="1179"/>
      <c r="CEM7" s="1179"/>
      <c r="CEN7" s="1179" t="s">
        <v>10</v>
      </c>
      <c r="CEO7" s="1179"/>
      <c r="CEP7" s="1179"/>
      <c r="CEQ7" s="1180"/>
      <c r="CER7" s="1178" t="s">
        <v>8</v>
      </c>
      <c r="CES7" s="1179"/>
      <c r="CET7" s="1179"/>
      <c r="CEU7" s="1179"/>
      <c r="CEV7" s="1179" t="s">
        <v>10</v>
      </c>
      <c r="CEW7" s="1179"/>
      <c r="CEX7" s="1179"/>
      <c r="CEY7" s="1180"/>
      <c r="CEZ7" s="1178" t="s">
        <v>8</v>
      </c>
      <c r="CFA7" s="1179"/>
      <c r="CFB7" s="1179"/>
      <c r="CFC7" s="1179"/>
      <c r="CFD7" s="1179" t="s">
        <v>10</v>
      </c>
      <c r="CFE7" s="1179"/>
      <c r="CFF7" s="1179"/>
      <c r="CFG7" s="1180"/>
      <c r="CFH7" s="1178" t="s">
        <v>8</v>
      </c>
      <c r="CFI7" s="1179"/>
      <c r="CFJ7" s="1179"/>
      <c r="CFK7" s="1179"/>
      <c r="CFL7" s="1179" t="s">
        <v>10</v>
      </c>
      <c r="CFM7" s="1179"/>
      <c r="CFN7" s="1179"/>
      <c r="CFO7" s="1180"/>
      <c r="CFP7" s="1178" t="s">
        <v>8</v>
      </c>
      <c r="CFQ7" s="1179"/>
      <c r="CFR7" s="1179"/>
      <c r="CFS7" s="1179"/>
      <c r="CFT7" s="1179" t="s">
        <v>10</v>
      </c>
      <c r="CFU7" s="1179"/>
      <c r="CFV7" s="1179"/>
      <c r="CFW7" s="1180"/>
      <c r="CFX7" s="1178" t="s">
        <v>8</v>
      </c>
      <c r="CFY7" s="1179"/>
      <c r="CFZ7" s="1179"/>
      <c r="CGA7" s="1179"/>
      <c r="CGB7" s="1179" t="s">
        <v>10</v>
      </c>
      <c r="CGC7" s="1179"/>
      <c r="CGD7" s="1179"/>
      <c r="CGE7" s="1180"/>
      <c r="CGF7" s="1178" t="s">
        <v>8</v>
      </c>
      <c r="CGG7" s="1179"/>
      <c r="CGH7" s="1179"/>
      <c r="CGI7" s="1179"/>
      <c r="CGJ7" s="1179" t="s">
        <v>10</v>
      </c>
      <c r="CGK7" s="1179"/>
      <c r="CGL7" s="1179"/>
      <c r="CGM7" s="1180"/>
      <c r="CGN7" s="1178" t="s">
        <v>8</v>
      </c>
      <c r="CGO7" s="1179"/>
      <c r="CGP7" s="1179"/>
      <c r="CGQ7" s="1179"/>
      <c r="CGR7" s="1179" t="s">
        <v>10</v>
      </c>
      <c r="CGS7" s="1179"/>
      <c r="CGT7" s="1179"/>
      <c r="CGU7" s="1180"/>
      <c r="CGV7" s="1178" t="s">
        <v>8</v>
      </c>
      <c r="CGW7" s="1179"/>
      <c r="CGX7" s="1179"/>
      <c r="CGY7" s="1179"/>
      <c r="CGZ7" s="1179" t="s">
        <v>10</v>
      </c>
      <c r="CHA7" s="1179"/>
      <c r="CHB7" s="1179"/>
      <c r="CHC7" s="1180"/>
      <c r="CHD7" s="1178" t="s">
        <v>8</v>
      </c>
      <c r="CHE7" s="1179"/>
      <c r="CHF7" s="1179"/>
      <c r="CHG7" s="1179"/>
      <c r="CHH7" s="1179" t="s">
        <v>10</v>
      </c>
      <c r="CHI7" s="1179"/>
      <c r="CHJ7" s="1179"/>
      <c r="CHK7" s="1180"/>
      <c r="CHL7" s="1178" t="s">
        <v>8</v>
      </c>
      <c r="CHM7" s="1179"/>
      <c r="CHN7" s="1179"/>
      <c r="CHO7" s="1179"/>
      <c r="CHP7" s="1179" t="s">
        <v>10</v>
      </c>
      <c r="CHQ7" s="1179"/>
      <c r="CHR7" s="1179"/>
      <c r="CHS7" s="1180"/>
      <c r="CHT7" s="1178" t="s">
        <v>8</v>
      </c>
      <c r="CHU7" s="1179"/>
      <c r="CHV7" s="1179"/>
      <c r="CHW7" s="1179"/>
      <c r="CHX7" s="1179" t="s">
        <v>10</v>
      </c>
      <c r="CHY7" s="1179"/>
      <c r="CHZ7" s="1179"/>
      <c r="CIA7" s="1180"/>
      <c r="CIB7" s="1178" t="s">
        <v>8</v>
      </c>
      <c r="CIC7" s="1179"/>
      <c r="CID7" s="1179"/>
      <c r="CIE7" s="1179"/>
      <c r="CIF7" s="1179" t="s">
        <v>10</v>
      </c>
      <c r="CIG7" s="1179"/>
      <c r="CIH7" s="1179"/>
      <c r="CII7" s="1180"/>
      <c r="CIJ7" s="1178" t="s">
        <v>8</v>
      </c>
      <c r="CIK7" s="1179"/>
      <c r="CIL7" s="1179"/>
      <c r="CIM7" s="1179"/>
      <c r="CIN7" s="1179" t="s">
        <v>10</v>
      </c>
      <c r="CIO7" s="1179"/>
      <c r="CIP7" s="1179"/>
      <c r="CIQ7" s="1180"/>
      <c r="CIR7" s="1178" t="s">
        <v>8</v>
      </c>
      <c r="CIS7" s="1179"/>
      <c r="CIT7" s="1179"/>
      <c r="CIU7" s="1179"/>
      <c r="CIV7" s="1179" t="s">
        <v>10</v>
      </c>
      <c r="CIW7" s="1179"/>
      <c r="CIX7" s="1179"/>
      <c r="CIY7" s="1180"/>
      <c r="CIZ7" s="1178" t="s">
        <v>8</v>
      </c>
      <c r="CJA7" s="1179"/>
      <c r="CJB7" s="1179"/>
      <c r="CJC7" s="1179"/>
      <c r="CJD7" s="1179" t="s">
        <v>10</v>
      </c>
      <c r="CJE7" s="1179"/>
      <c r="CJF7" s="1179"/>
      <c r="CJG7" s="1180"/>
      <c r="CJH7" s="1178" t="s">
        <v>8</v>
      </c>
      <c r="CJI7" s="1179"/>
      <c r="CJJ7" s="1179"/>
      <c r="CJK7" s="1179"/>
      <c r="CJL7" s="1179" t="s">
        <v>10</v>
      </c>
      <c r="CJM7" s="1179"/>
      <c r="CJN7" s="1179"/>
      <c r="CJO7" s="1180"/>
      <c r="CJP7" s="1178" t="s">
        <v>8</v>
      </c>
      <c r="CJQ7" s="1179"/>
      <c r="CJR7" s="1179"/>
      <c r="CJS7" s="1179"/>
      <c r="CJT7" s="1179" t="s">
        <v>10</v>
      </c>
      <c r="CJU7" s="1179"/>
      <c r="CJV7" s="1179"/>
      <c r="CJW7" s="1180"/>
      <c r="CJX7" s="1178" t="s">
        <v>8</v>
      </c>
      <c r="CJY7" s="1179"/>
      <c r="CJZ7" s="1179"/>
      <c r="CKA7" s="1179"/>
      <c r="CKB7" s="1179" t="s">
        <v>10</v>
      </c>
      <c r="CKC7" s="1179"/>
      <c r="CKD7" s="1179"/>
      <c r="CKE7" s="1180"/>
      <c r="CKF7" s="1178" t="s">
        <v>8</v>
      </c>
      <c r="CKG7" s="1179"/>
      <c r="CKH7" s="1179"/>
      <c r="CKI7" s="1179"/>
      <c r="CKJ7" s="1179" t="s">
        <v>10</v>
      </c>
      <c r="CKK7" s="1179"/>
      <c r="CKL7" s="1179"/>
      <c r="CKM7" s="1180"/>
      <c r="CKN7" s="1178" t="s">
        <v>8</v>
      </c>
      <c r="CKO7" s="1179"/>
      <c r="CKP7" s="1179"/>
      <c r="CKQ7" s="1179"/>
      <c r="CKR7" s="1179" t="s">
        <v>10</v>
      </c>
      <c r="CKS7" s="1179"/>
      <c r="CKT7" s="1179"/>
      <c r="CKU7" s="1180"/>
      <c r="CKV7" s="1178" t="s">
        <v>8</v>
      </c>
      <c r="CKW7" s="1179"/>
      <c r="CKX7" s="1179"/>
      <c r="CKY7" s="1179"/>
      <c r="CKZ7" s="1179" t="s">
        <v>10</v>
      </c>
      <c r="CLA7" s="1179"/>
      <c r="CLB7" s="1179"/>
      <c r="CLC7" s="1180"/>
      <c r="CLD7" s="1178" t="s">
        <v>8</v>
      </c>
      <c r="CLE7" s="1179"/>
      <c r="CLF7" s="1179"/>
      <c r="CLG7" s="1179"/>
      <c r="CLH7" s="1179" t="s">
        <v>10</v>
      </c>
      <c r="CLI7" s="1179"/>
      <c r="CLJ7" s="1179"/>
      <c r="CLK7" s="1180"/>
      <c r="CLL7" s="1178" t="s">
        <v>8</v>
      </c>
      <c r="CLM7" s="1179"/>
      <c r="CLN7" s="1179"/>
      <c r="CLO7" s="1179"/>
      <c r="CLP7" s="1179" t="s">
        <v>10</v>
      </c>
      <c r="CLQ7" s="1179"/>
      <c r="CLR7" s="1179"/>
      <c r="CLS7" s="1180"/>
      <c r="CLT7" s="1178" t="s">
        <v>8</v>
      </c>
      <c r="CLU7" s="1179"/>
      <c r="CLV7" s="1179"/>
      <c r="CLW7" s="1179"/>
      <c r="CLX7" s="1179" t="s">
        <v>10</v>
      </c>
      <c r="CLY7" s="1179"/>
      <c r="CLZ7" s="1179"/>
      <c r="CMA7" s="1180"/>
      <c r="CMB7" s="1178" t="s">
        <v>8</v>
      </c>
      <c r="CMC7" s="1179"/>
      <c r="CMD7" s="1179"/>
      <c r="CME7" s="1179"/>
      <c r="CMF7" s="1179" t="s">
        <v>10</v>
      </c>
      <c r="CMG7" s="1179"/>
      <c r="CMH7" s="1179"/>
      <c r="CMI7" s="1180"/>
      <c r="CMJ7" s="1178" t="s">
        <v>8</v>
      </c>
      <c r="CMK7" s="1179"/>
      <c r="CML7" s="1179"/>
      <c r="CMM7" s="1179"/>
      <c r="CMN7" s="1179" t="s">
        <v>10</v>
      </c>
      <c r="CMO7" s="1179"/>
      <c r="CMP7" s="1179"/>
      <c r="CMQ7" s="1180"/>
      <c r="CMR7" s="1178" t="s">
        <v>8</v>
      </c>
      <c r="CMS7" s="1179"/>
      <c r="CMT7" s="1179"/>
      <c r="CMU7" s="1179"/>
      <c r="CMV7" s="1179" t="s">
        <v>10</v>
      </c>
      <c r="CMW7" s="1179"/>
      <c r="CMX7" s="1179"/>
      <c r="CMY7" s="1180"/>
      <c r="CMZ7" s="1178" t="s">
        <v>8</v>
      </c>
      <c r="CNA7" s="1179"/>
      <c r="CNB7" s="1179"/>
      <c r="CNC7" s="1179"/>
      <c r="CND7" s="1179" t="s">
        <v>10</v>
      </c>
      <c r="CNE7" s="1179"/>
      <c r="CNF7" s="1179"/>
      <c r="CNG7" s="1180"/>
      <c r="CNH7" s="1178" t="s">
        <v>8</v>
      </c>
      <c r="CNI7" s="1179"/>
      <c r="CNJ7" s="1179"/>
      <c r="CNK7" s="1179"/>
      <c r="CNL7" s="1179" t="s">
        <v>10</v>
      </c>
      <c r="CNM7" s="1179"/>
      <c r="CNN7" s="1179"/>
      <c r="CNO7" s="1180"/>
      <c r="CNP7" s="1178" t="s">
        <v>8</v>
      </c>
      <c r="CNQ7" s="1179"/>
      <c r="CNR7" s="1179"/>
      <c r="CNS7" s="1179"/>
      <c r="CNT7" s="1179" t="s">
        <v>10</v>
      </c>
      <c r="CNU7" s="1179"/>
      <c r="CNV7" s="1179"/>
      <c r="CNW7" s="1180"/>
      <c r="CNX7" s="1178" t="s">
        <v>8</v>
      </c>
      <c r="CNY7" s="1179"/>
      <c r="CNZ7" s="1179"/>
      <c r="COA7" s="1179"/>
      <c r="COB7" s="1179" t="s">
        <v>10</v>
      </c>
      <c r="COC7" s="1179"/>
      <c r="COD7" s="1179"/>
      <c r="COE7" s="1180"/>
      <c r="COF7" s="1178" t="s">
        <v>8</v>
      </c>
      <c r="COG7" s="1179"/>
      <c r="COH7" s="1179"/>
      <c r="COI7" s="1179"/>
      <c r="COJ7" s="1179" t="s">
        <v>10</v>
      </c>
      <c r="COK7" s="1179"/>
      <c r="COL7" s="1179"/>
      <c r="COM7" s="1180"/>
      <c r="CON7" s="1178" t="s">
        <v>8</v>
      </c>
      <c r="COO7" s="1179"/>
      <c r="COP7" s="1179"/>
      <c r="COQ7" s="1179"/>
      <c r="COR7" s="1179" t="s">
        <v>10</v>
      </c>
      <c r="COS7" s="1179"/>
      <c r="COT7" s="1179"/>
      <c r="COU7" s="1180"/>
      <c r="COV7" s="1178" t="s">
        <v>8</v>
      </c>
      <c r="COW7" s="1179"/>
      <c r="COX7" s="1179"/>
      <c r="COY7" s="1179"/>
      <c r="COZ7" s="1179" t="s">
        <v>10</v>
      </c>
      <c r="CPA7" s="1179"/>
      <c r="CPB7" s="1179"/>
      <c r="CPC7" s="1180"/>
      <c r="CPD7" s="1178" t="s">
        <v>8</v>
      </c>
      <c r="CPE7" s="1179"/>
      <c r="CPF7" s="1179"/>
      <c r="CPG7" s="1179"/>
      <c r="CPH7" s="1179" t="s">
        <v>10</v>
      </c>
      <c r="CPI7" s="1179"/>
      <c r="CPJ7" s="1179"/>
      <c r="CPK7" s="1180"/>
      <c r="CPL7" s="1178" t="s">
        <v>8</v>
      </c>
      <c r="CPM7" s="1179"/>
      <c r="CPN7" s="1179"/>
      <c r="CPO7" s="1179"/>
      <c r="CPP7" s="1179" t="s">
        <v>10</v>
      </c>
      <c r="CPQ7" s="1179"/>
      <c r="CPR7" s="1179"/>
      <c r="CPS7" s="1180"/>
      <c r="CPT7" s="1178" t="s">
        <v>8</v>
      </c>
      <c r="CPU7" s="1179"/>
      <c r="CPV7" s="1179"/>
      <c r="CPW7" s="1179"/>
      <c r="CPX7" s="1179" t="s">
        <v>10</v>
      </c>
      <c r="CPY7" s="1179"/>
      <c r="CPZ7" s="1179"/>
      <c r="CQA7" s="1180"/>
      <c r="CQB7" s="1178" t="s">
        <v>8</v>
      </c>
      <c r="CQC7" s="1179"/>
      <c r="CQD7" s="1179"/>
      <c r="CQE7" s="1179"/>
      <c r="CQF7" s="1179" t="s">
        <v>10</v>
      </c>
      <c r="CQG7" s="1179"/>
      <c r="CQH7" s="1179"/>
      <c r="CQI7" s="1180"/>
      <c r="CQJ7" s="1178" t="s">
        <v>8</v>
      </c>
      <c r="CQK7" s="1179"/>
      <c r="CQL7" s="1179"/>
      <c r="CQM7" s="1179"/>
      <c r="CQN7" s="1179" t="s">
        <v>10</v>
      </c>
      <c r="CQO7" s="1179"/>
      <c r="CQP7" s="1179"/>
      <c r="CQQ7" s="1180"/>
      <c r="CQR7" s="1178" t="s">
        <v>8</v>
      </c>
      <c r="CQS7" s="1179"/>
      <c r="CQT7" s="1179"/>
      <c r="CQU7" s="1179"/>
      <c r="CQV7" s="1179" t="s">
        <v>10</v>
      </c>
      <c r="CQW7" s="1179"/>
      <c r="CQX7" s="1179"/>
      <c r="CQY7" s="1180"/>
      <c r="CQZ7" s="1178" t="s">
        <v>8</v>
      </c>
      <c r="CRA7" s="1179"/>
      <c r="CRB7" s="1179"/>
      <c r="CRC7" s="1179"/>
      <c r="CRD7" s="1179" t="s">
        <v>10</v>
      </c>
      <c r="CRE7" s="1179"/>
      <c r="CRF7" s="1179"/>
      <c r="CRG7" s="1180"/>
      <c r="CRH7" s="1178" t="s">
        <v>8</v>
      </c>
      <c r="CRI7" s="1179"/>
      <c r="CRJ7" s="1179"/>
      <c r="CRK7" s="1179"/>
      <c r="CRL7" s="1179" t="s">
        <v>10</v>
      </c>
      <c r="CRM7" s="1179"/>
      <c r="CRN7" s="1179"/>
      <c r="CRO7" s="1180"/>
      <c r="CRP7" s="1178" t="s">
        <v>8</v>
      </c>
      <c r="CRQ7" s="1179"/>
      <c r="CRR7" s="1179"/>
      <c r="CRS7" s="1179"/>
      <c r="CRT7" s="1179" t="s">
        <v>10</v>
      </c>
      <c r="CRU7" s="1179"/>
      <c r="CRV7" s="1179"/>
      <c r="CRW7" s="1180"/>
      <c r="CRX7" s="1178" t="s">
        <v>8</v>
      </c>
      <c r="CRY7" s="1179"/>
      <c r="CRZ7" s="1179"/>
      <c r="CSA7" s="1179"/>
      <c r="CSB7" s="1179" t="s">
        <v>10</v>
      </c>
      <c r="CSC7" s="1179"/>
      <c r="CSD7" s="1179"/>
      <c r="CSE7" s="1180"/>
      <c r="CSF7" s="1178" t="s">
        <v>8</v>
      </c>
      <c r="CSG7" s="1179"/>
      <c r="CSH7" s="1179"/>
      <c r="CSI7" s="1179"/>
      <c r="CSJ7" s="1179" t="s">
        <v>10</v>
      </c>
      <c r="CSK7" s="1179"/>
      <c r="CSL7" s="1179"/>
      <c r="CSM7" s="1180"/>
      <c r="CSN7" s="1178" t="s">
        <v>8</v>
      </c>
      <c r="CSO7" s="1179"/>
      <c r="CSP7" s="1179"/>
      <c r="CSQ7" s="1179"/>
      <c r="CSR7" s="1179" t="s">
        <v>10</v>
      </c>
      <c r="CSS7" s="1179"/>
      <c r="CST7" s="1179"/>
      <c r="CSU7" s="1180"/>
      <c r="CSV7" s="1178" t="s">
        <v>8</v>
      </c>
      <c r="CSW7" s="1179"/>
      <c r="CSX7" s="1179"/>
      <c r="CSY7" s="1179"/>
      <c r="CSZ7" s="1179" t="s">
        <v>10</v>
      </c>
      <c r="CTA7" s="1179"/>
      <c r="CTB7" s="1179"/>
      <c r="CTC7" s="1180"/>
      <c r="CTD7" s="1178" t="s">
        <v>8</v>
      </c>
      <c r="CTE7" s="1179"/>
      <c r="CTF7" s="1179"/>
      <c r="CTG7" s="1179"/>
      <c r="CTH7" s="1179" t="s">
        <v>10</v>
      </c>
      <c r="CTI7" s="1179"/>
      <c r="CTJ7" s="1179"/>
      <c r="CTK7" s="1180"/>
      <c r="CTL7" s="1178" t="s">
        <v>8</v>
      </c>
      <c r="CTM7" s="1179"/>
      <c r="CTN7" s="1179"/>
      <c r="CTO7" s="1179"/>
      <c r="CTP7" s="1179" t="s">
        <v>10</v>
      </c>
      <c r="CTQ7" s="1179"/>
      <c r="CTR7" s="1179"/>
      <c r="CTS7" s="1180"/>
      <c r="CTT7" s="1178" t="s">
        <v>8</v>
      </c>
      <c r="CTU7" s="1179"/>
      <c r="CTV7" s="1179"/>
      <c r="CTW7" s="1179"/>
      <c r="CTX7" s="1179" t="s">
        <v>10</v>
      </c>
      <c r="CTY7" s="1179"/>
      <c r="CTZ7" s="1179"/>
      <c r="CUA7" s="1180"/>
      <c r="CUB7" s="1178" t="s">
        <v>8</v>
      </c>
      <c r="CUC7" s="1179"/>
      <c r="CUD7" s="1179"/>
      <c r="CUE7" s="1179"/>
      <c r="CUF7" s="1179" t="s">
        <v>10</v>
      </c>
      <c r="CUG7" s="1179"/>
      <c r="CUH7" s="1179"/>
      <c r="CUI7" s="1180"/>
      <c r="CUJ7" s="1178" t="s">
        <v>8</v>
      </c>
      <c r="CUK7" s="1179"/>
      <c r="CUL7" s="1179"/>
      <c r="CUM7" s="1179"/>
      <c r="CUN7" s="1179" t="s">
        <v>10</v>
      </c>
      <c r="CUO7" s="1179"/>
      <c r="CUP7" s="1179"/>
      <c r="CUQ7" s="1180"/>
      <c r="CUR7" s="1178" t="s">
        <v>8</v>
      </c>
      <c r="CUS7" s="1179"/>
      <c r="CUT7" s="1179"/>
      <c r="CUU7" s="1179"/>
      <c r="CUV7" s="1179" t="s">
        <v>10</v>
      </c>
      <c r="CUW7" s="1179"/>
      <c r="CUX7" s="1179"/>
      <c r="CUY7" s="1180"/>
      <c r="CUZ7" s="1178" t="s">
        <v>8</v>
      </c>
      <c r="CVA7" s="1179"/>
      <c r="CVB7" s="1179"/>
      <c r="CVC7" s="1179"/>
      <c r="CVD7" s="1179" t="s">
        <v>10</v>
      </c>
      <c r="CVE7" s="1179"/>
      <c r="CVF7" s="1179"/>
      <c r="CVG7" s="1180"/>
      <c r="CVH7" s="1178" t="s">
        <v>8</v>
      </c>
      <c r="CVI7" s="1179"/>
      <c r="CVJ7" s="1179"/>
      <c r="CVK7" s="1179"/>
      <c r="CVL7" s="1179" t="s">
        <v>10</v>
      </c>
      <c r="CVM7" s="1179"/>
      <c r="CVN7" s="1179"/>
      <c r="CVO7" s="1180"/>
      <c r="CVP7" s="1178" t="s">
        <v>8</v>
      </c>
      <c r="CVQ7" s="1179"/>
      <c r="CVR7" s="1179"/>
      <c r="CVS7" s="1179"/>
      <c r="CVT7" s="1179" t="s">
        <v>10</v>
      </c>
      <c r="CVU7" s="1179"/>
      <c r="CVV7" s="1179"/>
      <c r="CVW7" s="1180"/>
      <c r="CVX7" s="1178" t="s">
        <v>8</v>
      </c>
      <c r="CVY7" s="1179"/>
      <c r="CVZ7" s="1179"/>
      <c r="CWA7" s="1179"/>
      <c r="CWB7" s="1179" t="s">
        <v>10</v>
      </c>
      <c r="CWC7" s="1179"/>
      <c r="CWD7" s="1179"/>
      <c r="CWE7" s="1180"/>
      <c r="CWF7" s="1178" t="s">
        <v>8</v>
      </c>
      <c r="CWG7" s="1179"/>
      <c r="CWH7" s="1179"/>
      <c r="CWI7" s="1179"/>
      <c r="CWJ7" s="1179" t="s">
        <v>10</v>
      </c>
      <c r="CWK7" s="1179"/>
      <c r="CWL7" s="1179"/>
      <c r="CWM7" s="1180"/>
      <c r="CWN7" s="1178" t="s">
        <v>8</v>
      </c>
      <c r="CWO7" s="1179"/>
      <c r="CWP7" s="1179"/>
      <c r="CWQ7" s="1179"/>
      <c r="CWR7" s="1179" t="s">
        <v>10</v>
      </c>
      <c r="CWS7" s="1179"/>
      <c r="CWT7" s="1179"/>
      <c r="CWU7" s="1180"/>
      <c r="CWV7" s="1178" t="s">
        <v>8</v>
      </c>
      <c r="CWW7" s="1179"/>
      <c r="CWX7" s="1179"/>
      <c r="CWY7" s="1179"/>
      <c r="CWZ7" s="1179" t="s">
        <v>10</v>
      </c>
      <c r="CXA7" s="1179"/>
      <c r="CXB7" s="1179"/>
      <c r="CXC7" s="1180"/>
      <c r="CXD7" s="1178" t="s">
        <v>8</v>
      </c>
      <c r="CXE7" s="1179"/>
      <c r="CXF7" s="1179"/>
      <c r="CXG7" s="1179"/>
      <c r="CXH7" s="1179" t="s">
        <v>10</v>
      </c>
      <c r="CXI7" s="1179"/>
      <c r="CXJ7" s="1179"/>
      <c r="CXK7" s="1180"/>
      <c r="CXL7" s="1178" t="s">
        <v>8</v>
      </c>
      <c r="CXM7" s="1179"/>
      <c r="CXN7" s="1179"/>
      <c r="CXO7" s="1179"/>
      <c r="CXP7" s="1179" t="s">
        <v>10</v>
      </c>
      <c r="CXQ7" s="1179"/>
      <c r="CXR7" s="1179"/>
      <c r="CXS7" s="1180"/>
      <c r="CXT7" s="1178" t="s">
        <v>8</v>
      </c>
      <c r="CXU7" s="1179"/>
      <c r="CXV7" s="1179"/>
      <c r="CXW7" s="1179"/>
      <c r="CXX7" s="1179" t="s">
        <v>10</v>
      </c>
      <c r="CXY7" s="1179"/>
      <c r="CXZ7" s="1179"/>
      <c r="CYA7" s="1180"/>
      <c r="CYB7" s="1178" t="s">
        <v>8</v>
      </c>
      <c r="CYC7" s="1179"/>
      <c r="CYD7" s="1179"/>
      <c r="CYE7" s="1179"/>
      <c r="CYF7" s="1179" t="s">
        <v>10</v>
      </c>
      <c r="CYG7" s="1179"/>
      <c r="CYH7" s="1179"/>
      <c r="CYI7" s="1180"/>
      <c r="CYJ7" s="1178" t="s">
        <v>8</v>
      </c>
      <c r="CYK7" s="1179"/>
      <c r="CYL7" s="1179"/>
      <c r="CYM7" s="1179"/>
      <c r="CYN7" s="1179" t="s">
        <v>10</v>
      </c>
      <c r="CYO7" s="1179"/>
      <c r="CYP7" s="1179"/>
      <c r="CYQ7" s="1180"/>
      <c r="CYR7" s="1178" t="s">
        <v>8</v>
      </c>
      <c r="CYS7" s="1179"/>
      <c r="CYT7" s="1179"/>
      <c r="CYU7" s="1179"/>
      <c r="CYV7" s="1179" t="s">
        <v>10</v>
      </c>
      <c r="CYW7" s="1179"/>
      <c r="CYX7" s="1179"/>
      <c r="CYY7" s="1180"/>
      <c r="CYZ7" s="1178" t="s">
        <v>8</v>
      </c>
      <c r="CZA7" s="1179"/>
      <c r="CZB7" s="1179"/>
      <c r="CZC7" s="1179"/>
      <c r="CZD7" s="1179" t="s">
        <v>10</v>
      </c>
      <c r="CZE7" s="1179"/>
      <c r="CZF7" s="1179"/>
      <c r="CZG7" s="1180"/>
      <c r="CZH7" s="1178" t="s">
        <v>8</v>
      </c>
      <c r="CZI7" s="1179"/>
      <c r="CZJ7" s="1179"/>
      <c r="CZK7" s="1179"/>
      <c r="CZL7" s="1179" t="s">
        <v>10</v>
      </c>
      <c r="CZM7" s="1179"/>
      <c r="CZN7" s="1179"/>
      <c r="CZO7" s="1180"/>
      <c r="CZP7" s="1178" t="s">
        <v>8</v>
      </c>
      <c r="CZQ7" s="1179"/>
      <c r="CZR7" s="1179"/>
      <c r="CZS7" s="1179"/>
      <c r="CZT7" s="1179" t="s">
        <v>10</v>
      </c>
      <c r="CZU7" s="1179"/>
      <c r="CZV7" s="1179"/>
      <c r="CZW7" s="1180"/>
      <c r="CZX7" s="1178" t="s">
        <v>8</v>
      </c>
      <c r="CZY7" s="1179"/>
      <c r="CZZ7" s="1179"/>
      <c r="DAA7" s="1179"/>
      <c r="DAB7" s="1179" t="s">
        <v>10</v>
      </c>
      <c r="DAC7" s="1179"/>
      <c r="DAD7" s="1179"/>
      <c r="DAE7" s="1180"/>
      <c r="DAF7" s="1178" t="s">
        <v>8</v>
      </c>
      <c r="DAG7" s="1179"/>
      <c r="DAH7" s="1179"/>
      <c r="DAI7" s="1179"/>
      <c r="DAJ7" s="1179" t="s">
        <v>10</v>
      </c>
      <c r="DAK7" s="1179"/>
      <c r="DAL7" s="1179"/>
      <c r="DAM7" s="1180"/>
      <c r="DAN7" s="1178" t="s">
        <v>8</v>
      </c>
      <c r="DAO7" s="1179"/>
      <c r="DAP7" s="1179"/>
      <c r="DAQ7" s="1179"/>
      <c r="DAR7" s="1179" t="s">
        <v>10</v>
      </c>
      <c r="DAS7" s="1179"/>
      <c r="DAT7" s="1179"/>
      <c r="DAU7" s="1180"/>
      <c r="DAV7" s="1178" t="s">
        <v>8</v>
      </c>
      <c r="DAW7" s="1179"/>
      <c r="DAX7" s="1179"/>
      <c r="DAY7" s="1179"/>
      <c r="DAZ7" s="1179" t="s">
        <v>10</v>
      </c>
      <c r="DBA7" s="1179"/>
      <c r="DBB7" s="1179"/>
      <c r="DBC7" s="1180"/>
      <c r="DBD7" s="1178" t="s">
        <v>8</v>
      </c>
      <c r="DBE7" s="1179"/>
      <c r="DBF7" s="1179"/>
      <c r="DBG7" s="1179"/>
      <c r="DBH7" s="1179" t="s">
        <v>10</v>
      </c>
      <c r="DBI7" s="1179"/>
      <c r="DBJ7" s="1179"/>
      <c r="DBK7" s="1180"/>
      <c r="DBL7" s="1178" t="s">
        <v>8</v>
      </c>
      <c r="DBM7" s="1179"/>
      <c r="DBN7" s="1179"/>
      <c r="DBO7" s="1179"/>
      <c r="DBP7" s="1179" t="s">
        <v>10</v>
      </c>
      <c r="DBQ7" s="1179"/>
      <c r="DBR7" s="1179"/>
      <c r="DBS7" s="1180"/>
      <c r="DBT7" s="1178" t="s">
        <v>8</v>
      </c>
      <c r="DBU7" s="1179"/>
      <c r="DBV7" s="1179"/>
      <c r="DBW7" s="1179"/>
      <c r="DBX7" s="1179" t="s">
        <v>10</v>
      </c>
      <c r="DBY7" s="1179"/>
      <c r="DBZ7" s="1179"/>
      <c r="DCA7" s="1180"/>
      <c r="DCB7" s="1178" t="s">
        <v>8</v>
      </c>
      <c r="DCC7" s="1179"/>
      <c r="DCD7" s="1179"/>
      <c r="DCE7" s="1179"/>
      <c r="DCF7" s="1179" t="s">
        <v>10</v>
      </c>
      <c r="DCG7" s="1179"/>
      <c r="DCH7" s="1179"/>
      <c r="DCI7" s="1180"/>
      <c r="DCJ7" s="1178" t="s">
        <v>8</v>
      </c>
      <c r="DCK7" s="1179"/>
      <c r="DCL7" s="1179"/>
      <c r="DCM7" s="1179"/>
      <c r="DCN7" s="1179" t="s">
        <v>10</v>
      </c>
      <c r="DCO7" s="1179"/>
      <c r="DCP7" s="1179"/>
      <c r="DCQ7" s="1180"/>
      <c r="DCR7" s="1178" t="s">
        <v>8</v>
      </c>
      <c r="DCS7" s="1179"/>
      <c r="DCT7" s="1179"/>
      <c r="DCU7" s="1179"/>
      <c r="DCV7" s="1179" t="s">
        <v>10</v>
      </c>
      <c r="DCW7" s="1179"/>
      <c r="DCX7" s="1179"/>
      <c r="DCY7" s="1180"/>
      <c r="DCZ7" s="1178" t="s">
        <v>8</v>
      </c>
      <c r="DDA7" s="1179"/>
      <c r="DDB7" s="1179"/>
      <c r="DDC7" s="1179"/>
      <c r="DDD7" s="1179" t="s">
        <v>10</v>
      </c>
      <c r="DDE7" s="1179"/>
      <c r="DDF7" s="1179"/>
      <c r="DDG7" s="1180"/>
      <c r="DDH7" s="1178" t="s">
        <v>8</v>
      </c>
      <c r="DDI7" s="1179"/>
      <c r="DDJ7" s="1179"/>
      <c r="DDK7" s="1179"/>
      <c r="DDL7" s="1179" t="s">
        <v>10</v>
      </c>
      <c r="DDM7" s="1179"/>
      <c r="DDN7" s="1179"/>
      <c r="DDO7" s="1180"/>
      <c r="DDP7" s="1178" t="s">
        <v>8</v>
      </c>
      <c r="DDQ7" s="1179"/>
      <c r="DDR7" s="1179"/>
      <c r="DDS7" s="1179"/>
      <c r="DDT7" s="1179" t="s">
        <v>10</v>
      </c>
      <c r="DDU7" s="1179"/>
      <c r="DDV7" s="1179"/>
      <c r="DDW7" s="1180"/>
      <c r="DDX7" s="1178" t="s">
        <v>8</v>
      </c>
      <c r="DDY7" s="1179"/>
      <c r="DDZ7" s="1179"/>
      <c r="DEA7" s="1179"/>
      <c r="DEB7" s="1179" t="s">
        <v>10</v>
      </c>
      <c r="DEC7" s="1179"/>
      <c r="DED7" s="1179"/>
      <c r="DEE7" s="1180"/>
      <c r="DEF7" s="1178" t="s">
        <v>8</v>
      </c>
      <c r="DEG7" s="1179"/>
      <c r="DEH7" s="1179"/>
      <c r="DEI7" s="1179"/>
      <c r="DEJ7" s="1179" t="s">
        <v>10</v>
      </c>
      <c r="DEK7" s="1179"/>
      <c r="DEL7" s="1179"/>
      <c r="DEM7" s="1180"/>
      <c r="DEN7" s="1178" t="s">
        <v>8</v>
      </c>
      <c r="DEO7" s="1179"/>
      <c r="DEP7" s="1179"/>
      <c r="DEQ7" s="1179"/>
      <c r="DER7" s="1179" t="s">
        <v>10</v>
      </c>
      <c r="DES7" s="1179"/>
      <c r="DET7" s="1179"/>
      <c r="DEU7" s="1180"/>
      <c r="DEV7" s="1178" t="s">
        <v>8</v>
      </c>
      <c r="DEW7" s="1179"/>
      <c r="DEX7" s="1179"/>
      <c r="DEY7" s="1179"/>
      <c r="DEZ7" s="1179" t="s">
        <v>10</v>
      </c>
      <c r="DFA7" s="1179"/>
      <c r="DFB7" s="1179"/>
      <c r="DFC7" s="1180"/>
      <c r="DFD7" s="1178" t="s">
        <v>8</v>
      </c>
      <c r="DFE7" s="1179"/>
      <c r="DFF7" s="1179"/>
      <c r="DFG7" s="1179"/>
      <c r="DFH7" s="1179" t="s">
        <v>10</v>
      </c>
      <c r="DFI7" s="1179"/>
      <c r="DFJ7" s="1179"/>
      <c r="DFK7" s="1180"/>
      <c r="DFL7" s="1178" t="s">
        <v>8</v>
      </c>
      <c r="DFM7" s="1179"/>
      <c r="DFN7" s="1179"/>
      <c r="DFO7" s="1179"/>
      <c r="DFP7" s="1179" t="s">
        <v>10</v>
      </c>
      <c r="DFQ7" s="1179"/>
      <c r="DFR7" s="1179"/>
      <c r="DFS7" s="1180"/>
      <c r="DFT7" s="1178" t="s">
        <v>8</v>
      </c>
      <c r="DFU7" s="1179"/>
      <c r="DFV7" s="1179"/>
      <c r="DFW7" s="1179"/>
      <c r="DFX7" s="1179" t="s">
        <v>10</v>
      </c>
      <c r="DFY7" s="1179"/>
      <c r="DFZ7" s="1179"/>
      <c r="DGA7" s="1180"/>
      <c r="DGB7" s="1178" t="s">
        <v>8</v>
      </c>
      <c r="DGC7" s="1179"/>
      <c r="DGD7" s="1179"/>
      <c r="DGE7" s="1179"/>
      <c r="DGF7" s="1179" t="s">
        <v>10</v>
      </c>
      <c r="DGG7" s="1179"/>
      <c r="DGH7" s="1179"/>
      <c r="DGI7" s="1180"/>
      <c r="DGJ7" s="1178" t="s">
        <v>8</v>
      </c>
      <c r="DGK7" s="1179"/>
      <c r="DGL7" s="1179"/>
      <c r="DGM7" s="1179"/>
      <c r="DGN7" s="1179" t="s">
        <v>10</v>
      </c>
      <c r="DGO7" s="1179"/>
      <c r="DGP7" s="1179"/>
      <c r="DGQ7" s="1180"/>
      <c r="DGR7" s="1178" t="s">
        <v>8</v>
      </c>
      <c r="DGS7" s="1179"/>
      <c r="DGT7" s="1179"/>
      <c r="DGU7" s="1179"/>
      <c r="DGV7" s="1179" t="s">
        <v>10</v>
      </c>
      <c r="DGW7" s="1179"/>
      <c r="DGX7" s="1179"/>
      <c r="DGY7" s="1180"/>
      <c r="DGZ7" s="1178" t="s">
        <v>8</v>
      </c>
      <c r="DHA7" s="1179"/>
      <c r="DHB7" s="1179"/>
      <c r="DHC7" s="1179"/>
      <c r="DHD7" s="1179" t="s">
        <v>10</v>
      </c>
      <c r="DHE7" s="1179"/>
      <c r="DHF7" s="1179"/>
      <c r="DHG7" s="1180"/>
      <c r="DHH7" s="1178" t="s">
        <v>8</v>
      </c>
      <c r="DHI7" s="1179"/>
      <c r="DHJ7" s="1179"/>
      <c r="DHK7" s="1179"/>
      <c r="DHL7" s="1179" t="s">
        <v>10</v>
      </c>
      <c r="DHM7" s="1179"/>
      <c r="DHN7" s="1179"/>
      <c r="DHO7" s="1180"/>
      <c r="DHP7" s="1178" t="s">
        <v>8</v>
      </c>
      <c r="DHQ7" s="1179"/>
      <c r="DHR7" s="1179"/>
      <c r="DHS7" s="1179"/>
      <c r="DHT7" s="1179" t="s">
        <v>10</v>
      </c>
      <c r="DHU7" s="1179"/>
      <c r="DHV7" s="1179"/>
      <c r="DHW7" s="1180"/>
      <c r="DHX7" s="1178" t="s">
        <v>8</v>
      </c>
      <c r="DHY7" s="1179"/>
      <c r="DHZ7" s="1179"/>
      <c r="DIA7" s="1179"/>
      <c r="DIB7" s="1179" t="s">
        <v>10</v>
      </c>
      <c r="DIC7" s="1179"/>
      <c r="DID7" s="1179"/>
      <c r="DIE7" s="1180"/>
      <c r="DIF7" s="1178" t="s">
        <v>8</v>
      </c>
      <c r="DIG7" s="1179"/>
      <c r="DIH7" s="1179"/>
      <c r="DII7" s="1179"/>
      <c r="DIJ7" s="1179" t="s">
        <v>10</v>
      </c>
      <c r="DIK7" s="1179"/>
      <c r="DIL7" s="1179"/>
      <c r="DIM7" s="1180"/>
      <c r="DIN7" s="1178" t="s">
        <v>8</v>
      </c>
      <c r="DIO7" s="1179"/>
      <c r="DIP7" s="1179"/>
      <c r="DIQ7" s="1179"/>
      <c r="DIR7" s="1179" t="s">
        <v>10</v>
      </c>
      <c r="DIS7" s="1179"/>
      <c r="DIT7" s="1179"/>
      <c r="DIU7" s="1180"/>
      <c r="DIV7" s="1178" t="s">
        <v>8</v>
      </c>
      <c r="DIW7" s="1179"/>
      <c r="DIX7" s="1179"/>
      <c r="DIY7" s="1179"/>
      <c r="DIZ7" s="1179" t="s">
        <v>10</v>
      </c>
      <c r="DJA7" s="1179"/>
      <c r="DJB7" s="1179"/>
      <c r="DJC7" s="1180"/>
      <c r="DJD7" s="1178" t="s">
        <v>8</v>
      </c>
      <c r="DJE7" s="1179"/>
      <c r="DJF7" s="1179"/>
      <c r="DJG7" s="1179"/>
      <c r="DJH7" s="1179" t="s">
        <v>10</v>
      </c>
      <c r="DJI7" s="1179"/>
      <c r="DJJ7" s="1179"/>
      <c r="DJK7" s="1180"/>
      <c r="DJL7" s="1178" t="s">
        <v>8</v>
      </c>
      <c r="DJM7" s="1179"/>
      <c r="DJN7" s="1179"/>
      <c r="DJO7" s="1179"/>
      <c r="DJP7" s="1179" t="s">
        <v>10</v>
      </c>
      <c r="DJQ7" s="1179"/>
      <c r="DJR7" s="1179"/>
      <c r="DJS7" s="1180"/>
      <c r="DJT7" s="1178" t="s">
        <v>8</v>
      </c>
      <c r="DJU7" s="1179"/>
      <c r="DJV7" s="1179"/>
      <c r="DJW7" s="1179"/>
      <c r="DJX7" s="1179" t="s">
        <v>10</v>
      </c>
      <c r="DJY7" s="1179"/>
      <c r="DJZ7" s="1179"/>
      <c r="DKA7" s="1180"/>
      <c r="DKB7" s="1178" t="s">
        <v>8</v>
      </c>
      <c r="DKC7" s="1179"/>
      <c r="DKD7" s="1179"/>
      <c r="DKE7" s="1179"/>
      <c r="DKF7" s="1179" t="s">
        <v>10</v>
      </c>
      <c r="DKG7" s="1179"/>
      <c r="DKH7" s="1179"/>
      <c r="DKI7" s="1180"/>
      <c r="DKJ7" s="1178" t="s">
        <v>8</v>
      </c>
      <c r="DKK7" s="1179"/>
      <c r="DKL7" s="1179"/>
      <c r="DKM7" s="1179"/>
      <c r="DKN7" s="1179" t="s">
        <v>10</v>
      </c>
      <c r="DKO7" s="1179"/>
      <c r="DKP7" s="1179"/>
      <c r="DKQ7" s="1180"/>
      <c r="DKR7" s="1178" t="s">
        <v>8</v>
      </c>
      <c r="DKS7" s="1179"/>
      <c r="DKT7" s="1179"/>
      <c r="DKU7" s="1179"/>
      <c r="DKV7" s="1179" t="s">
        <v>10</v>
      </c>
      <c r="DKW7" s="1179"/>
      <c r="DKX7" s="1179"/>
      <c r="DKY7" s="1180"/>
      <c r="DKZ7" s="1178" t="s">
        <v>8</v>
      </c>
      <c r="DLA7" s="1179"/>
      <c r="DLB7" s="1179"/>
      <c r="DLC7" s="1179"/>
      <c r="DLD7" s="1179" t="s">
        <v>10</v>
      </c>
      <c r="DLE7" s="1179"/>
      <c r="DLF7" s="1179"/>
      <c r="DLG7" s="1180"/>
      <c r="DLH7" s="1178" t="s">
        <v>8</v>
      </c>
      <c r="DLI7" s="1179"/>
      <c r="DLJ7" s="1179"/>
      <c r="DLK7" s="1179"/>
      <c r="DLL7" s="1179" t="s">
        <v>10</v>
      </c>
      <c r="DLM7" s="1179"/>
      <c r="DLN7" s="1179"/>
      <c r="DLO7" s="1180"/>
      <c r="DLP7" s="1178" t="s">
        <v>8</v>
      </c>
      <c r="DLQ7" s="1179"/>
      <c r="DLR7" s="1179"/>
      <c r="DLS7" s="1179"/>
      <c r="DLT7" s="1179" t="s">
        <v>10</v>
      </c>
      <c r="DLU7" s="1179"/>
      <c r="DLV7" s="1179"/>
      <c r="DLW7" s="1180"/>
      <c r="DLX7" s="1178" t="s">
        <v>8</v>
      </c>
      <c r="DLY7" s="1179"/>
      <c r="DLZ7" s="1179"/>
      <c r="DMA7" s="1179"/>
      <c r="DMB7" s="1179" t="s">
        <v>10</v>
      </c>
      <c r="DMC7" s="1179"/>
      <c r="DMD7" s="1179"/>
      <c r="DME7" s="1180"/>
      <c r="DMF7" s="1178" t="s">
        <v>8</v>
      </c>
      <c r="DMG7" s="1179"/>
      <c r="DMH7" s="1179"/>
      <c r="DMI7" s="1179"/>
      <c r="DMJ7" s="1179" t="s">
        <v>10</v>
      </c>
      <c r="DMK7" s="1179"/>
      <c r="DML7" s="1179"/>
      <c r="DMM7" s="1180"/>
      <c r="DMN7" s="1178" t="s">
        <v>8</v>
      </c>
      <c r="DMO7" s="1179"/>
      <c r="DMP7" s="1179"/>
      <c r="DMQ7" s="1179"/>
      <c r="DMR7" s="1179" t="s">
        <v>10</v>
      </c>
      <c r="DMS7" s="1179"/>
      <c r="DMT7" s="1179"/>
      <c r="DMU7" s="1180"/>
      <c r="DMV7" s="1178" t="s">
        <v>8</v>
      </c>
      <c r="DMW7" s="1179"/>
      <c r="DMX7" s="1179"/>
      <c r="DMY7" s="1179"/>
      <c r="DMZ7" s="1179" t="s">
        <v>10</v>
      </c>
      <c r="DNA7" s="1179"/>
      <c r="DNB7" s="1179"/>
      <c r="DNC7" s="1180"/>
      <c r="DND7" s="1178" t="s">
        <v>8</v>
      </c>
      <c r="DNE7" s="1179"/>
      <c r="DNF7" s="1179"/>
      <c r="DNG7" s="1179"/>
      <c r="DNH7" s="1179" t="s">
        <v>10</v>
      </c>
      <c r="DNI7" s="1179"/>
      <c r="DNJ7" s="1179"/>
      <c r="DNK7" s="1180"/>
      <c r="DNL7" s="1178" t="s">
        <v>8</v>
      </c>
      <c r="DNM7" s="1179"/>
      <c r="DNN7" s="1179"/>
      <c r="DNO7" s="1179"/>
      <c r="DNP7" s="1179" t="s">
        <v>10</v>
      </c>
      <c r="DNQ7" s="1179"/>
      <c r="DNR7" s="1179"/>
      <c r="DNS7" s="1180"/>
      <c r="DNT7" s="1178" t="s">
        <v>8</v>
      </c>
      <c r="DNU7" s="1179"/>
      <c r="DNV7" s="1179"/>
      <c r="DNW7" s="1179"/>
      <c r="DNX7" s="1179" t="s">
        <v>10</v>
      </c>
      <c r="DNY7" s="1179"/>
      <c r="DNZ7" s="1179"/>
      <c r="DOA7" s="1180"/>
      <c r="DOB7" s="1178" t="s">
        <v>8</v>
      </c>
      <c r="DOC7" s="1179"/>
      <c r="DOD7" s="1179"/>
      <c r="DOE7" s="1179"/>
      <c r="DOF7" s="1179" t="s">
        <v>10</v>
      </c>
      <c r="DOG7" s="1179"/>
      <c r="DOH7" s="1179"/>
      <c r="DOI7" s="1180"/>
      <c r="DOJ7" s="1178" t="s">
        <v>8</v>
      </c>
      <c r="DOK7" s="1179"/>
      <c r="DOL7" s="1179"/>
      <c r="DOM7" s="1179"/>
      <c r="DON7" s="1179" t="s">
        <v>10</v>
      </c>
      <c r="DOO7" s="1179"/>
      <c r="DOP7" s="1179"/>
      <c r="DOQ7" s="1180"/>
      <c r="DOR7" s="1178" t="s">
        <v>8</v>
      </c>
      <c r="DOS7" s="1179"/>
      <c r="DOT7" s="1179"/>
      <c r="DOU7" s="1179"/>
      <c r="DOV7" s="1179" t="s">
        <v>10</v>
      </c>
      <c r="DOW7" s="1179"/>
      <c r="DOX7" s="1179"/>
      <c r="DOY7" s="1180"/>
      <c r="DOZ7" s="1178" t="s">
        <v>8</v>
      </c>
      <c r="DPA7" s="1179"/>
      <c r="DPB7" s="1179"/>
      <c r="DPC7" s="1179"/>
      <c r="DPD7" s="1179" t="s">
        <v>10</v>
      </c>
      <c r="DPE7" s="1179"/>
      <c r="DPF7" s="1179"/>
      <c r="DPG7" s="1180"/>
      <c r="DPH7" s="1178" t="s">
        <v>8</v>
      </c>
      <c r="DPI7" s="1179"/>
      <c r="DPJ7" s="1179"/>
      <c r="DPK7" s="1179"/>
      <c r="DPL7" s="1179" t="s">
        <v>10</v>
      </c>
      <c r="DPM7" s="1179"/>
      <c r="DPN7" s="1179"/>
      <c r="DPO7" s="1180"/>
      <c r="DPP7" s="1178" t="s">
        <v>8</v>
      </c>
      <c r="DPQ7" s="1179"/>
      <c r="DPR7" s="1179"/>
      <c r="DPS7" s="1179"/>
      <c r="DPT7" s="1179" t="s">
        <v>10</v>
      </c>
      <c r="DPU7" s="1179"/>
      <c r="DPV7" s="1179"/>
      <c r="DPW7" s="1180"/>
      <c r="DPX7" s="1178" t="s">
        <v>8</v>
      </c>
      <c r="DPY7" s="1179"/>
      <c r="DPZ7" s="1179"/>
      <c r="DQA7" s="1179"/>
      <c r="DQB7" s="1179" t="s">
        <v>10</v>
      </c>
      <c r="DQC7" s="1179"/>
      <c r="DQD7" s="1179"/>
      <c r="DQE7" s="1180"/>
      <c r="DQF7" s="1178" t="s">
        <v>8</v>
      </c>
      <c r="DQG7" s="1179"/>
      <c r="DQH7" s="1179"/>
      <c r="DQI7" s="1179"/>
      <c r="DQJ7" s="1179" t="s">
        <v>10</v>
      </c>
      <c r="DQK7" s="1179"/>
      <c r="DQL7" s="1179"/>
      <c r="DQM7" s="1180"/>
      <c r="DQN7" s="1178" t="s">
        <v>8</v>
      </c>
      <c r="DQO7" s="1179"/>
      <c r="DQP7" s="1179"/>
      <c r="DQQ7" s="1179"/>
      <c r="DQR7" s="1179" t="s">
        <v>10</v>
      </c>
      <c r="DQS7" s="1179"/>
      <c r="DQT7" s="1179"/>
      <c r="DQU7" s="1180"/>
      <c r="DQV7" s="1178" t="s">
        <v>8</v>
      </c>
      <c r="DQW7" s="1179"/>
      <c r="DQX7" s="1179"/>
      <c r="DQY7" s="1179"/>
      <c r="DQZ7" s="1179" t="s">
        <v>10</v>
      </c>
      <c r="DRA7" s="1179"/>
      <c r="DRB7" s="1179"/>
      <c r="DRC7" s="1180"/>
      <c r="DRD7" s="1178" t="s">
        <v>8</v>
      </c>
      <c r="DRE7" s="1179"/>
      <c r="DRF7" s="1179"/>
      <c r="DRG7" s="1179"/>
      <c r="DRH7" s="1179" t="s">
        <v>10</v>
      </c>
      <c r="DRI7" s="1179"/>
      <c r="DRJ7" s="1179"/>
      <c r="DRK7" s="1180"/>
      <c r="DRL7" s="1178" t="s">
        <v>8</v>
      </c>
      <c r="DRM7" s="1179"/>
      <c r="DRN7" s="1179"/>
      <c r="DRO7" s="1179"/>
      <c r="DRP7" s="1179" t="s">
        <v>10</v>
      </c>
      <c r="DRQ7" s="1179"/>
      <c r="DRR7" s="1179"/>
      <c r="DRS7" s="1180"/>
      <c r="DRT7" s="1178" t="s">
        <v>8</v>
      </c>
      <c r="DRU7" s="1179"/>
      <c r="DRV7" s="1179"/>
      <c r="DRW7" s="1179"/>
      <c r="DRX7" s="1179" t="s">
        <v>10</v>
      </c>
      <c r="DRY7" s="1179"/>
      <c r="DRZ7" s="1179"/>
      <c r="DSA7" s="1180"/>
      <c r="DSB7" s="1178" t="s">
        <v>8</v>
      </c>
      <c r="DSC7" s="1179"/>
      <c r="DSD7" s="1179"/>
      <c r="DSE7" s="1179"/>
      <c r="DSF7" s="1179" t="s">
        <v>10</v>
      </c>
      <c r="DSG7" s="1179"/>
      <c r="DSH7" s="1179"/>
      <c r="DSI7" s="1180"/>
      <c r="DSJ7" s="1178" t="s">
        <v>8</v>
      </c>
      <c r="DSK7" s="1179"/>
      <c r="DSL7" s="1179"/>
      <c r="DSM7" s="1179"/>
      <c r="DSN7" s="1179" t="s">
        <v>10</v>
      </c>
      <c r="DSO7" s="1179"/>
      <c r="DSP7" s="1179"/>
      <c r="DSQ7" s="1180"/>
      <c r="DSR7" s="1178" t="s">
        <v>8</v>
      </c>
      <c r="DSS7" s="1179"/>
      <c r="DST7" s="1179"/>
      <c r="DSU7" s="1179"/>
      <c r="DSV7" s="1179" t="s">
        <v>10</v>
      </c>
      <c r="DSW7" s="1179"/>
      <c r="DSX7" s="1179"/>
      <c r="DSY7" s="1180"/>
      <c r="DSZ7" s="1178" t="s">
        <v>8</v>
      </c>
      <c r="DTA7" s="1179"/>
      <c r="DTB7" s="1179"/>
      <c r="DTC7" s="1179"/>
      <c r="DTD7" s="1179" t="s">
        <v>10</v>
      </c>
      <c r="DTE7" s="1179"/>
      <c r="DTF7" s="1179"/>
      <c r="DTG7" s="1180"/>
      <c r="DTH7" s="1178" t="s">
        <v>8</v>
      </c>
      <c r="DTI7" s="1179"/>
      <c r="DTJ7" s="1179"/>
      <c r="DTK7" s="1179"/>
      <c r="DTL7" s="1179" t="s">
        <v>10</v>
      </c>
      <c r="DTM7" s="1179"/>
      <c r="DTN7" s="1179"/>
      <c r="DTO7" s="1180"/>
      <c r="DTP7" s="1178" t="s">
        <v>8</v>
      </c>
      <c r="DTQ7" s="1179"/>
      <c r="DTR7" s="1179"/>
      <c r="DTS7" s="1179"/>
      <c r="DTT7" s="1179" t="s">
        <v>10</v>
      </c>
      <c r="DTU7" s="1179"/>
      <c r="DTV7" s="1179"/>
      <c r="DTW7" s="1180"/>
      <c r="DTX7" s="1178" t="s">
        <v>8</v>
      </c>
      <c r="DTY7" s="1179"/>
      <c r="DTZ7" s="1179"/>
      <c r="DUA7" s="1179"/>
      <c r="DUB7" s="1179" t="s">
        <v>10</v>
      </c>
      <c r="DUC7" s="1179"/>
      <c r="DUD7" s="1179"/>
      <c r="DUE7" s="1180"/>
      <c r="DUF7" s="1178" t="s">
        <v>8</v>
      </c>
      <c r="DUG7" s="1179"/>
      <c r="DUH7" s="1179"/>
      <c r="DUI7" s="1179"/>
      <c r="DUJ7" s="1179" t="s">
        <v>10</v>
      </c>
      <c r="DUK7" s="1179"/>
      <c r="DUL7" s="1179"/>
      <c r="DUM7" s="1180"/>
      <c r="DUN7" s="1178" t="s">
        <v>8</v>
      </c>
      <c r="DUO7" s="1179"/>
      <c r="DUP7" s="1179"/>
      <c r="DUQ7" s="1179"/>
      <c r="DUR7" s="1179" t="s">
        <v>10</v>
      </c>
      <c r="DUS7" s="1179"/>
      <c r="DUT7" s="1179"/>
      <c r="DUU7" s="1180"/>
      <c r="DUV7" s="1178" t="s">
        <v>8</v>
      </c>
      <c r="DUW7" s="1179"/>
      <c r="DUX7" s="1179"/>
      <c r="DUY7" s="1179"/>
      <c r="DUZ7" s="1179" t="s">
        <v>10</v>
      </c>
      <c r="DVA7" s="1179"/>
      <c r="DVB7" s="1179"/>
      <c r="DVC7" s="1180"/>
      <c r="DVD7" s="1178" t="s">
        <v>8</v>
      </c>
      <c r="DVE7" s="1179"/>
      <c r="DVF7" s="1179"/>
      <c r="DVG7" s="1179"/>
      <c r="DVH7" s="1179" t="s">
        <v>10</v>
      </c>
      <c r="DVI7" s="1179"/>
      <c r="DVJ7" s="1179"/>
      <c r="DVK7" s="1180"/>
      <c r="DVL7" s="1178" t="s">
        <v>8</v>
      </c>
      <c r="DVM7" s="1179"/>
      <c r="DVN7" s="1179"/>
      <c r="DVO7" s="1179"/>
      <c r="DVP7" s="1179" t="s">
        <v>10</v>
      </c>
      <c r="DVQ7" s="1179"/>
      <c r="DVR7" s="1179"/>
      <c r="DVS7" s="1180"/>
      <c r="DVT7" s="1178" t="s">
        <v>8</v>
      </c>
      <c r="DVU7" s="1179"/>
      <c r="DVV7" s="1179"/>
      <c r="DVW7" s="1179"/>
      <c r="DVX7" s="1179" t="s">
        <v>10</v>
      </c>
      <c r="DVY7" s="1179"/>
      <c r="DVZ7" s="1179"/>
      <c r="DWA7" s="1180"/>
      <c r="DWB7" s="1178" t="s">
        <v>8</v>
      </c>
      <c r="DWC7" s="1179"/>
      <c r="DWD7" s="1179"/>
      <c r="DWE7" s="1179"/>
      <c r="DWF7" s="1179" t="s">
        <v>10</v>
      </c>
      <c r="DWG7" s="1179"/>
      <c r="DWH7" s="1179"/>
      <c r="DWI7" s="1180"/>
      <c r="DWJ7" s="1178" t="s">
        <v>8</v>
      </c>
      <c r="DWK7" s="1179"/>
      <c r="DWL7" s="1179"/>
      <c r="DWM7" s="1179"/>
      <c r="DWN7" s="1179" t="s">
        <v>10</v>
      </c>
      <c r="DWO7" s="1179"/>
      <c r="DWP7" s="1179"/>
      <c r="DWQ7" s="1180"/>
      <c r="DWR7" s="1178" t="s">
        <v>8</v>
      </c>
      <c r="DWS7" s="1179"/>
      <c r="DWT7" s="1179"/>
      <c r="DWU7" s="1179"/>
      <c r="DWV7" s="1179" t="s">
        <v>10</v>
      </c>
      <c r="DWW7" s="1179"/>
      <c r="DWX7" s="1179"/>
      <c r="DWY7" s="1180"/>
      <c r="DWZ7" s="1178" t="s">
        <v>8</v>
      </c>
      <c r="DXA7" s="1179"/>
      <c r="DXB7" s="1179"/>
      <c r="DXC7" s="1179"/>
      <c r="DXD7" s="1179" t="s">
        <v>10</v>
      </c>
      <c r="DXE7" s="1179"/>
      <c r="DXF7" s="1179"/>
      <c r="DXG7" s="1180"/>
      <c r="DXH7" s="1178" t="s">
        <v>8</v>
      </c>
      <c r="DXI7" s="1179"/>
      <c r="DXJ7" s="1179"/>
      <c r="DXK7" s="1179"/>
      <c r="DXL7" s="1179" t="s">
        <v>10</v>
      </c>
      <c r="DXM7" s="1179"/>
      <c r="DXN7" s="1179"/>
      <c r="DXO7" s="1180"/>
      <c r="DXP7" s="1178" t="s">
        <v>8</v>
      </c>
      <c r="DXQ7" s="1179"/>
      <c r="DXR7" s="1179"/>
      <c r="DXS7" s="1179"/>
      <c r="DXT7" s="1179" t="s">
        <v>10</v>
      </c>
      <c r="DXU7" s="1179"/>
      <c r="DXV7" s="1179"/>
      <c r="DXW7" s="1180"/>
      <c r="DXX7" s="1178" t="s">
        <v>8</v>
      </c>
      <c r="DXY7" s="1179"/>
      <c r="DXZ7" s="1179"/>
      <c r="DYA7" s="1179"/>
      <c r="DYB7" s="1179" t="s">
        <v>10</v>
      </c>
      <c r="DYC7" s="1179"/>
      <c r="DYD7" s="1179"/>
      <c r="DYE7" s="1180"/>
      <c r="DYF7" s="1178" t="s">
        <v>8</v>
      </c>
      <c r="DYG7" s="1179"/>
      <c r="DYH7" s="1179"/>
      <c r="DYI7" s="1179"/>
      <c r="DYJ7" s="1179" t="s">
        <v>10</v>
      </c>
      <c r="DYK7" s="1179"/>
      <c r="DYL7" s="1179"/>
      <c r="DYM7" s="1180"/>
      <c r="DYN7" s="1178" t="s">
        <v>8</v>
      </c>
      <c r="DYO7" s="1179"/>
      <c r="DYP7" s="1179"/>
      <c r="DYQ7" s="1179"/>
      <c r="DYR7" s="1179" t="s">
        <v>10</v>
      </c>
      <c r="DYS7" s="1179"/>
      <c r="DYT7" s="1179"/>
      <c r="DYU7" s="1180"/>
      <c r="DYV7" s="1178" t="s">
        <v>8</v>
      </c>
      <c r="DYW7" s="1179"/>
      <c r="DYX7" s="1179"/>
      <c r="DYY7" s="1179"/>
      <c r="DYZ7" s="1179" t="s">
        <v>10</v>
      </c>
      <c r="DZA7" s="1179"/>
      <c r="DZB7" s="1179"/>
      <c r="DZC7" s="1180"/>
      <c r="DZD7" s="1178" t="s">
        <v>8</v>
      </c>
      <c r="DZE7" s="1179"/>
      <c r="DZF7" s="1179"/>
      <c r="DZG7" s="1179"/>
      <c r="DZH7" s="1179" t="s">
        <v>10</v>
      </c>
      <c r="DZI7" s="1179"/>
      <c r="DZJ7" s="1179"/>
      <c r="DZK7" s="1180"/>
      <c r="DZL7" s="1178" t="s">
        <v>8</v>
      </c>
      <c r="DZM7" s="1179"/>
      <c r="DZN7" s="1179"/>
      <c r="DZO7" s="1179"/>
      <c r="DZP7" s="1179" t="s">
        <v>10</v>
      </c>
      <c r="DZQ7" s="1179"/>
      <c r="DZR7" s="1179"/>
      <c r="DZS7" s="1180"/>
      <c r="DZT7" s="1178" t="s">
        <v>8</v>
      </c>
      <c r="DZU7" s="1179"/>
      <c r="DZV7" s="1179"/>
      <c r="DZW7" s="1179"/>
      <c r="DZX7" s="1179" t="s">
        <v>10</v>
      </c>
      <c r="DZY7" s="1179"/>
      <c r="DZZ7" s="1179"/>
      <c r="EAA7" s="1180"/>
      <c r="EAB7" s="1178" t="s">
        <v>8</v>
      </c>
      <c r="EAC7" s="1179"/>
      <c r="EAD7" s="1179"/>
      <c r="EAE7" s="1179"/>
      <c r="EAF7" s="1179" t="s">
        <v>10</v>
      </c>
      <c r="EAG7" s="1179"/>
      <c r="EAH7" s="1179"/>
      <c r="EAI7" s="1180"/>
      <c r="EAJ7" s="1178" t="s">
        <v>8</v>
      </c>
      <c r="EAK7" s="1179"/>
      <c r="EAL7" s="1179"/>
      <c r="EAM7" s="1179"/>
      <c r="EAN7" s="1179" t="s">
        <v>10</v>
      </c>
      <c r="EAO7" s="1179"/>
      <c r="EAP7" s="1179"/>
      <c r="EAQ7" s="1180"/>
      <c r="EAR7" s="1178" t="s">
        <v>8</v>
      </c>
      <c r="EAS7" s="1179"/>
      <c r="EAT7" s="1179"/>
      <c r="EAU7" s="1179"/>
      <c r="EAV7" s="1179" t="s">
        <v>10</v>
      </c>
      <c r="EAW7" s="1179"/>
      <c r="EAX7" s="1179"/>
      <c r="EAY7" s="1180"/>
      <c r="EAZ7" s="1178" t="s">
        <v>8</v>
      </c>
      <c r="EBA7" s="1179"/>
      <c r="EBB7" s="1179"/>
      <c r="EBC7" s="1179"/>
      <c r="EBD7" s="1179" t="s">
        <v>10</v>
      </c>
      <c r="EBE7" s="1179"/>
      <c r="EBF7" s="1179"/>
      <c r="EBG7" s="1180"/>
      <c r="EBH7" s="1178" t="s">
        <v>8</v>
      </c>
      <c r="EBI7" s="1179"/>
      <c r="EBJ7" s="1179"/>
      <c r="EBK7" s="1179"/>
      <c r="EBL7" s="1179" t="s">
        <v>10</v>
      </c>
      <c r="EBM7" s="1179"/>
      <c r="EBN7" s="1179"/>
      <c r="EBO7" s="1180"/>
      <c r="EBP7" s="1178" t="s">
        <v>8</v>
      </c>
      <c r="EBQ7" s="1179"/>
      <c r="EBR7" s="1179"/>
      <c r="EBS7" s="1179"/>
      <c r="EBT7" s="1179" t="s">
        <v>10</v>
      </c>
      <c r="EBU7" s="1179"/>
      <c r="EBV7" s="1179"/>
      <c r="EBW7" s="1180"/>
      <c r="EBX7" s="1178" t="s">
        <v>8</v>
      </c>
      <c r="EBY7" s="1179"/>
      <c r="EBZ7" s="1179"/>
      <c r="ECA7" s="1179"/>
      <c r="ECB7" s="1179" t="s">
        <v>10</v>
      </c>
      <c r="ECC7" s="1179"/>
      <c r="ECD7" s="1179"/>
      <c r="ECE7" s="1180"/>
      <c r="ECF7" s="1178" t="s">
        <v>8</v>
      </c>
      <c r="ECG7" s="1179"/>
      <c r="ECH7" s="1179"/>
      <c r="ECI7" s="1179"/>
      <c r="ECJ7" s="1179" t="s">
        <v>10</v>
      </c>
      <c r="ECK7" s="1179"/>
      <c r="ECL7" s="1179"/>
      <c r="ECM7" s="1180"/>
      <c r="ECN7" s="1178" t="s">
        <v>8</v>
      </c>
      <c r="ECO7" s="1179"/>
      <c r="ECP7" s="1179"/>
      <c r="ECQ7" s="1179"/>
      <c r="ECR7" s="1179" t="s">
        <v>10</v>
      </c>
      <c r="ECS7" s="1179"/>
      <c r="ECT7" s="1179"/>
      <c r="ECU7" s="1180"/>
      <c r="ECV7" s="1178" t="s">
        <v>8</v>
      </c>
      <c r="ECW7" s="1179"/>
      <c r="ECX7" s="1179"/>
      <c r="ECY7" s="1179"/>
      <c r="ECZ7" s="1179" t="s">
        <v>10</v>
      </c>
      <c r="EDA7" s="1179"/>
      <c r="EDB7" s="1179"/>
      <c r="EDC7" s="1180"/>
      <c r="EDD7" s="1178" t="s">
        <v>8</v>
      </c>
      <c r="EDE7" s="1179"/>
      <c r="EDF7" s="1179"/>
      <c r="EDG7" s="1179"/>
      <c r="EDH7" s="1179" t="s">
        <v>10</v>
      </c>
      <c r="EDI7" s="1179"/>
      <c r="EDJ7" s="1179"/>
      <c r="EDK7" s="1180"/>
      <c r="EDL7" s="1178" t="s">
        <v>8</v>
      </c>
      <c r="EDM7" s="1179"/>
      <c r="EDN7" s="1179"/>
      <c r="EDO7" s="1179"/>
      <c r="EDP7" s="1179" t="s">
        <v>10</v>
      </c>
      <c r="EDQ7" s="1179"/>
      <c r="EDR7" s="1179"/>
      <c r="EDS7" s="1180"/>
      <c r="EDT7" s="1178" t="s">
        <v>8</v>
      </c>
      <c r="EDU7" s="1179"/>
      <c r="EDV7" s="1179"/>
      <c r="EDW7" s="1179"/>
      <c r="EDX7" s="1179" t="s">
        <v>10</v>
      </c>
      <c r="EDY7" s="1179"/>
      <c r="EDZ7" s="1179"/>
      <c r="EEA7" s="1180"/>
      <c r="EEB7" s="1178" t="s">
        <v>8</v>
      </c>
      <c r="EEC7" s="1179"/>
      <c r="EED7" s="1179"/>
      <c r="EEE7" s="1179"/>
      <c r="EEF7" s="1179" t="s">
        <v>10</v>
      </c>
      <c r="EEG7" s="1179"/>
      <c r="EEH7" s="1179"/>
      <c r="EEI7" s="1180"/>
      <c r="EEJ7" s="1178" t="s">
        <v>8</v>
      </c>
      <c r="EEK7" s="1179"/>
      <c r="EEL7" s="1179"/>
      <c r="EEM7" s="1179"/>
      <c r="EEN7" s="1179" t="s">
        <v>10</v>
      </c>
      <c r="EEO7" s="1179"/>
      <c r="EEP7" s="1179"/>
      <c r="EEQ7" s="1180"/>
      <c r="EER7" s="1178" t="s">
        <v>8</v>
      </c>
      <c r="EES7" s="1179"/>
      <c r="EET7" s="1179"/>
      <c r="EEU7" s="1179"/>
      <c r="EEV7" s="1179" t="s">
        <v>10</v>
      </c>
      <c r="EEW7" s="1179"/>
      <c r="EEX7" s="1179"/>
      <c r="EEY7" s="1180"/>
      <c r="EEZ7" s="1178" t="s">
        <v>8</v>
      </c>
      <c r="EFA7" s="1179"/>
      <c r="EFB7" s="1179"/>
      <c r="EFC7" s="1179"/>
      <c r="EFD7" s="1179" t="s">
        <v>10</v>
      </c>
      <c r="EFE7" s="1179"/>
      <c r="EFF7" s="1179"/>
      <c r="EFG7" s="1180"/>
      <c r="EFH7" s="1178" t="s">
        <v>8</v>
      </c>
      <c r="EFI7" s="1179"/>
      <c r="EFJ7" s="1179"/>
      <c r="EFK7" s="1179"/>
      <c r="EFL7" s="1179" t="s">
        <v>10</v>
      </c>
      <c r="EFM7" s="1179"/>
      <c r="EFN7" s="1179"/>
      <c r="EFO7" s="1180"/>
      <c r="EFP7" s="1178" t="s">
        <v>8</v>
      </c>
      <c r="EFQ7" s="1179"/>
      <c r="EFR7" s="1179"/>
      <c r="EFS7" s="1179"/>
      <c r="EFT7" s="1179" t="s">
        <v>10</v>
      </c>
      <c r="EFU7" s="1179"/>
      <c r="EFV7" s="1179"/>
      <c r="EFW7" s="1180"/>
      <c r="EFX7" s="1178" t="s">
        <v>8</v>
      </c>
      <c r="EFY7" s="1179"/>
      <c r="EFZ7" s="1179"/>
      <c r="EGA7" s="1179"/>
      <c r="EGB7" s="1179" t="s">
        <v>10</v>
      </c>
      <c r="EGC7" s="1179"/>
      <c r="EGD7" s="1179"/>
      <c r="EGE7" s="1180"/>
      <c r="EGF7" s="1178" t="s">
        <v>8</v>
      </c>
      <c r="EGG7" s="1179"/>
      <c r="EGH7" s="1179"/>
      <c r="EGI7" s="1179"/>
      <c r="EGJ7" s="1179" t="s">
        <v>10</v>
      </c>
      <c r="EGK7" s="1179"/>
      <c r="EGL7" s="1179"/>
      <c r="EGM7" s="1180"/>
      <c r="EGN7" s="1178" t="s">
        <v>8</v>
      </c>
      <c r="EGO7" s="1179"/>
      <c r="EGP7" s="1179"/>
      <c r="EGQ7" s="1179"/>
      <c r="EGR7" s="1179" t="s">
        <v>10</v>
      </c>
      <c r="EGS7" s="1179"/>
      <c r="EGT7" s="1179"/>
      <c r="EGU7" s="1180"/>
      <c r="EGV7" s="1178" t="s">
        <v>8</v>
      </c>
      <c r="EGW7" s="1179"/>
      <c r="EGX7" s="1179"/>
      <c r="EGY7" s="1179"/>
      <c r="EGZ7" s="1179" t="s">
        <v>10</v>
      </c>
      <c r="EHA7" s="1179"/>
      <c r="EHB7" s="1179"/>
      <c r="EHC7" s="1180"/>
      <c r="EHD7" s="1178" t="s">
        <v>8</v>
      </c>
      <c r="EHE7" s="1179"/>
      <c r="EHF7" s="1179"/>
      <c r="EHG7" s="1179"/>
      <c r="EHH7" s="1179" t="s">
        <v>10</v>
      </c>
      <c r="EHI7" s="1179"/>
      <c r="EHJ7" s="1179"/>
      <c r="EHK7" s="1180"/>
      <c r="EHL7" s="1178" t="s">
        <v>8</v>
      </c>
      <c r="EHM7" s="1179"/>
      <c r="EHN7" s="1179"/>
      <c r="EHO7" s="1179"/>
      <c r="EHP7" s="1179" t="s">
        <v>10</v>
      </c>
      <c r="EHQ7" s="1179"/>
      <c r="EHR7" s="1179"/>
      <c r="EHS7" s="1180"/>
      <c r="EHT7" s="1178" t="s">
        <v>8</v>
      </c>
      <c r="EHU7" s="1179"/>
      <c r="EHV7" s="1179"/>
      <c r="EHW7" s="1179"/>
      <c r="EHX7" s="1179" t="s">
        <v>10</v>
      </c>
      <c r="EHY7" s="1179"/>
      <c r="EHZ7" s="1179"/>
      <c r="EIA7" s="1180"/>
      <c r="EIB7" s="1178" t="s">
        <v>8</v>
      </c>
      <c r="EIC7" s="1179"/>
      <c r="EID7" s="1179"/>
      <c r="EIE7" s="1179"/>
      <c r="EIF7" s="1179" t="s">
        <v>10</v>
      </c>
      <c r="EIG7" s="1179"/>
      <c r="EIH7" s="1179"/>
      <c r="EII7" s="1180"/>
      <c r="EIJ7" s="1178" t="s">
        <v>8</v>
      </c>
      <c r="EIK7" s="1179"/>
      <c r="EIL7" s="1179"/>
      <c r="EIM7" s="1179"/>
      <c r="EIN7" s="1179" t="s">
        <v>10</v>
      </c>
      <c r="EIO7" s="1179"/>
      <c r="EIP7" s="1179"/>
      <c r="EIQ7" s="1180"/>
      <c r="EIR7" s="1178" t="s">
        <v>8</v>
      </c>
      <c r="EIS7" s="1179"/>
      <c r="EIT7" s="1179"/>
      <c r="EIU7" s="1179"/>
      <c r="EIV7" s="1179" t="s">
        <v>10</v>
      </c>
      <c r="EIW7" s="1179"/>
      <c r="EIX7" s="1179"/>
      <c r="EIY7" s="1180"/>
      <c r="EIZ7" s="1178" t="s">
        <v>8</v>
      </c>
      <c r="EJA7" s="1179"/>
      <c r="EJB7" s="1179"/>
      <c r="EJC7" s="1179"/>
      <c r="EJD7" s="1179" t="s">
        <v>10</v>
      </c>
      <c r="EJE7" s="1179"/>
      <c r="EJF7" s="1179"/>
      <c r="EJG7" s="1180"/>
      <c r="EJH7" s="1178" t="s">
        <v>8</v>
      </c>
      <c r="EJI7" s="1179"/>
      <c r="EJJ7" s="1179"/>
      <c r="EJK7" s="1179"/>
      <c r="EJL7" s="1179" t="s">
        <v>10</v>
      </c>
      <c r="EJM7" s="1179"/>
      <c r="EJN7" s="1179"/>
      <c r="EJO7" s="1180"/>
      <c r="EJP7" s="1178" t="s">
        <v>8</v>
      </c>
      <c r="EJQ7" s="1179"/>
      <c r="EJR7" s="1179"/>
      <c r="EJS7" s="1179"/>
      <c r="EJT7" s="1179" t="s">
        <v>10</v>
      </c>
      <c r="EJU7" s="1179"/>
      <c r="EJV7" s="1179"/>
      <c r="EJW7" s="1180"/>
      <c r="EJX7" s="1178" t="s">
        <v>8</v>
      </c>
      <c r="EJY7" s="1179"/>
      <c r="EJZ7" s="1179"/>
      <c r="EKA7" s="1179"/>
      <c r="EKB7" s="1179" t="s">
        <v>10</v>
      </c>
      <c r="EKC7" s="1179"/>
      <c r="EKD7" s="1179"/>
      <c r="EKE7" s="1180"/>
      <c r="EKF7" s="1178" t="s">
        <v>8</v>
      </c>
      <c r="EKG7" s="1179"/>
      <c r="EKH7" s="1179"/>
      <c r="EKI7" s="1179"/>
      <c r="EKJ7" s="1179" t="s">
        <v>10</v>
      </c>
      <c r="EKK7" s="1179"/>
      <c r="EKL7" s="1179"/>
      <c r="EKM7" s="1180"/>
      <c r="EKN7" s="1178" t="s">
        <v>8</v>
      </c>
      <c r="EKO7" s="1179"/>
      <c r="EKP7" s="1179"/>
      <c r="EKQ7" s="1179"/>
      <c r="EKR7" s="1179" t="s">
        <v>10</v>
      </c>
      <c r="EKS7" s="1179"/>
      <c r="EKT7" s="1179"/>
      <c r="EKU7" s="1180"/>
      <c r="EKV7" s="1178" t="s">
        <v>8</v>
      </c>
      <c r="EKW7" s="1179"/>
      <c r="EKX7" s="1179"/>
      <c r="EKY7" s="1179"/>
      <c r="EKZ7" s="1179" t="s">
        <v>10</v>
      </c>
      <c r="ELA7" s="1179"/>
      <c r="ELB7" s="1179"/>
      <c r="ELC7" s="1180"/>
      <c r="ELD7" s="1178" t="s">
        <v>8</v>
      </c>
      <c r="ELE7" s="1179"/>
      <c r="ELF7" s="1179"/>
      <c r="ELG7" s="1179"/>
      <c r="ELH7" s="1179" t="s">
        <v>10</v>
      </c>
      <c r="ELI7" s="1179"/>
      <c r="ELJ7" s="1179"/>
      <c r="ELK7" s="1180"/>
      <c r="ELL7" s="1178" t="s">
        <v>8</v>
      </c>
      <c r="ELM7" s="1179"/>
      <c r="ELN7" s="1179"/>
      <c r="ELO7" s="1179"/>
      <c r="ELP7" s="1179" t="s">
        <v>10</v>
      </c>
      <c r="ELQ7" s="1179"/>
      <c r="ELR7" s="1179"/>
      <c r="ELS7" s="1180"/>
      <c r="ELT7" s="1178" t="s">
        <v>8</v>
      </c>
      <c r="ELU7" s="1179"/>
      <c r="ELV7" s="1179"/>
      <c r="ELW7" s="1179"/>
      <c r="ELX7" s="1179" t="s">
        <v>10</v>
      </c>
      <c r="ELY7" s="1179"/>
      <c r="ELZ7" s="1179"/>
      <c r="EMA7" s="1180"/>
      <c r="EMB7" s="1178" t="s">
        <v>8</v>
      </c>
      <c r="EMC7" s="1179"/>
      <c r="EMD7" s="1179"/>
      <c r="EME7" s="1179"/>
      <c r="EMF7" s="1179" t="s">
        <v>10</v>
      </c>
      <c r="EMG7" s="1179"/>
      <c r="EMH7" s="1179"/>
      <c r="EMI7" s="1180"/>
      <c r="EMJ7" s="1178" t="s">
        <v>8</v>
      </c>
      <c r="EMK7" s="1179"/>
      <c r="EML7" s="1179"/>
      <c r="EMM7" s="1179"/>
      <c r="EMN7" s="1179" t="s">
        <v>10</v>
      </c>
      <c r="EMO7" s="1179"/>
      <c r="EMP7" s="1179"/>
      <c r="EMQ7" s="1180"/>
      <c r="EMR7" s="1178" t="s">
        <v>8</v>
      </c>
      <c r="EMS7" s="1179"/>
      <c r="EMT7" s="1179"/>
      <c r="EMU7" s="1179"/>
      <c r="EMV7" s="1179" t="s">
        <v>10</v>
      </c>
      <c r="EMW7" s="1179"/>
      <c r="EMX7" s="1179"/>
      <c r="EMY7" s="1180"/>
      <c r="EMZ7" s="1178" t="s">
        <v>8</v>
      </c>
      <c r="ENA7" s="1179"/>
      <c r="ENB7" s="1179"/>
      <c r="ENC7" s="1179"/>
      <c r="END7" s="1179" t="s">
        <v>10</v>
      </c>
      <c r="ENE7" s="1179"/>
      <c r="ENF7" s="1179"/>
      <c r="ENG7" s="1180"/>
      <c r="ENH7" s="1178" t="s">
        <v>8</v>
      </c>
      <c r="ENI7" s="1179"/>
      <c r="ENJ7" s="1179"/>
      <c r="ENK7" s="1179"/>
      <c r="ENL7" s="1179" t="s">
        <v>10</v>
      </c>
      <c r="ENM7" s="1179"/>
      <c r="ENN7" s="1179"/>
      <c r="ENO7" s="1180"/>
      <c r="ENP7" s="1178" t="s">
        <v>8</v>
      </c>
      <c r="ENQ7" s="1179"/>
      <c r="ENR7" s="1179"/>
      <c r="ENS7" s="1179"/>
      <c r="ENT7" s="1179" t="s">
        <v>10</v>
      </c>
      <c r="ENU7" s="1179"/>
      <c r="ENV7" s="1179"/>
      <c r="ENW7" s="1180"/>
      <c r="ENX7" s="1178" t="s">
        <v>8</v>
      </c>
      <c r="ENY7" s="1179"/>
      <c r="ENZ7" s="1179"/>
      <c r="EOA7" s="1179"/>
      <c r="EOB7" s="1179" t="s">
        <v>10</v>
      </c>
      <c r="EOC7" s="1179"/>
      <c r="EOD7" s="1179"/>
      <c r="EOE7" s="1180"/>
      <c r="EOF7" s="1178" t="s">
        <v>8</v>
      </c>
      <c r="EOG7" s="1179"/>
      <c r="EOH7" s="1179"/>
      <c r="EOI7" s="1179"/>
      <c r="EOJ7" s="1179" t="s">
        <v>10</v>
      </c>
      <c r="EOK7" s="1179"/>
      <c r="EOL7" s="1179"/>
      <c r="EOM7" s="1180"/>
      <c r="EON7" s="1178" t="s">
        <v>8</v>
      </c>
      <c r="EOO7" s="1179"/>
      <c r="EOP7" s="1179"/>
      <c r="EOQ7" s="1179"/>
      <c r="EOR7" s="1179" t="s">
        <v>10</v>
      </c>
      <c r="EOS7" s="1179"/>
      <c r="EOT7" s="1179"/>
      <c r="EOU7" s="1180"/>
      <c r="EOV7" s="1178" t="s">
        <v>8</v>
      </c>
      <c r="EOW7" s="1179"/>
      <c r="EOX7" s="1179"/>
      <c r="EOY7" s="1179"/>
      <c r="EOZ7" s="1179" t="s">
        <v>10</v>
      </c>
      <c r="EPA7" s="1179"/>
      <c r="EPB7" s="1179"/>
      <c r="EPC7" s="1180"/>
      <c r="EPD7" s="1178" t="s">
        <v>8</v>
      </c>
      <c r="EPE7" s="1179"/>
      <c r="EPF7" s="1179"/>
      <c r="EPG7" s="1179"/>
      <c r="EPH7" s="1179" t="s">
        <v>10</v>
      </c>
      <c r="EPI7" s="1179"/>
      <c r="EPJ7" s="1179"/>
      <c r="EPK7" s="1180"/>
      <c r="EPL7" s="1178" t="s">
        <v>8</v>
      </c>
      <c r="EPM7" s="1179"/>
      <c r="EPN7" s="1179"/>
      <c r="EPO7" s="1179"/>
      <c r="EPP7" s="1179" t="s">
        <v>10</v>
      </c>
      <c r="EPQ7" s="1179"/>
      <c r="EPR7" s="1179"/>
      <c r="EPS7" s="1180"/>
      <c r="EPT7" s="1178" t="s">
        <v>8</v>
      </c>
      <c r="EPU7" s="1179"/>
      <c r="EPV7" s="1179"/>
      <c r="EPW7" s="1179"/>
      <c r="EPX7" s="1179" t="s">
        <v>10</v>
      </c>
      <c r="EPY7" s="1179"/>
      <c r="EPZ7" s="1179"/>
      <c r="EQA7" s="1180"/>
      <c r="EQB7" s="1178" t="s">
        <v>8</v>
      </c>
      <c r="EQC7" s="1179"/>
      <c r="EQD7" s="1179"/>
      <c r="EQE7" s="1179"/>
      <c r="EQF7" s="1179" t="s">
        <v>10</v>
      </c>
      <c r="EQG7" s="1179"/>
      <c r="EQH7" s="1179"/>
      <c r="EQI7" s="1180"/>
      <c r="EQJ7" s="1178" t="s">
        <v>8</v>
      </c>
      <c r="EQK7" s="1179"/>
      <c r="EQL7" s="1179"/>
      <c r="EQM7" s="1179"/>
      <c r="EQN7" s="1179" t="s">
        <v>10</v>
      </c>
      <c r="EQO7" s="1179"/>
      <c r="EQP7" s="1179"/>
      <c r="EQQ7" s="1180"/>
      <c r="EQR7" s="1178" t="s">
        <v>8</v>
      </c>
      <c r="EQS7" s="1179"/>
      <c r="EQT7" s="1179"/>
      <c r="EQU7" s="1179"/>
      <c r="EQV7" s="1179" t="s">
        <v>10</v>
      </c>
      <c r="EQW7" s="1179"/>
      <c r="EQX7" s="1179"/>
      <c r="EQY7" s="1180"/>
      <c r="EQZ7" s="1178" t="s">
        <v>8</v>
      </c>
      <c r="ERA7" s="1179"/>
      <c r="ERB7" s="1179"/>
      <c r="ERC7" s="1179"/>
      <c r="ERD7" s="1179" t="s">
        <v>10</v>
      </c>
      <c r="ERE7" s="1179"/>
      <c r="ERF7" s="1179"/>
      <c r="ERG7" s="1180"/>
      <c r="ERH7" s="1178" t="s">
        <v>8</v>
      </c>
      <c r="ERI7" s="1179"/>
      <c r="ERJ7" s="1179"/>
      <c r="ERK7" s="1179"/>
      <c r="ERL7" s="1179" t="s">
        <v>10</v>
      </c>
      <c r="ERM7" s="1179"/>
      <c r="ERN7" s="1179"/>
      <c r="ERO7" s="1180"/>
      <c r="ERP7" s="1178" t="s">
        <v>8</v>
      </c>
      <c r="ERQ7" s="1179"/>
      <c r="ERR7" s="1179"/>
      <c r="ERS7" s="1179"/>
      <c r="ERT7" s="1179" t="s">
        <v>10</v>
      </c>
      <c r="ERU7" s="1179"/>
      <c r="ERV7" s="1179"/>
      <c r="ERW7" s="1180"/>
      <c r="ERX7" s="1178" t="s">
        <v>8</v>
      </c>
      <c r="ERY7" s="1179"/>
      <c r="ERZ7" s="1179"/>
      <c r="ESA7" s="1179"/>
      <c r="ESB7" s="1179" t="s">
        <v>10</v>
      </c>
      <c r="ESC7" s="1179"/>
      <c r="ESD7" s="1179"/>
      <c r="ESE7" s="1180"/>
      <c r="ESF7" s="1178" t="s">
        <v>8</v>
      </c>
      <c r="ESG7" s="1179"/>
      <c r="ESH7" s="1179"/>
      <c r="ESI7" s="1179"/>
      <c r="ESJ7" s="1179" t="s">
        <v>10</v>
      </c>
      <c r="ESK7" s="1179"/>
      <c r="ESL7" s="1179"/>
      <c r="ESM7" s="1180"/>
      <c r="ESN7" s="1178" t="s">
        <v>8</v>
      </c>
      <c r="ESO7" s="1179"/>
      <c r="ESP7" s="1179"/>
      <c r="ESQ7" s="1179"/>
      <c r="ESR7" s="1179" t="s">
        <v>10</v>
      </c>
      <c r="ESS7" s="1179"/>
      <c r="EST7" s="1179"/>
      <c r="ESU7" s="1180"/>
      <c r="ESV7" s="1178" t="s">
        <v>8</v>
      </c>
      <c r="ESW7" s="1179"/>
      <c r="ESX7" s="1179"/>
      <c r="ESY7" s="1179"/>
      <c r="ESZ7" s="1179" t="s">
        <v>10</v>
      </c>
      <c r="ETA7" s="1179"/>
      <c r="ETB7" s="1179"/>
      <c r="ETC7" s="1180"/>
      <c r="ETD7" s="1178" t="s">
        <v>8</v>
      </c>
      <c r="ETE7" s="1179"/>
      <c r="ETF7" s="1179"/>
      <c r="ETG7" s="1179"/>
      <c r="ETH7" s="1179" t="s">
        <v>10</v>
      </c>
      <c r="ETI7" s="1179"/>
      <c r="ETJ7" s="1179"/>
      <c r="ETK7" s="1180"/>
      <c r="ETL7" s="1178" t="s">
        <v>8</v>
      </c>
      <c r="ETM7" s="1179"/>
      <c r="ETN7" s="1179"/>
      <c r="ETO7" s="1179"/>
      <c r="ETP7" s="1179" t="s">
        <v>10</v>
      </c>
      <c r="ETQ7" s="1179"/>
      <c r="ETR7" s="1179"/>
      <c r="ETS7" s="1180"/>
      <c r="ETT7" s="1178" t="s">
        <v>8</v>
      </c>
      <c r="ETU7" s="1179"/>
      <c r="ETV7" s="1179"/>
      <c r="ETW7" s="1179"/>
      <c r="ETX7" s="1179" t="s">
        <v>10</v>
      </c>
      <c r="ETY7" s="1179"/>
      <c r="ETZ7" s="1179"/>
      <c r="EUA7" s="1180"/>
      <c r="EUB7" s="1178" t="s">
        <v>8</v>
      </c>
      <c r="EUC7" s="1179"/>
      <c r="EUD7" s="1179"/>
      <c r="EUE7" s="1179"/>
      <c r="EUF7" s="1179" t="s">
        <v>10</v>
      </c>
      <c r="EUG7" s="1179"/>
      <c r="EUH7" s="1179"/>
      <c r="EUI7" s="1180"/>
      <c r="EUJ7" s="1178" t="s">
        <v>8</v>
      </c>
      <c r="EUK7" s="1179"/>
      <c r="EUL7" s="1179"/>
      <c r="EUM7" s="1179"/>
      <c r="EUN7" s="1179" t="s">
        <v>10</v>
      </c>
      <c r="EUO7" s="1179"/>
      <c r="EUP7" s="1179"/>
      <c r="EUQ7" s="1180"/>
      <c r="EUR7" s="1178" t="s">
        <v>8</v>
      </c>
      <c r="EUS7" s="1179"/>
      <c r="EUT7" s="1179"/>
      <c r="EUU7" s="1179"/>
      <c r="EUV7" s="1179" t="s">
        <v>10</v>
      </c>
      <c r="EUW7" s="1179"/>
      <c r="EUX7" s="1179"/>
      <c r="EUY7" s="1180"/>
      <c r="EUZ7" s="1178" t="s">
        <v>8</v>
      </c>
      <c r="EVA7" s="1179"/>
      <c r="EVB7" s="1179"/>
      <c r="EVC7" s="1179"/>
      <c r="EVD7" s="1179" t="s">
        <v>10</v>
      </c>
      <c r="EVE7" s="1179"/>
      <c r="EVF7" s="1179"/>
      <c r="EVG7" s="1180"/>
      <c r="EVH7" s="1178" t="s">
        <v>8</v>
      </c>
      <c r="EVI7" s="1179"/>
      <c r="EVJ7" s="1179"/>
      <c r="EVK7" s="1179"/>
      <c r="EVL7" s="1179" t="s">
        <v>10</v>
      </c>
      <c r="EVM7" s="1179"/>
      <c r="EVN7" s="1179"/>
      <c r="EVO7" s="1180"/>
      <c r="EVP7" s="1178" t="s">
        <v>8</v>
      </c>
      <c r="EVQ7" s="1179"/>
      <c r="EVR7" s="1179"/>
      <c r="EVS7" s="1179"/>
      <c r="EVT7" s="1179" t="s">
        <v>10</v>
      </c>
      <c r="EVU7" s="1179"/>
      <c r="EVV7" s="1179"/>
      <c r="EVW7" s="1180"/>
      <c r="EVX7" s="1178" t="s">
        <v>8</v>
      </c>
      <c r="EVY7" s="1179"/>
      <c r="EVZ7" s="1179"/>
      <c r="EWA7" s="1179"/>
      <c r="EWB7" s="1179" t="s">
        <v>10</v>
      </c>
      <c r="EWC7" s="1179"/>
      <c r="EWD7" s="1179"/>
      <c r="EWE7" s="1180"/>
      <c r="EWF7" s="1178" t="s">
        <v>8</v>
      </c>
      <c r="EWG7" s="1179"/>
      <c r="EWH7" s="1179"/>
      <c r="EWI7" s="1179"/>
      <c r="EWJ7" s="1179" t="s">
        <v>10</v>
      </c>
      <c r="EWK7" s="1179"/>
      <c r="EWL7" s="1179"/>
      <c r="EWM7" s="1180"/>
      <c r="EWN7" s="1178" t="s">
        <v>8</v>
      </c>
      <c r="EWO7" s="1179"/>
      <c r="EWP7" s="1179"/>
      <c r="EWQ7" s="1179"/>
      <c r="EWR7" s="1179" t="s">
        <v>10</v>
      </c>
      <c r="EWS7" s="1179"/>
      <c r="EWT7" s="1179"/>
      <c r="EWU7" s="1180"/>
      <c r="EWV7" s="1178" t="s">
        <v>8</v>
      </c>
      <c r="EWW7" s="1179"/>
      <c r="EWX7" s="1179"/>
      <c r="EWY7" s="1179"/>
      <c r="EWZ7" s="1179" t="s">
        <v>10</v>
      </c>
      <c r="EXA7" s="1179"/>
      <c r="EXB7" s="1179"/>
      <c r="EXC7" s="1180"/>
      <c r="EXD7" s="1178" t="s">
        <v>8</v>
      </c>
      <c r="EXE7" s="1179"/>
      <c r="EXF7" s="1179"/>
      <c r="EXG7" s="1179"/>
      <c r="EXH7" s="1179" t="s">
        <v>10</v>
      </c>
      <c r="EXI7" s="1179"/>
      <c r="EXJ7" s="1179"/>
      <c r="EXK7" s="1180"/>
      <c r="EXL7" s="1178" t="s">
        <v>8</v>
      </c>
      <c r="EXM7" s="1179"/>
      <c r="EXN7" s="1179"/>
      <c r="EXO7" s="1179"/>
      <c r="EXP7" s="1179" t="s">
        <v>10</v>
      </c>
      <c r="EXQ7" s="1179"/>
      <c r="EXR7" s="1179"/>
      <c r="EXS7" s="1180"/>
      <c r="EXT7" s="1178" t="s">
        <v>8</v>
      </c>
      <c r="EXU7" s="1179"/>
      <c r="EXV7" s="1179"/>
      <c r="EXW7" s="1179"/>
      <c r="EXX7" s="1179" t="s">
        <v>10</v>
      </c>
      <c r="EXY7" s="1179"/>
      <c r="EXZ7" s="1179"/>
      <c r="EYA7" s="1180"/>
      <c r="EYB7" s="1178" t="s">
        <v>8</v>
      </c>
      <c r="EYC7" s="1179"/>
      <c r="EYD7" s="1179"/>
      <c r="EYE7" s="1179"/>
      <c r="EYF7" s="1179" t="s">
        <v>10</v>
      </c>
      <c r="EYG7" s="1179"/>
      <c r="EYH7" s="1179"/>
      <c r="EYI7" s="1180"/>
      <c r="EYJ7" s="1178" t="s">
        <v>8</v>
      </c>
      <c r="EYK7" s="1179"/>
      <c r="EYL7" s="1179"/>
      <c r="EYM7" s="1179"/>
      <c r="EYN7" s="1179" t="s">
        <v>10</v>
      </c>
      <c r="EYO7" s="1179"/>
      <c r="EYP7" s="1179"/>
      <c r="EYQ7" s="1180"/>
      <c r="EYR7" s="1178" t="s">
        <v>8</v>
      </c>
      <c r="EYS7" s="1179"/>
      <c r="EYT7" s="1179"/>
      <c r="EYU7" s="1179"/>
      <c r="EYV7" s="1179" t="s">
        <v>10</v>
      </c>
      <c r="EYW7" s="1179"/>
      <c r="EYX7" s="1179"/>
      <c r="EYY7" s="1180"/>
      <c r="EYZ7" s="1178" t="s">
        <v>8</v>
      </c>
      <c r="EZA7" s="1179"/>
      <c r="EZB7" s="1179"/>
      <c r="EZC7" s="1179"/>
      <c r="EZD7" s="1179" t="s">
        <v>10</v>
      </c>
      <c r="EZE7" s="1179"/>
      <c r="EZF7" s="1179"/>
      <c r="EZG7" s="1180"/>
      <c r="EZH7" s="1178" t="s">
        <v>8</v>
      </c>
      <c r="EZI7" s="1179"/>
      <c r="EZJ7" s="1179"/>
      <c r="EZK7" s="1179"/>
      <c r="EZL7" s="1179" t="s">
        <v>10</v>
      </c>
      <c r="EZM7" s="1179"/>
      <c r="EZN7" s="1179"/>
      <c r="EZO7" s="1180"/>
      <c r="EZP7" s="1178" t="s">
        <v>8</v>
      </c>
      <c r="EZQ7" s="1179"/>
      <c r="EZR7" s="1179"/>
      <c r="EZS7" s="1179"/>
      <c r="EZT7" s="1179" t="s">
        <v>10</v>
      </c>
      <c r="EZU7" s="1179"/>
      <c r="EZV7" s="1179"/>
      <c r="EZW7" s="1180"/>
      <c r="EZX7" s="1178" t="s">
        <v>8</v>
      </c>
      <c r="EZY7" s="1179"/>
      <c r="EZZ7" s="1179"/>
      <c r="FAA7" s="1179"/>
      <c r="FAB7" s="1179" t="s">
        <v>10</v>
      </c>
      <c r="FAC7" s="1179"/>
      <c r="FAD7" s="1179"/>
      <c r="FAE7" s="1180"/>
      <c r="FAF7" s="1178" t="s">
        <v>8</v>
      </c>
      <c r="FAG7" s="1179"/>
      <c r="FAH7" s="1179"/>
      <c r="FAI7" s="1179"/>
      <c r="FAJ7" s="1179" t="s">
        <v>10</v>
      </c>
      <c r="FAK7" s="1179"/>
      <c r="FAL7" s="1179"/>
      <c r="FAM7" s="1180"/>
      <c r="FAN7" s="1178" t="s">
        <v>8</v>
      </c>
      <c r="FAO7" s="1179"/>
      <c r="FAP7" s="1179"/>
      <c r="FAQ7" s="1179"/>
      <c r="FAR7" s="1179" t="s">
        <v>10</v>
      </c>
      <c r="FAS7" s="1179"/>
      <c r="FAT7" s="1179"/>
      <c r="FAU7" s="1180"/>
      <c r="FAV7" s="1178" t="s">
        <v>8</v>
      </c>
      <c r="FAW7" s="1179"/>
      <c r="FAX7" s="1179"/>
      <c r="FAY7" s="1179"/>
      <c r="FAZ7" s="1179" t="s">
        <v>10</v>
      </c>
      <c r="FBA7" s="1179"/>
      <c r="FBB7" s="1179"/>
      <c r="FBC7" s="1180"/>
      <c r="FBD7" s="1178" t="s">
        <v>8</v>
      </c>
      <c r="FBE7" s="1179"/>
      <c r="FBF7" s="1179"/>
      <c r="FBG7" s="1179"/>
      <c r="FBH7" s="1179" t="s">
        <v>10</v>
      </c>
      <c r="FBI7" s="1179"/>
      <c r="FBJ7" s="1179"/>
      <c r="FBK7" s="1180"/>
      <c r="FBL7" s="1178" t="s">
        <v>8</v>
      </c>
      <c r="FBM7" s="1179"/>
      <c r="FBN7" s="1179"/>
      <c r="FBO7" s="1179"/>
      <c r="FBP7" s="1179" t="s">
        <v>10</v>
      </c>
      <c r="FBQ7" s="1179"/>
      <c r="FBR7" s="1179"/>
      <c r="FBS7" s="1180"/>
      <c r="FBT7" s="1178" t="s">
        <v>8</v>
      </c>
      <c r="FBU7" s="1179"/>
      <c r="FBV7" s="1179"/>
      <c r="FBW7" s="1179"/>
      <c r="FBX7" s="1179" t="s">
        <v>10</v>
      </c>
      <c r="FBY7" s="1179"/>
      <c r="FBZ7" s="1179"/>
      <c r="FCA7" s="1180"/>
      <c r="FCB7" s="1178" t="s">
        <v>8</v>
      </c>
      <c r="FCC7" s="1179"/>
      <c r="FCD7" s="1179"/>
      <c r="FCE7" s="1179"/>
      <c r="FCF7" s="1179" t="s">
        <v>10</v>
      </c>
      <c r="FCG7" s="1179"/>
      <c r="FCH7" s="1179"/>
      <c r="FCI7" s="1180"/>
      <c r="FCJ7" s="1178" t="s">
        <v>8</v>
      </c>
      <c r="FCK7" s="1179"/>
      <c r="FCL7" s="1179"/>
      <c r="FCM7" s="1179"/>
      <c r="FCN7" s="1179" t="s">
        <v>10</v>
      </c>
      <c r="FCO7" s="1179"/>
      <c r="FCP7" s="1179"/>
      <c r="FCQ7" s="1180"/>
      <c r="FCR7" s="1178" t="s">
        <v>8</v>
      </c>
      <c r="FCS7" s="1179"/>
      <c r="FCT7" s="1179"/>
      <c r="FCU7" s="1179"/>
      <c r="FCV7" s="1179" t="s">
        <v>10</v>
      </c>
      <c r="FCW7" s="1179"/>
      <c r="FCX7" s="1179"/>
      <c r="FCY7" s="1180"/>
      <c r="FCZ7" s="1178" t="s">
        <v>8</v>
      </c>
      <c r="FDA7" s="1179"/>
      <c r="FDB7" s="1179"/>
      <c r="FDC7" s="1179"/>
      <c r="FDD7" s="1179" t="s">
        <v>10</v>
      </c>
      <c r="FDE7" s="1179"/>
      <c r="FDF7" s="1179"/>
      <c r="FDG7" s="1180"/>
      <c r="FDH7" s="1178" t="s">
        <v>8</v>
      </c>
      <c r="FDI7" s="1179"/>
      <c r="FDJ7" s="1179"/>
      <c r="FDK7" s="1179"/>
      <c r="FDL7" s="1179" t="s">
        <v>10</v>
      </c>
      <c r="FDM7" s="1179"/>
      <c r="FDN7" s="1179"/>
      <c r="FDO7" s="1180"/>
      <c r="FDP7" s="1178" t="s">
        <v>8</v>
      </c>
      <c r="FDQ7" s="1179"/>
      <c r="FDR7" s="1179"/>
      <c r="FDS7" s="1179"/>
      <c r="FDT7" s="1179" t="s">
        <v>10</v>
      </c>
      <c r="FDU7" s="1179"/>
      <c r="FDV7" s="1179"/>
      <c r="FDW7" s="1180"/>
      <c r="FDX7" s="1178" t="s">
        <v>8</v>
      </c>
      <c r="FDY7" s="1179"/>
      <c r="FDZ7" s="1179"/>
      <c r="FEA7" s="1179"/>
      <c r="FEB7" s="1179" t="s">
        <v>10</v>
      </c>
      <c r="FEC7" s="1179"/>
      <c r="FED7" s="1179"/>
      <c r="FEE7" s="1180"/>
      <c r="FEF7" s="1178" t="s">
        <v>8</v>
      </c>
      <c r="FEG7" s="1179"/>
      <c r="FEH7" s="1179"/>
      <c r="FEI7" s="1179"/>
      <c r="FEJ7" s="1179" t="s">
        <v>10</v>
      </c>
      <c r="FEK7" s="1179"/>
      <c r="FEL7" s="1179"/>
      <c r="FEM7" s="1180"/>
      <c r="FEN7" s="1178" t="s">
        <v>8</v>
      </c>
      <c r="FEO7" s="1179"/>
      <c r="FEP7" s="1179"/>
      <c r="FEQ7" s="1179"/>
      <c r="FER7" s="1179" t="s">
        <v>10</v>
      </c>
      <c r="FES7" s="1179"/>
      <c r="FET7" s="1179"/>
      <c r="FEU7" s="1180"/>
      <c r="FEV7" s="1178" t="s">
        <v>8</v>
      </c>
      <c r="FEW7" s="1179"/>
      <c r="FEX7" s="1179"/>
      <c r="FEY7" s="1179"/>
      <c r="FEZ7" s="1179" t="s">
        <v>10</v>
      </c>
      <c r="FFA7" s="1179"/>
      <c r="FFB7" s="1179"/>
      <c r="FFC7" s="1180"/>
      <c r="FFD7" s="1178" t="s">
        <v>8</v>
      </c>
      <c r="FFE7" s="1179"/>
      <c r="FFF7" s="1179"/>
      <c r="FFG7" s="1179"/>
      <c r="FFH7" s="1179" t="s">
        <v>10</v>
      </c>
      <c r="FFI7" s="1179"/>
      <c r="FFJ7" s="1179"/>
      <c r="FFK7" s="1180"/>
      <c r="FFL7" s="1178" t="s">
        <v>8</v>
      </c>
      <c r="FFM7" s="1179"/>
      <c r="FFN7" s="1179"/>
      <c r="FFO7" s="1179"/>
      <c r="FFP7" s="1179" t="s">
        <v>10</v>
      </c>
      <c r="FFQ7" s="1179"/>
      <c r="FFR7" s="1179"/>
      <c r="FFS7" s="1180"/>
      <c r="FFT7" s="1178" t="s">
        <v>8</v>
      </c>
      <c r="FFU7" s="1179"/>
      <c r="FFV7" s="1179"/>
      <c r="FFW7" s="1179"/>
      <c r="FFX7" s="1179" t="s">
        <v>10</v>
      </c>
      <c r="FFY7" s="1179"/>
      <c r="FFZ7" s="1179"/>
      <c r="FGA7" s="1180"/>
      <c r="FGB7" s="1178" t="s">
        <v>8</v>
      </c>
      <c r="FGC7" s="1179"/>
      <c r="FGD7" s="1179"/>
      <c r="FGE7" s="1179"/>
      <c r="FGF7" s="1179" t="s">
        <v>10</v>
      </c>
      <c r="FGG7" s="1179"/>
      <c r="FGH7" s="1179"/>
      <c r="FGI7" s="1180"/>
      <c r="FGJ7" s="1178" t="s">
        <v>8</v>
      </c>
      <c r="FGK7" s="1179"/>
      <c r="FGL7" s="1179"/>
      <c r="FGM7" s="1179"/>
      <c r="FGN7" s="1179" t="s">
        <v>10</v>
      </c>
      <c r="FGO7" s="1179"/>
      <c r="FGP7" s="1179"/>
      <c r="FGQ7" s="1180"/>
      <c r="FGR7" s="1178" t="s">
        <v>8</v>
      </c>
      <c r="FGS7" s="1179"/>
      <c r="FGT7" s="1179"/>
      <c r="FGU7" s="1179"/>
      <c r="FGV7" s="1179" t="s">
        <v>10</v>
      </c>
      <c r="FGW7" s="1179"/>
      <c r="FGX7" s="1179"/>
      <c r="FGY7" s="1180"/>
      <c r="FGZ7" s="1178" t="s">
        <v>8</v>
      </c>
      <c r="FHA7" s="1179"/>
      <c r="FHB7" s="1179"/>
      <c r="FHC7" s="1179"/>
      <c r="FHD7" s="1179" t="s">
        <v>10</v>
      </c>
      <c r="FHE7" s="1179"/>
      <c r="FHF7" s="1179"/>
      <c r="FHG7" s="1180"/>
      <c r="FHH7" s="1178" t="s">
        <v>8</v>
      </c>
      <c r="FHI7" s="1179"/>
      <c r="FHJ7" s="1179"/>
      <c r="FHK7" s="1179"/>
      <c r="FHL7" s="1179" t="s">
        <v>10</v>
      </c>
      <c r="FHM7" s="1179"/>
      <c r="FHN7" s="1179"/>
      <c r="FHO7" s="1180"/>
      <c r="FHP7" s="1178" t="s">
        <v>8</v>
      </c>
      <c r="FHQ7" s="1179"/>
      <c r="FHR7" s="1179"/>
      <c r="FHS7" s="1179"/>
      <c r="FHT7" s="1179" t="s">
        <v>10</v>
      </c>
      <c r="FHU7" s="1179"/>
      <c r="FHV7" s="1179"/>
      <c r="FHW7" s="1180"/>
      <c r="FHX7" s="1178" t="s">
        <v>8</v>
      </c>
      <c r="FHY7" s="1179"/>
      <c r="FHZ7" s="1179"/>
      <c r="FIA7" s="1179"/>
      <c r="FIB7" s="1179" t="s">
        <v>10</v>
      </c>
      <c r="FIC7" s="1179"/>
      <c r="FID7" s="1179"/>
      <c r="FIE7" s="1180"/>
      <c r="FIF7" s="1178" t="s">
        <v>8</v>
      </c>
      <c r="FIG7" s="1179"/>
      <c r="FIH7" s="1179"/>
      <c r="FII7" s="1179"/>
      <c r="FIJ7" s="1179" t="s">
        <v>10</v>
      </c>
      <c r="FIK7" s="1179"/>
      <c r="FIL7" s="1179"/>
      <c r="FIM7" s="1180"/>
      <c r="FIN7" s="1178" t="s">
        <v>8</v>
      </c>
      <c r="FIO7" s="1179"/>
      <c r="FIP7" s="1179"/>
      <c r="FIQ7" s="1179"/>
      <c r="FIR7" s="1179" t="s">
        <v>10</v>
      </c>
      <c r="FIS7" s="1179"/>
      <c r="FIT7" s="1179"/>
      <c r="FIU7" s="1180"/>
      <c r="FIV7" s="1178" t="s">
        <v>8</v>
      </c>
      <c r="FIW7" s="1179"/>
      <c r="FIX7" s="1179"/>
      <c r="FIY7" s="1179"/>
      <c r="FIZ7" s="1179" t="s">
        <v>10</v>
      </c>
      <c r="FJA7" s="1179"/>
      <c r="FJB7" s="1179"/>
      <c r="FJC7" s="1180"/>
      <c r="FJD7" s="1178" t="s">
        <v>8</v>
      </c>
      <c r="FJE7" s="1179"/>
      <c r="FJF7" s="1179"/>
      <c r="FJG7" s="1179"/>
      <c r="FJH7" s="1179" t="s">
        <v>10</v>
      </c>
      <c r="FJI7" s="1179"/>
      <c r="FJJ7" s="1179"/>
      <c r="FJK7" s="1180"/>
      <c r="FJL7" s="1178" t="s">
        <v>8</v>
      </c>
      <c r="FJM7" s="1179"/>
      <c r="FJN7" s="1179"/>
      <c r="FJO7" s="1179"/>
      <c r="FJP7" s="1179" t="s">
        <v>10</v>
      </c>
      <c r="FJQ7" s="1179"/>
      <c r="FJR7" s="1179"/>
      <c r="FJS7" s="1180"/>
      <c r="FJT7" s="1178" t="s">
        <v>8</v>
      </c>
      <c r="FJU7" s="1179"/>
      <c r="FJV7" s="1179"/>
      <c r="FJW7" s="1179"/>
      <c r="FJX7" s="1179" t="s">
        <v>10</v>
      </c>
      <c r="FJY7" s="1179"/>
      <c r="FJZ7" s="1179"/>
      <c r="FKA7" s="1180"/>
      <c r="FKB7" s="1178" t="s">
        <v>8</v>
      </c>
      <c r="FKC7" s="1179"/>
      <c r="FKD7" s="1179"/>
      <c r="FKE7" s="1179"/>
      <c r="FKF7" s="1179" t="s">
        <v>10</v>
      </c>
      <c r="FKG7" s="1179"/>
      <c r="FKH7" s="1179"/>
      <c r="FKI7" s="1180"/>
      <c r="FKJ7" s="1178" t="s">
        <v>8</v>
      </c>
      <c r="FKK7" s="1179"/>
      <c r="FKL7" s="1179"/>
      <c r="FKM7" s="1179"/>
      <c r="FKN7" s="1179" t="s">
        <v>10</v>
      </c>
      <c r="FKO7" s="1179"/>
      <c r="FKP7" s="1179"/>
      <c r="FKQ7" s="1180"/>
      <c r="FKR7" s="1178" t="s">
        <v>8</v>
      </c>
      <c r="FKS7" s="1179"/>
      <c r="FKT7" s="1179"/>
      <c r="FKU7" s="1179"/>
      <c r="FKV7" s="1179" t="s">
        <v>10</v>
      </c>
      <c r="FKW7" s="1179"/>
      <c r="FKX7" s="1179"/>
      <c r="FKY7" s="1180"/>
      <c r="FKZ7" s="1178" t="s">
        <v>8</v>
      </c>
      <c r="FLA7" s="1179"/>
      <c r="FLB7" s="1179"/>
      <c r="FLC7" s="1179"/>
      <c r="FLD7" s="1179" t="s">
        <v>10</v>
      </c>
      <c r="FLE7" s="1179"/>
      <c r="FLF7" s="1179"/>
      <c r="FLG7" s="1180"/>
      <c r="FLH7" s="1178" t="s">
        <v>8</v>
      </c>
      <c r="FLI7" s="1179"/>
      <c r="FLJ7" s="1179"/>
      <c r="FLK7" s="1179"/>
      <c r="FLL7" s="1179" t="s">
        <v>10</v>
      </c>
      <c r="FLM7" s="1179"/>
      <c r="FLN7" s="1179"/>
      <c r="FLO7" s="1180"/>
      <c r="FLP7" s="1178" t="s">
        <v>8</v>
      </c>
      <c r="FLQ7" s="1179"/>
      <c r="FLR7" s="1179"/>
      <c r="FLS7" s="1179"/>
      <c r="FLT7" s="1179" t="s">
        <v>10</v>
      </c>
      <c r="FLU7" s="1179"/>
      <c r="FLV7" s="1179"/>
      <c r="FLW7" s="1180"/>
      <c r="FLX7" s="1178" t="s">
        <v>8</v>
      </c>
      <c r="FLY7" s="1179"/>
      <c r="FLZ7" s="1179"/>
      <c r="FMA7" s="1179"/>
      <c r="FMB7" s="1179" t="s">
        <v>10</v>
      </c>
      <c r="FMC7" s="1179"/>
      <c r="FMD7" s="1179"/>
      <c r="FME7" s="1180"/>
      <c r="FMF7" s="1178" t="s">
        <v>8</v>
      </c>
      <c r="FMG7" s="1179"/>
      <c r="FMH7" s="1179"/>
      <c r="FMI7" s="1179"/>
      <c r="FMJ7" s="1179" t="s">
        <v>10</v>
      </c>
      <c r="FMK7" s="1179"/>
      <c r="FML7" s="1179"/>
      <c r="FMM7" s="1180"/>
      <c r="FMN7" s="1178" t="s">
        <v>8</v>
      </c>
      <c r="FMO7" s="1179"/>
      <c r="FMP7" s="1179"/>
      <c r="FMQ7" s="1179"/>
      <c r="FMR7" s="1179" t="s">
        <v>10</v>
      </c>
      <c r="FMS7" s="1179"/>
      <c r="FMT7" s="1179"/>
      <c r="FMU7" s="1180"/>
      <c r="FMV7" s="1178" t="s">
        <v>8</v>
      </c>
      <c r="FMW7" s="1179"/>
      <c r="FMX7" s="1179"/>
      <c r="FMY7" s="1179"/>
      <c r="FMZ7" s="1179" t="s">
        <v>10</v>
      </c>
      <c r="FNA7" s="1179"/>
      <c r="FNB7" s="1179"/>
      <c r="FNC7" s="1180"/>
      <c r="FND7" s="1178" t="s">
        <v>8</v>
      </c>
      <c r="FNE7" s="1179"/>
      <c r="FNF7" s="1179"/>
      <c r="FNG7" s="1179"/>
      <c r="FNH7" s="1179" t="s">
        <v>10</v>
      </c>
      <c r="FNI7" s="1179"/>
      <c r="FNJ7" s="1179"/>
      <c r="FNK7" s="1180"/>
      <c r="FNL7" s="1178" t="s">
        <v>8</v>
      </c>
      <c r="FNM7" s="1179"/>
      <c r="FNN7" s="1179"/>
      <c r="FNO7" s="1179"/>
      <c r="FNP7" s="1179" t="s">
        <v>10</v>
      </c>
      <c r="FNQ7" s="1179"/>
      <c r="FNR7" s="1179"/>
      <c r="FNS7" s="1180"/>
      <c r="FNT7" s="1178" t="s">
        <v>8</v>
      </c>
      <c r="FNU7" s="1179"/>
      <c r="FNV7" s="1179"/>
      <c r="FNW7" s="1179"/>
      <c r="FNX7" s="1179" t="s">
        <v>10</v>
      </c>
      <c r="FNY7" s="1179"/>
      <c r="FNZ7" s="1179"/>
      <c r="FOA7" s="1180"/>
      <c r="FOB7" s="1178" t="s">
        <v>8</v>
      </c>
      <c r="FOC7" s="1179"/>
      <c r="FOD7" s="1179"/>
      <c r="FOE7" s="1179"/>
      <c r="FOF7" s="1179" t="s">
        <v>10</v>
      </c>
      <c r="FOG7" s="1179"/>
      <c r="FOH7" s="1179"/>
      <c r="FOI7" s="1180"/>
      <c r="FOJ7" s="1178" t="s">
        <v>8</v>
      </c>
      <c r="FOK7" s="1179"/>
      <c r="FOL7" s="1179"/>
      <c r="FOM7" s="1179"/>
      <c r="FON7" s="1179" t="s">
        <v>10</v>
      </c>
      <c r="FOO7" s="1179"/>
      <c r="FOP7" s="1179"/>
      <c r="FOQ7" s="1180"/>
      <c r="FOR7" s="1178" t="s">
        <v>8</v>
      </c>
      <c r="FOS7" s="1179"/>
      <c r="FOT7" s="1179"/>
      <c r="FOU7" s="1179"/>
      <c r="FOV7" s="1179" t="s">
        <v>10</v>
      </c>
      <c r="FOW7" s="1179"/>
      <c r="FOX7" s="1179"/>
      <c r="FOY7" s="1180"/>
      <c r="FOZ7" s="1178" t="s">
        <v>8</v>
      </c>
      <c r="FPA7" s="1179"/>
      <c r="FPB7" s="1179"/>
      <c r="FPC7" s="1179"/>
      <c r="FPD7" s="1179" t="s">
        <v>10</v>
      </c>
      <c r="FPE7" s="1179"/>
      <c r="FPF7" s="1179"/>
      <c r="FPG7" s="1180"/>
      <c r="FPH7" s="1178" t="s">
        <v>8</v>
      </c>
      <c r="FPI7" s="1179"/>
      <c r="FPJ7" s="1179"/>
      <c r="FPK7" s="1179"/>
      <c r="FPL7" s="1179" t="s">
        <v>10</v>
      </c>
      <c r="FPM7" s="1179"/>
      <c r="FPN7" s="1179"/>
      <c r="FPO7" s="1180"/>
      <c r="FPP7" s="1178" t="s">
        <v>8</v>
      </c>
      <c r="FPQ7" s="1179"/>
      <c r="FPR7" s="1179"/>
      <c r="FPS7" s="1179"/>
      <c r="FPT7" s="1179" t="s">
        <v>10</v>
      </c>
      <c r="FPU7" s="1179"/>
      <c r="FPV7" s="1179"/>
      <c r="FPW7" s="1180"/>
      <c r="FPX7" s="1178" t="s">
        <v>8</v>
      </c>
      <c r="FPY7" s="1179"/>
      <c r="FPZ7" s="1179"/>
      <c r="FQA7" s="1179"/>
      <c r="FQB7" s="1179" t="s">
        <v>10</v>
      </c>
      <c r="FQC7" s="1179"/>
      <c r="FQD7" s="1179"/>
      <c r="FQE7" s="1180"/>
      <c r="FQF7" s="1178" t="s">
        <v>8</v>
      </c>
      <c r="FQG7" s="1179"/>
      <c r="FQH7" s="1179"/>
      <c r="FQI7" s="1179"/>
      <c r="FQJ7" s="1179" t="s">
        <v>10</v>
      </c>
      <c r="FQK7" s="1179"/>
      <c r="FQL7" s="1179"/>
      <c r="FQM7" s="1180"/>
      <c r="FQN7" s="1178" t="s">
        <v>8</v>
      </c>
      <c r="FQO7" s="1179"/>
      <c r="FQP7" s="1179"/>
      <c r="FQQ7" s="1179"/>
      <c r="FQR7" s="1179" t="s">
        <v>10</v>
      </c>
      <c r="FQS7" s="1179"/>
      <c r="FQT7" s="1179"/>
      <c r="FQU7" s="1180"/>
      <c r="FQV7" s="1178" t="s">
        <v>8</v>
      </c>
      <c r="FQW7" s="1179"/>
      <c r="FQX7" s="1179"/>
      <c r="FQY7" s="1179"/>
      <c r="FQZ7" s="1179" t="s">
        <v>10</v>
      </c>
      <c r="FRA7" s="1179"/>
      <c r="FRB7" s="1179"/>
      <c r="FRC7" s="1180"/>
      <c r="FRD7" s="1178" t="s">
        <v>8</v>
      </c>
      <c r="FRE7" s="1179"/>
      <c r="FRF7" s="1179"/>
      <c r="FRG7" s="1179"/>
      <c r="FRH7" s="1179" t="s">
        <v>10</v>
      </c>
      <c r="FRI7" s="1179"/>
      <c r="FRJ7" s="1179"/>
      <c r="FRK7" s="1180"/>
      <c r="FRL7" s="1178" t="s">
        <v>8</v>
      </c>
      <c r="FRM7" s="1179"/>
      <c r="FRN7" s="1179"/>
      <c r="FRO7" s="1179"/>
      <c r="FRP7" s="1179" t="s">
        <v>10</v>
      </c>
      <c r="FRQ7" s="1179"/>
      <c r="FRR7" s="1179"/>
      <c r="FRS7" s="1180"/>
      <c r="FRT7" s="1178" t="s">
        <v>8</v>
      </c>
      <c r="FRU7" s="1179"/>
      <c r="FRV7" s="1179"/>
      <c r="FRW7" s="1179"/>
      <c r="FRX7" s="1179" t="s">
        <v>10</v>
      </c>
      <c r="FRY7" s="1179"/>
      <c r="FRZ7" s="1179"/>
      <c r="FSA7" s="1180"/>
      <c r="FSB7" s="1178" t="s">
        <v>8</v>
      </c>
      <c r="FSC7" s="1179"/>
      <c r="FSD7" s="1179"/>
      <c r="FSE7" s="1179"/>
      <c r="FSF7" s="1179" t="s">
        <v>10</v>
      </c>
      <c r="FSG7" s="1179"/>
      <c r="FSH7" s="1179"/>
      <c r="FSI7" s="1180"/>
      <c r="FSJ7" s="1178" t="s">
        <v>8</v>
      </c>
      <c r="FSK7" s="1179"/>
      <c r="FSL7" s="1179"/>
      <c r="FSM7" s="1179"/>
      <c r="FSN7" s="1179" t="s">
        <v>10</v>
      </c>
      <c r="FSO7" s="1179"/>
      <c r="FSP7" s="1179"/>
      <c r="FSQ7" s="1180"/>
      <c r="FSR7" s="1178" t="s">
        <v>8</v>
      </c>
      <c r="FSS7" s="1179"/>
      <c r="FST7" s="1179"/>
      <c r="FSU7" s="1179"/>
      <c r="FSV7" s="1179" t="s">
        <v>10</v>
      </c>
      <c r="FSW7" s="1179"/>
      <c r="FSX7" s="1179"/>
      <c r="FSY7" s="1180"/>
      <c r="FSZ7" s="1178" t="s">
        <v>8</v>
      </c>
      <c r="FTA7" s="1179"/>
      <c r="FTB7" s="1179"/>
      <c r="FTC7" s="1179"/>
      <c r="FTD7" s="1179" t="s">
        <v>10</v>
      </c>
      <c r="FTE7" s="1179"/>
      <c r="FTF7" s="1179"/>
      <c r="FTG7" s="1180"/>
      <c r="FTH7" s="1178" t="s">
        <v>8</v>
      </c>
      <c r="FTI7" s="1179"/>
      <c r="FTJ7" s="1179"/>
      <c r="FTK7" s="1179"/>
      <c r="FTL7" s="1179" t="s">
        <v>10</v>
      </c>
      <c r="FTM7" s="1179"/>
      <c r="FTN7" s="1179"/>
      <c r="FTO7" s="1180"/>
      <c r="FTP7" s="1178" t="s">
        <v>8</v>
      </c>
      <c r="FTQ7" s="1179"/>
      <c r="FTR7" s="1179"/>
      <c r="FTS7" s="1179"/>
      <c r="FTT7" s="1179" t="s">
        <v>10</v>
      </c>
      <c r="FTU7" s="1179"/>
      <c r="FTV7" s="1179"/>
      <c r="FTW7" s="1180"/>
      <c r="FTX7" s="1178" t="s">
        <v>8</v>
      </c>
      <c r="FTY7" s="1179"/>
      <c r="FTZ7" s="1179"/>
      <c r="FUA7" s="1179"/>
      <c r="FUB7" s="1179" t="s">
        <v>10</v>
      </c>
      <c r="FUC7" s="1179"/>
      <c r="FUD7" s="1179"/>
      <c r="FUE7" s="1180"/>
      <c r="FUF7" s="1178" t="s">
        <v>8</v>
      </c>
      <c r="FUG7" s="1179"/>
      <c r="FUH7" s="1179"/>
      <c r="FUI7" s="1179"/>
      <c r="FUJ7" s="1179" t="s">
        <v>10</v>
      </c>
      <c r="FUK7" s="1179"/>
      <c r="FUL7" s="1179"/>
      <c r="FUM7" s="1180"/>
      <c r="FUN7" s="1178" t="s">
        <v>8</v>
      </c>
      <c r="FUO7" s="1179"/>
      <c r="FUP7" s="1179"/>
      <c r="FUQ7" s="1179"/>
      <c r="FUR7" s="1179" t="s">
        <v>10</v>
      </c>
      <c r="FUS7" s="1179"/>
      <c r="FUT7" s="1179"/>
      <c r="FUU7" s="1180"/>
      <c r="FUV7" s="1178" t="s">
        <v>8</v>
      </c>
      <c r="FUW7" s="1179"/>
      <c r="FUX7" s="1179"/>
      <c r="FUY7" s="1179"/>
      <c r="FUZ7" s="1179" t="s">
        <v>10</v>
      </c>
      <c r="FVA7" s="1179"/>
      <c r="FVB7" s="1179"/>
      <c r="FVC7" s="1180"/>
      <c r="FVD7" s="1178" t="s">
        <v>8</v>
      </c>
      <c r="FVE7" s="1179"/>
      <c r="FVF7" s="1179"/>
      <c r="FVG7" s="1179"/>
      <c r="FVH7" s="1179" t="s">
        <v>10</v>
      </c>
      <c r="FVI7" s="1179"/>
      <c r="FVJ7" s="1179"/>
      <c r="FVK7" s="1180"/>
      <c r="FVL7" s="1178" t="s">
        <v>8</v>
      </c>
      <c r="FVM7" s="1179"/>
      <c r="FVN7" s="1179"/>
      <c r="FVO7" s="1179"/>
      <c r="FVP7" s="1179" t="s">
        <v>10</v>
      </c>
      <c r="FVQ7" s="1179"/>
      <c r="FVR7" s="1179"/>
      <c r="FVS7" s="1180"/>
      <c r="FVT7" s="1178" t="s">
        <v>8</v>
      </c>
      <c r="FVU7" s="1179"/>
      <c r="FVV7" s="1179"/>
      <c r="FVW7" s="1179"/>
      <c r="FVX7" s="1179" t="s">
        <v>10</v>
      </c>
      <c r="FVY7" s="1179"/>
      <c r="FVZ7" s="1179"/>
      <c r="FWA7" s="1180"/>
      <c r="FWB7" s="1178" t="s">
        <v>8</v>
      </c>
      <c r="FWC7" s="1179"/>
      <c r="FWD7" s="1179"/>
      <c r="FWE7" s="1179"/>
      <c r="FWF7" s="1179" t="s">
        <v>10</v>
      </c>
      <c r="FWG7" s="1179"/>
      <c r="FWH7" s="1179"/>
      <c r="FWI7" s="1180"/>
      <c r="FWJ7" s="1178" t="s">
        <v>8</v>
      </c>
      <c r="FWK7" s="1179"/>
      <c r="FWL7" s="1179"/>
      <c r="FWM7" s="1179"/>
      <c r="FWN7" s="1179" t="s">
        <v>10</v>
      </c>
      <c r="FWO7" s="1179"/>
      <c r="FWP7" s="1179"/>
      <c r="FWQ7" s="1180"/>
      <c r="FWR7" s="1178" t="s">
        <v>8</v>
      </c>
      <c r="FWS7" s="1179"/>
      <c r="FWT7" s="1179"/>
      <c r="FWU7" s="1179"/>
      <c r="FWV7" s="1179" t="s">
        <v>10</v>
      </c>
      <c r="FWW7" s="1179"/>
      <c r="FWX7" s="1179"/>
      <c r="FWY7" s="1180"/>
      <c r="FWZ7" s="1178" t="s">
        <v>8</v>
      </c>
      <c r="FXA7" s="1179"/>
      <c r="FXB7" s="1179"/>
      <c r="FXC7" s="1179"/>
      <c r="FXD7" s="1179" t="s">
        <v>10</v>
      </c>
      <c r="FXE7" s="1179"/>
      <c r="FXF7" s="1179"/>
      <c r="FXG7" s="1180"/>
      <c r="FXH7" s="1178" t="s">
        <v>8</v>
      </c>
      <c r="FXI7" s="1179"/>
      <c r="FXJ7" s="1179"/>
      <c r="FXK7" s="1179"/>
      <c r="FXL7" s="1179" t="s">
        <v>10</v>
      </c>
      <c r="FXM7" s="1179"/>
      <c r="FXN7" s="1179"/>
      <c r="FXO7" s="1180"/>
      <c r="FXP7" s="1178" t="s">
        <v>8</v>
      </c>
      <c r="FXQ7" s="1179"/>
      <c r="FXR7" s="1179"/>
      <c r="FXS7" s="1179"/>
      <c r="FXT7" s="1179" t="s">
        <v>10</v>
      </c>
      <c r="FXU7" s="1179"/>
      <c r="FXV7" s="1179"/>
      <c r="FXW7" s="1180"/>
      <c r="FXX7" s="1178" t="s">
        <v>8</v>
      </c>
      <c r="FXY7" s="1179"/>
      <c r="FXZ7" s="1179"/>
      <c r="FYA7" s="1179"/>
      <c r="FYB7" s="1179" t="s">
        <v>10</v>
      </c>
      <c r="FYC7" s="1179"/>
      <c r="FYD7" s="1179"/>
      <c r="FYE7" s="1180"/>
      <c r="FYF7" s="1178" t="s">
        <v>8</v>
      </c>
      <c r="FYG7" s="1179"/>
      <c r="FYH7" s="1179"/>
      <c r="FYI7" s="1179"/>
      <c r="FYJ7" s="1179" t="s">
        <v>10</v>
      </c>
      <c r="FYK7" s="1179"/>
      <c r="FYL7" s="1179"/>
      <c r="FYM7" s="1180"/>
      <c r="FYN7" s="1178" t="s">
        <v>8</v>
      </c>
      <c r="FYO7" s="1179"/>
      <c r="FYP7" s="1179"/>
      <c r="FYQ7" s="1179"/>
      <c r="FYR7" s="1179" t="s">
        <v>10</v>
      </c>
      <c r="FYS7" s="1179"/>
      <c r="FYT7" s="1179"/>
      <c r="FYU7" s="1180"/>
      <c r="FYV7" s="1178" t="s">
        <v>8</v>
      </c>
      <c r="FYW7" s="1179"/>
      <c r="FYX7" s="1179"/>
      <c r="FYY7" s="1179"/>
      <c r="FYZ7" s="1179" t="s">
        <v>10</v>
      </c>
      <c r="FZA7" s="1179"/>
      <c r="FZB7" s="1179"/>
      <c r="FZC7" s="1180"/>
      <c r="FZD7" s="1178" t="s">
        <v>8</v>
      </c>
      <c r="FZE7" s="1179"/>
      <c r="FZF7" s="1179"/>
      <c r="FZG7" s="1179"/>
      <c r="FZH7" s="1179" t="s">
        <v>10</v>
      </c>
      <c r="FZI7" s="1179"/>
      <c r="FZJ7" s="1179"/>
      <c r="FZK7" s="1180"/>
      <c r="FZL7" s="1178" t="s">
        <v>8</v>
      </c>
      <c r="FZM7" s="1179"/>
      <c r="FZN7" s="1179"/>
      <c r="FZO7" s="1179"/>
      <c r="FZP7" s="1179" t="s">
        <v>10</v>
      </c>
      <c r="FZQ7" s="1179"/>
      <c r="FZR7" s="1179"/>
      <c r="FZS7" s="1180"/>
      <c r="FZT7" s="1178" t="s">
        <v>8</v>
      </c>
      <c r="FZU7" s="1179"/>
      <c r="FZV7" s="1179"/>
      <c r="FZW7" s="1179"/>
      <c r="FZX7" s="1179" t="s">
        <v>10</v>
      </c>
      <c r="FZY7" s="1179"/>
      <c r="FZZ7" s="1179"/>
      <c r="GAA7" s="1180"/>
      <c r="GAB7" s="1178" t="s">
        <v>8</v>
      </c>
      <c r="GAC7" s="1179"/>
      <c r="GAD7" s="1179"/>
      <c r="GAE7" s="1179"/>
      <c r="GAF7" s="1179" t="s">
        <v>10</v>
      </c>
      <c r="GAG7" s="1179"/>
      <c r="GAH7" s="1179"/>
      <c r="GAI7" s="1180"/>
      <c r="GAJ7" s="1178" t="s">
        <v>8</v>
      </c>
      <c r="GAK7" s="1179"/>
      <c r="GAL7" s="1179"/>
      <c r="GAM7" s="1179"/>
      <c r="GAN7" s="1179" t="s">
        <v>10</v>
      </c>
      <c r="GAO7" s="1179"/>
      <c r="GAP7" s="1179"/>
      <c r="GAQ7" s="1180"/>
      <c r="GAR7" s="1178" t="s">
        <v>8</v>
      </c>
      <c r="GAS7" s="1179"/>
      <c r="GAT7" s="1179"/>
      <c r="GAU7" s="1179"/>
      <c r="GAV7" s="1179" t="s">
        <v>10</v>
      </c>
      <c r="GAW7" s="1179"/>
      <c r="GAX7" s="1179"/>
      <c r="GAY7" s="1180"/>
      <c r="GAZ7" s="1178" t="s">
        <v>8</v>
      </c>
      <c r="GBA7" s="1179"/>
      <c r="GBB7" s="1179"/>
      <c r="GBC7" s="1179"/>
      <c r="GBD7" s="1179" t="s">
        <v>10</v>
      </c>
      <c r="GBE7" s="1179"/>
      <c r="GBF7" s="1179"/>
      <c r="GBG7" s="1180"/>
      <c r="GBH7" s="1178" t="s">
        <v>8</v>
      </c>
      <c r="GBI7" s="1179"/>
      <c r="GBJ7" s="1179"/>
      <c r="GBK7" s="1179"/>
      <c r="GBL7" s="1179" t="s">
        <v>10</v>
      </c>
      <c r="GBM7" s="1179"/>
      <c r="GBN7" s="1179"/>
      <c r="GBO7" s="1180"/>
      <c r="GBP7" s="1178" t="s">
        <v>8</v>
      </c>
      <c r="GBQ7" s="1179"/>
      <c r="GBR7" s="1179"/>
      <c r="GBS7" s="1179"/>
      <c r="GBT7" s="1179" t="s">
        <v>10</v>
      </c>
      <c r="GBU7" s="1179"/>
      <c r="GBV7" s="1179"/>
      <c r="GBW7" s="1180"/>
      <c r="GBX7" s="1178" t="s">
        <v>8</v>
      </c>
      <c r="GBY7" s="1179"/>
      <c r="GBZ7" s="1179"/>
      <c r="GCA7" s="1179"/>
      <c r="GCB7" s="1179" t="s">
        <v>10</v>
      </c>
      <c r="GCC7" s="1179"/>
      <c r="GCD7" s="1179"/>
      <c r="GCE7" s="1180"/>
      <c r="GCF7" s="1178" t="s">
        <v>8</v>
      </c>
      <c r="GCG7" s="1179"/>
      <c r="GCH7" s="1179"/>
      <c r="GCI7" s="1179"/>
      <c r="GCJ7" s="1179" t="s">
        <v>10</v>
      </c>
      <c r="GCK7" s="1179"/>
      <c r="GCL7" s="1179"/>
      <c r="GCM7" s="1180"/>
      <c r="GCN7" s="1178" t="s">
        <v>8</v>
      </c>
      <c r="GCO7" s="1179"/>
      <c r="GCP7" s="1179"/>
      <c r="GCQ7" s="1179"/>
      <c r="GCR7" s="1179" t="s">
        <v>10</v>
      </c>
      <c r="GCS7" s="1179"/>
      <c r="GCT7" s="1179"/>
      <c r="GCU7" s="1180"/>
      <c r="GCV7" s="1178" t="s">
        <v>8</v>
      </c>
      <c r="GCW7" s="1179"/>
      <c r="GCX7" s="1179"/>
      <c r="GCY7" s="1179"/>
      <c r="GCZ7" s="1179" t="s">
        <v>10</v>
      </c>
      <c r="GDA7" s="1179"/>
      <c r="GDB7" s="1179"/>
      <c r="GDC7" s="1180"/>
      <c r="GDD7" s="1178" t="s">
        <v>8</v>
      </c>
      <c r="GDE7" s="1179"/>
      <c r="GDF7" s="1179"/>
      <c r="GDG7" s="1179"/>
      <c r="GDH7" s="1179" t="s">
        <v>10</v>
      </c>
      <c r="GDI7" s="1179"/>
      <c r="GDJ7" s="1179"/>
      <c r="GDK7" s="1180"/>
      <c r="GDL7" s="1178" t="s">
        <v>8</v>
      </c>
      <c r="GDM7" s="1179"/>
      <c r="GDN7" s="1179"/>
      <c r="GDO7" s="1179"/>
      <c r="GDP7" s="1179" t="s">
        <v>10</v>
      </c>
      <c r="GDQ7" s="1179"/>
      <c r="GDR7" s="1179"/>
      <c r="GDS7" s="1180"/>
      <c r="GDT7" s="1178" t="s">
        <v>8</v>
      </c>
      <c r="GDU7" s="1179"/>
      <c r="GDV7" s="1179"/>
      <c r="GDW7" s="1179"/>
      <c r="GDX7" s="1179" t="s">
        <v>10</v>
      </c>
      <c r="GDY7" s="1179"/>
      <c r="GDZ7" s="1179"/>
      <c r="GEA7" s="1180"/>
      <c r="GEB7" s="1178" t="s">
        <v>8</v>
      </c>
      <c r="GEC7" s="1179"/>
      <c r="GED7" s="1179"/>
      <c r="GEE7" s="1179"/>
      <c r="GEF7" s="1179" t="s">
        <v>10</v>
      </c>
      <c r="GEG7" s="1179"/>
      <c r="GEH7" s="1179"/>
      <c r="GEI7" s="1180"/>
      <c r="GEJ7" s="1178" t="s">
        <v>8</v>
      </c>
      <c r="GEK7" s="1179"/>
      <c r="GEL7" s="1179"/>
      <c r="GEM7" s="1179"/>
      <c r="GEN7" s="1179" t="s">
        <v>10</v>
      </c>
      <c r="GEO7" s="1179"/>
      <c r="GEP7" s="1179"/>
      <c r="GEQ7" s="1180"/>
      <c r="GER7" s="1178" t="s">
        <v>8</v>
      </c>
      <c r="GES7" s="1179"/>
      <c r="GET7" s="1179"/>
      <c r="GEU7" s="1179"/>
      <c r="GEV7" s="1179" t="s">
        <v>10</v>
      </c>
      <c r="GEW7" s="1179"/>
      <c r="GEX7" s="1179"/>
      <c r="GEY7" s="1180"/>
      <c r="GEZ7" s="1178" t="s">
        <v>8</v>
      </c>
      <c r="GFA7" s="1179"/>
      <c r="GFB7" s="1179"/>
      <c r="GFC7" s="1179"/>
      <c r="GFD7" s="1179" t="s">
        <v>10</v>
      </c>
      <c r="GFE7" s="1179"/>
      <c r="GFF7" s="1179"/>
      <c r="GFG7" s="1180"/>
      <c r="GFH7" s="1178" t="s">
        <v>8</v>
      </c>
      <c r="GFI7" s="1179"/>
      <c r="GFJ7" s="1179"/>
      <c r="GFK7" s="1179"/>
      <c r="GFL7" s="1179" t="s">
        <v>10</v>
      </c>
      <c r="GFM7" s="1179"/>
      <c r="GFN7" s="1179"/>
      <c r="GFO7" s="1180"/>
      <c r="GFP7" s="1178" t="s">
        <v>8</v>
      </c>
      <c r="GFQ7" s="1179"/>
      <c r="GFR7" s="1179"/>
      <c r="GFS7" s="1179"/>
      <c r="GFT7" s="1179" t="s">
        <v>10</v>
      </c>
      <c r="GFU7" s="1179"/>
      <c r="GFV7" s="1179"/>
      <c r="GFW7" s="1180"/>
      <c r="GFX7" s="1178" t="s">
        <v>8</v>
      </c>
      <c r="GFY7" s="1179"/>
      <c r="GFZ7" s="1179"/>
      <c r="GGA7" s="1179"/>
      <c r="GGB7" s="1179" t="s">
        <v>10</v>
      </c>
      <c r="GGC7" s="1179"/>
      <c r="GGD7" s="1179"/>
      <c r="GGE7" s="1180"/>
      <c r="GGF7" s="1178" t="s">
        <v>8</v>
      </c>
      <c r="GGG7" s="1179"/>
      <c r="GGH7" s="1179"/>
      <c r="GGI7" s="1179"/>
      <c r="GGJ7" s="1179" t="s">
        <v>10</v>
      </c>
      <c r="GGK7" s="1179"/>
      <c r="GGL7" s="1179"/>
      <c r="GGM7" s="1180"/>
      <c r="GGN7" s="1178" t="s">
        <v>8</v>
      </c>
      <c r="GGO7" s="1179"/>
      <c r="GGP7" s="1179"/>
      <c r="GGQ7" s="1179"/>
      <c r="GGR7" s="1179" t="s">
        <v>10</v>
      </c>
      <c r="GGS7" s="1179"/>
      <c r="GGT7" s="1179"/>
      <c r="GGU7" s="1180"/>
      <c r="GGV7" s="1178" t="s">
        <v>8</v>
      </c>
      <c r="GGW7" s="1179"/>
      <c r="GGX7" s="1179"/>
      <c r="GGY7" s="1179"/>
      <c r="GGZ7" s="1179" t="s">
        <v>10</v>
      </c>
      <c r="GHA7" s="1179"/>
      <c r="GHB7" s="1179"/>
      <c r="GHC7" s="1180"/>
      <c r="GHD7" s="1178" t="s">
        <v>8</v>
      </c>
      <c r="GHE7" s="1179"/>
      <c r="GHF7" s="1179"/>
      <c r="GHG7" s="1179"/>
      <c r="GHH7" s="1179" t="s">
        <v>10</v>
      </c>
      <c r="GHI7" s="1179"/>
      <c r="GHJ7" s="1179"/>
      <c r="GHK7" s="1180"/>
      <c r="GHL7" s="1178" t="s">
        <v>8</v>
      </c>
      <c r="GHM7" s="1179"/>
      <c r="GHN7" s="1179"/>
      <c r="GHO7" s="1179"/>
      <c r="GHP7" s="1179" t="s">
        <v>10</v>
      </c>
      <c r="GHQ7" s="1179"/>
      <c r="GHR7" s="1179"/>
      <c r="GHS7" s="1180"/>
      <c r="GHT7" s="1178" t="s">
        <v>8</v>
      </c>
      <c r="GHU7" s="1179"/>
      <c r="GHV7" s="1179"/>
      <c r="GHW7" s="1179"/>
      <c r="GHX7" s="1179" t="s">
        <v>10</v>
      </c>
      <c r="GHY7" s="1179"/>
      <c r="GHZ7" s="1179"/>
      <c r="GIA7" s="1180"/>
      <c r="GIB7" s="1178" t="s">
        <v>8</v>
      </c>
      <c r="GIC7" s="1179"/>
      <c r="GID7" s="1179"/>
      <c r="GIE7" s="1179"/>
      <c r="GIF7" s="1179" t="s">
        <v>10</v>
      </c>
      <c r="GIG7" s="1179"/>
      <c r="GIH7" s="1179"/>
      <c r="GII7" s="1180"/>
      <c r="GIJ7" s="1178" t="s">
        <v>8</v>
      </c>
      <c r="GIK7" s="1179"/>
      <c r="GIL7" s="1179"/>
      <c r="GIM7" s="1179"/>
      <c r="GIN7" s="1179" t="s">
        <v>10</v>
      </c>
      <c r="GIO7" s="1179"/>
      <c r="GIP7" s="1179"/>
      <c r="GIQ7" s="1180"/>
      <c r="GIR7" s="1178" t="s">
        <v>8</v>
      </c>
      <c r="GIS7" s="1179"/>
      <c r="GIT7" s="1179"/>
      <c r="GIU7" s="1179"/>
      <c r="GIV7" s="1179" t="s">
        <v>10</v>
      </c>
      <c r="GIW7" s="1179"/>
      <c r="GIX7" s="1179"/>
      <c r="GIY7" s="1180"/>
      <c r="GIZ7" s="1178" t="s">
        <v>8</v>
      </c>
      <c r="GJA7" s="1179"/>
      <c r="GJB7" s="1179"/>
      <c r="GJC7" s="1179"/>
      <c r="GJD7" s="1179" t="s">
        <v>10</v>
      </c>
      <c r="GJE7" s="1179"/>
      <c r="GJF7" s="1179"/>
      <c r="GJG7" s="1180"/>
      <c r="GJH7" s="1178" t="s">
        <v>8</v>
      </c>
      <c r="GJI7" s="1179"/>
      <c r="GJJ7" s="1179"/>
      <c r="GJK7" s="1179"/>
      <c r="GJL7" s="1179" t="s">
        <v>10</v>
      </c>
      <c r="GJM7" s="1179"/>
      <c r="GJN7" s="1179"/>
      <c r="GJO7" s="1180"/>
      <c r="GJP7" s="1178" t="s">
        <v>8</v>
      </c>
      <c r="GJQ7" s="1179"/>
      <c r="GJR7" s="1179"/>
      <c r="GJS7" s="1179"/>
      <c r="GJT7" s="1179" t="s">
        <v>10</v>
      </c>
      <c r="GJU7" s="1179"/>
      <c r="GJV7" s="1179"/>
      <c r="GJW7" s="1180"/>
      <c r="GJX7" s="1178" t="s">
        <v>8</v>
      </c>
      <c r="GJY7" s="1179"/>
      <c r="GJZ7" s="1179"/>
      <c r="GKA7" s="1179"/>
      <c r="GKB7" s="1179" t="s">
        <v>10</v>
      </c>
      <c r="GKC7" s="1179"/>
      <c r="GKD7" s="1179"/>
      <c r="GKE7" s="1180"/>
      <c r="GKF7" s="1178" t="s">
        <v>8</v>
      </c>
      <c r="GKG7" s="1179"/>
      <c r="GKH7" s="1179"/>
      <c r="GKI7" s="1179"/>
      <c r="GKJ7" s="1179" t="s">
        <v>10</v>
      </c>
      <c r="GKK7" s="1179"/>
      <c r="GKL7" s="1179"/>
      <c r="GKM7" s="1180"/>
      <c r="GKN7" s="1178" t="s">
        <v>8</v>
      </c>
      <c r="GKO7" s="1179"/>
      <c r="GKP7" s="1179"/>
      <c r="GKQ7" s="1179"/>
      <c r="GKR7" s="1179" t="s">
        <v>10</v>
      </c>
      <c r="GKS7" s="1179"/>
      <c r="GKT7" s="1179"/>
      <c r="GKU7" s="1180"/>
      <c r="GKV7" s="1178" t="s">
        <v>8</v>
      </c>
      <c r="GKW7" s="1179"/>
      <c r="GKX7" s="1179"/>
      <c r="GKY7" s="1179"/>
      <c r="GKZ7" s="1179" t="s">
        <v>10</v>
      </c>
      <c r="GLA7" s="1179"/>
      <c r="GLB7" s="1179"/>
      <c r="GLC7" s="1180"/>
      <c r="GLD7" s="1178" t="s">
        <v>8</v>
      </c>
      <c r="GLE7" s="1179"/>
      <c r="GLF7" s="1179"/>
      <c r="GLG7" s="1179"/>
      <c r="GLH7" s="1179" t="s">
        <v>10</v>
      </c>
      <c r="GLI7" s="1179"/>
      <c r="GLJ7" s="1179"/>
      <c r="GLK7" s="1180"/>
      <c r="GLL7" s="1178" t="s">
        <v>8</v>
      </c>
      <c r="GLM7" s="1179"/>
      <c r="GLN7" s="1179"/>
      <c r="GLO7" s="1179"/>
      <c r="GLP7" s="1179" t="s">
        <v>10</v>
      </c>
      <c r="GLQ7" s="1179"/>
      <c r="GLR7" s="1179"/>
      <c r="GLS7" s="1180"/>
      <c r="GLT7" s="1178" t="s">
        <v>8</v>
      </c>
      <c r="GLU7" s="1179"/>
      <c r="GLV7" s="1179"/>
      <c r="GLW7" s="1179"/>
      <c r="GLX7" s="1179" t="s">
        <v>10</v>
      </c>
      <c r="GLY7" s="1179"/>
      <c r="GLZ7" s="1179"/>
      <c r="GMA7" s="1180"/>
      <c r="GMB7" s="1178" t="s">
        <v>8</v>
      </c>
      <c r="GMC7" s="1179"/>
      <c r="GMD7" s="1179"/>
      <c r="GME7" s="1179"/>
      <c r="GMF7" s="1179" t="s">
        <v>10</v>
      </c>
      <c r="GMG7" s="1179"/>
      <c r="GMH7" s="1179"/>
      <c r="GMI7" s="1180"/>
      <c r="GMJ7" s="1178" t="s">
        <v>8</v>
      </c>
      <c r="GMK7" s="1179"/>
      <c r="GML7" s="1179"/>
      <c r="GMM7" s="1179"/>
      <c r="GMN7" s="1179" t="s">
        <v>10</v>
      </c>
      <c r="GMO7" s="1179"/>
      <c r="GMP7" s="1179"/>
      <c r="GMQ7" s="1180"/>
      <c r="GMR7" s="1178" t="s">
        <v>8</v>
      </c>
      <c r="GMS7" s="1179"/>
      <c r="GMT7" s="1179"/>
      <c r="GMU7" s="1179"/>
      <c r="GMV7" s="1179" t="s">
        <v>10</v>
      </c>
      <c r="GMW7" s="1179"/>
      <c r="GMX7" s="1179"/>
      <c r="GMY7" s="1180"/>
      <c r="GMZ7" s="1178" t="s">
        <v>8</v>
      </c>
      <c r="GNA7" s="1179"/>
      <c r="GNB7" s="1179"/>
      <c r="GNC7" s="1179"/>
      <c r="GND7" s="1179" t="s">
        <v>10</v>
      </c>
      <c r="GNE7" s="1179"/>
      <c r="GNF7" s="1179"/>
      <c r="GNG7" s="1180"/>
      <c r="GNH7" s="1178" t="s">
        <v>8</v>
      </c>
      <c r="GNI7" s="1179"/>
      <c r="GNJ7" s="1179"/>
      <c r="GNK7" s="1179"/>
      <c r="GNL7" s="1179" t="s">
        <v>10</v>
      </c>
      <c r="GNM7" s="1179"/>
      <c r="GNN7" s="1179"/>
      <c r="GNO7" s="1180"/>
      <c r="GNP7" s="1178" t="s">
        <v>8</v>
      </c>
      <c r="GNQ7" s="1179"/>
      <c r="GNR7" s="1179"/>
      <c r="GNS7" s="1179"/>
      <c r="GNT7" s="1179" t="s">
        <v>10</v>
      </c>
      <c r="GNU7" s="1179"/>
      <c r="GNV7" s="1179"/>
      <c r="GNW7" s="1180"/>
      <c r="GNX7" s="1178" t="s">
        <v>8</v>
      </c>
      <c r="GNY7" s="1179"/>
      <c r="GNZ7" s="1179"/>
      <c r="GOA7" s="1179"/>
      <c r="GOB7" s="1179" t="s">
        <v>10</v>
      </c>
      <c r="GOC7" s="1179"/>
      <c r="GOD7" s="1179"/>
      <c r="GOE7" s="1180"/>
      <c r="GOF7" s="1178" t="s">
        <v>8</v>
      </c>
      <c r="GOG7" s="1179"/>
      <c r="GOH7" s="1179"/>
      <c r="GOI7" s="1179"/>
      <c r="GOJ7" s="1179" t="s">
        <v>10</v>
      </c>
      <c r="GOK7" s="1179"/>
      <c r="GOL7" s="1179"/>
      <c r="GOM7" s="1180"/>
      <c r="GON7" s="1178" t="s">
        <v>8</v>
      </c>
      <c r="GOO7" s="1179"/>
      <c r="GOP7" s="1179"/>
      <c r="GOQ7" s="1179"/>
      <c r="GOR7" s="1179" t="s">
        <v>10</v>
      </c>
      <c r="GOS7" s="1179"/>
      <c r="GOT7" s="1179"/>
      <c r="GOU7" s="1180"/>
      <c r="GOV7" s="1178" t="s">
        <v>8</v>
      </c>
      <c r="GOW7" s="1179"/>
      <c r="GOX7" s="1179"/>
      <c r="GOY7" s="1179"/>
      <c r="GOZ7" s="1179" t="s">
        <v>10</v>
      </c>
      <c r="GPA7" s="1179"/>
      <c r="GPB7" s="1179"/>
      <c r="GPC7" s="1180"/>
      <c r="GPD7" s="1178" t="s">
        <v>8</v>
      </c>
      <c r="GPE7" s="1179"/>
      <c r="GPF7" s="1179"/>
      <c r="GPG7" s="1179"/>
      <c r="GPH7" s="1179" t="s">
        <v>10</v>
      </c>
      <c r="GPI7" s="1179"/>
      <c r="GPJ7" s="1179"/>
      <c r="GPK7" s="1180"/>
      <c r="GPL7" s="1178" t="s">
        <v>8</v>
      </c>
      <c r="GPM7" s="1179"/>
      <c r="GPN7" s="1179"/>
      <c r="GPO7" s="1179"/>
      <c r="GPP7" s="1179" t="s">
        <v>10</v>
      </c>
      <c r="GPQ7" s="1179"/>
      <c r="GPR7" s="1179"/>
      <c r="GPS7" s="1180"/>
      <c r="GPT7" s="1178" t="s">
        <v>8</v>
      </c>
      <c r="GPU7" s="1179"/>
      <c r="GPV7" s="1179"/>
      <c r="GPW7" s="1179"/>
      <c r="GPX7" s="1179" t="s">
        <v>10</v>
      </c>
      <c r="GPY7" s="1179"/>
      <c r="GPZ7" s="1179"/>
      <c r="GQA7" s="1180"/>
      <c r="GQB7" s="1178" t="s">
        <v>8</v>
      </c>
      <c r="GQC7" s="1179"/>
      <c r="GQD7" s="1179"/>
      <c r="GQE7" s="1179"/>
      <c r="GQF7" s="1179" t="s">
        <v>10</v>
      </c>
      <c r="GQG7" s="1179"/>
      <c r="GQH7" s="1179"/>
      <c r="GQI7" s="1180"/>
      <c r="GQJ7" s="1178" t="s">
        <v>8</v>
      </c>
      <c r="GQK7" s="1179"/>
      <c r="GQL7" s="1179"/>
      <c r="GQM7" s="1179"/>
      <c r="GQN7" s="1179" t="s">
        <v>10</v>
      </c>
      <c r="GQO7" s="1179"/>
      <c r="GQP7" s="1179"/>
      <c r="GQQ7" s="1180"/>
      <c r="GQR7" s="1178" t="s">
        <v>8</v>
      </c>
      <c r="GQS7" s="1179"/>
      <c r="GQT7" s="1179"/>
      <c r="GQU7" s="1179"/>
      <c r="GQV7" s="1179" t="s">
        <v>10</v>
      </c>
      <c r="GQW7" s="1179"/>
      <c r="GQX7" s="1179"/>
      <c r="GQY7" s="1180"/>
      <c r="GQZ7" s="1178" t="s">
        <v>8</v>
      </c>
      <c r="GRA7" s="1179"/>
      <c r="GRB7" s="1179"/>
      <c r="GRC7" s="1179"/>
      <c r="GRD7" s="1179" t="s">
        <v>10</v>
      </c>
      <c r="GRE7" s="1179"/>
      <c r="GRF7" s="1179"/>
      <c r="GRG7" s="1180"/>
      <c r="GRH7" s="1178" t="s">
        <v>8</v>
      </c>
      <c r="GRI7" s="1179"/>
      <c r="GRJ7" s="1179"/>
      <c r="GRK7" s="1179"/>
      <c r="GRL7" s="1179" t="s">
        <v>10</v>
      </c>
      <c r="GRM7" s="1179"/>
      <c r="GRN7" s="1179"/>
      <c r="GRO7" s="1180"/>
      <c r="GRP7" s="1178" t="s">
        <v>8</v>
      </c>
      <c r="GRQ7" s="1179"/>
      <c r="GRR7" s="1179"/>
      <c r="GRS7" s="1179"/>
      <c r="GRT7" s="1179" t="s">
        <v>10</v>
      </c>
      <c r="GRU7" s="1179"/>
      <c r="GRV7" s="1179"/>
      <c r="GRW7" s="1180"/>
      <c r="GRX7" s="1178" t="s">
        <v>8</v>
      </c>
      <c r="GRY7" s="1179"/>
      <c r="GRZ7" s="1179"/>
      <c r="GSA7" s="1179"/>
      <c r="GSB7" s="1179" t="s">
        <v>10</v>
      </c>
      <c r="GSC7" s="1179"/>
      <c r="GSD7" s="1179"/>
      <c r="GSE7" s="1180"/>
      <c r="GSF7" s="1178" t="s">
        <v>8</v>
      </c>
      <c r="GSG7" s="1179"/>
      <c r="GSH7" s="1179"/>
      <c r="GSI7" s="1179"/>
      <c r="GSJ7" s="1179" t="s">
        <v>10</v>
      </c>
      <c r="GSK7" s="1179"/>
      <c r="GSL7" s="1179"/>
      <c r="GSM7" s="1180"/>
      <c r="GSN7" s="1178" t="s">
        <v>8</v>
      </c>
      <c r="GSO7" s="1179"/>
      <c r="GSP7" s="1179"/>
      <c r="GSQ7" s="1179"/>
      <c r="GSR7" s="1179" t="s">
        <v>10</v>
      </c>
      <c r="GSS7" s="1179"/>
      <c r="GST7" s="1179"/>
      <c r="GSU7" s="1180"/>
      <c r="GSV7" s="1178" t="s">
        <v>8</v>
      </c>
      <c r="GSW7" s="1179"/>
      <c r="GSX7" s="1179"/>
      <c r="GSY7" s="1179"/>
      <c r="GSZ7" s="1179" t="s">
        <v>10</v>
      </c>
      <c r="GTA7" s="1179"/>
      <c r="GTB7" s="1179"/>
      <c r="GTC7" s="1180"/>
      <c r="GTD7" s="1178" t="s">
        <v>8</v>
      </c>
      <c r="GTE7" s="1179"/>
      <c r="GTF7" s="1179"/>
      <c r="GTG7" s="1179"/>
      <c r="GTH7" s="1179" t="s">
        <v>10</v>
      </c>
      <c r="GTI7" s="1179"/>
      <c r="GTJ7" s="1179"/>
      <c r="GTK7" s="1180"/>
      <c r="GTL7" s="1178" t="s">
        <v>8</v>
      </c>
      <c r="GTM7" s="1179"/>
      <c r="GTN7" s="1179"/>
      <c r="GTO7" s="1179"/>
      <c r="GTP7" s="1179" t="s">
        <v>10</v>
      </c>
      <c r="GTQ7" s="1179"/>
      <c r="GTR7" s="1179"/>
      <c r="GTS7" s="1180"/>
      <c r="GTT7" s="1178" t="s">
        <v>8</v>
      </c>
      <c r="GTU7" s="1179"/>
      <c r="GTV7" s="1179"/>
      <c r="GTW7" s="1179"/>
      <c r="GTX7" s="1179" t="s">
        <v>10</v>
      </c>
      <c r="GTY7" s="1179"/>
      <c r="GTZ7" s="1179"/>
      <c r="GUA7" s="1180"/>
      <c r="GUB7" s="1178" t="s">
        <v>8</v>
      </c>
      <c r="GUC7" s="1179"/>
      <c r="GUD7" s="1179"/>
      <c r="GUE7" s="1179"/>
      <c r="GUF7" s="1179" t="s">
        <v>10</v>
      </c>
      <c r="GUG7" s="1179"/>
      <c r="GUH7" s="1179"/>
      <c r="GUI7" s="1180"/>
      <c r="GUJ7" s="1178" t="s">
        <v>8</v>
      </c>
      <c r="GUK7" s="1179"/>
      <c r="GUL7" s="1179"/>
      <c r="GUM7" s="1179"/>
      <c r="GUN7" s="1179" t="s">
        <v>10</v>
      </c>
      <c r="GUO7" s="1179"/>
      <c r="GUP7" s="1179"/>
      <c r="GUQ7" s="1180"/>
      <c r="GUR7" s="1178" t="s">
        <v>8</v>
      </c>
      <c r="GUS7" s="1179"/>
      <c r="GUT7" s="1179"/>
      <c r="GUU7" s="1179"/>
      <c r="GUV7" s="1179" t="s">
        <v>10</v>
      </c>
      <c r="GUW7" s="1179"/>
      <c r="GUX7" s="1179"/>
      <c r="GUY7" s="1180"/>
      <c r="GUZ7" s="1178" t="s">
        <v>8</v>
      </c>
      <c r="GVA7" s="1179"/>
      <c r="GVB7" s="1179"/>
      <c r="GVC7" s="1179"/>
      <c r="GVD7" s="1179" t="s">
        <v>10</v>
      </c>
      <c r="GVE7" s="1179"/>
      <c r="GVF7" s="1179"/>
      <c r="GVG7" s="1180"/>
      <c r="GVH7" s="1178" t="s">
        <v>8</v>
      </c>
      <c r="GVI7" s="1179"/>
      <c r="GVJ7" s="1179"/>
      <c r="GVK7" s="1179"/>
      <c r="GVL7" s="1179" t="s">
        <v>10</v>
      </c>
      <c r="GVM7" s="1179"/>
      <c r="GVN7" s="1179"/>
      <c r="GVO7" s="1180"/>
      <c r="GVP7" s="1178" t="s">
        <v>8</v>
      </c>
      <c r="GVQ7" s="1179"/>
      <c r="GVR7" s="1179"/>
      <c r="GVS7" s="1179"/>
      <c r="GVT7" s="1179" t="s">
        <v>10</v>
      </c>
      <c r="GVU7" s="1179"/>
      <c r="GVV7" s="1179"/>
      <c r="GVW7" s="1180"/>
      <c r="GVX7" s="1178" t="s">
        <v>8</v>
      </c>
      <c r="GVY7" s="1179"/>
      <c r="GVZ7" s="1179"/>
      <c r="GWA7" s="1179"/>
      <c r="GWB7" s="1179" t="s">
        <v>10</v>
      </c>
      <c r="GWC7" s="1179"/>
      <c r="GWD7" s="1179"/>
      <c r="GWE7" s="1180"/>
      <c r="GWF7" s="1178" t="s">
        <v>8</v>
      </c>
      <c r="GWG7" s="1179"/>
      <c r="GWH7" s="1179"/>
      <c r="GWI7" s="1179"/>
      <c r="GWJ7" s="1179" t="s">
        <v>10</v>
      </c>
      <c r="GWK7" s="1179"/>
      <c r="GWL7" s="1179"/>
      <c r="GWM7" s="1180"/>
      <c r="GWN7" s="1178" t="s">
        <v>8</v>
      </c>
      <c r="GWO7" s="1179"/>
      <c r="GWP7" s="1179"/>
      <c r="GWQ7" s="1179"/>
      <c r="GWR7" s="1179" t="s">
        <v>10</v>
      </c>
      <c r="GWS7" s="1179"/>
      <c r="GWT7" s="1179"/>
      <c r="GWU7" s="1180"/>
      <c r="GWV7" s="1178" t="s">
        <v>8</v>
      </c>
      <c r="GWW7" s="1179"/>
      <c r="GWX7" s="1179"/>
      <c r="GWY7" s="1179"/>
      <c r="GWZ7" s="1179" t="s">
        <v>10</v>
      </c>
      <c r="GXA7" s="1179"/>
      <c r="GXB7" s="1179"/>
      <c r="GXC7" s="1180"/>
      <c r="GXD7" s="1178" t="s">
        <v>8</v>
      </c>
      <c r="GXE7" s="1179"/>
      <c r="GXF7" s="1179"/>
      <c r="GXG7" s="1179"/>
      <c r="GXH7" s="1179" t="s">
        <v>10</v>
      </c>
      <c r="GXI7" s="1179"/>
      <c r="GXJ7" s="1179"/>
      <c r="GXK7" s="1180"/>
      <c r="GXL7" s="1178" t="s">
        <v>8</v>
      </c>
      <c r="GXM7" s="1179"/>
      <c r="GXN7" s="1179"/>
      <c r="GXO7" s="1179"/>
      <c r="GXP7" s="1179" t="s">
        <v>10</v>
      </c>
      <c r="GXQ7" s="1179"/>
      <c r="GXR7" s="1179"/>
      <c r="GXS7" s="1180"/>
      <c r="GXT7" s="1178" t="s">
        <v>8</v>
      </c>
      <c r="GXU7" s="1179"/>
      <c r="GXV7" s="1179"/>
      <c r="GXW7" s="1179"/>
      <c r="GXX7" s="1179" t="s">
        <v>10</v>
      </c>
      <c r="GXY7" s="1179"/>
      <c r="GXZ7" s="1179"/>
      <c r="GYA7" s="1180"/>
      <c r="GYB7" s="1178" t="s">
        <v>8</v>
      </c>
      <c r="GYC7" s="1179"/>
      <c r="GYD7" s="1179"/>
      <c r="GYE7" s="1179"/>
      <c r="GYF7" s="1179" t="s">
        <v>10</v>
      </c>
      <c r="GYG7" s="1179"/>
      <c r="GYH7" s="1179"/>
      <c r="GYI7" s="1180"/>
      <c r="GYJ7" s="1178" t="s">
        <v>8</v>
      </c>
      <c r="GYK7" s="1179"/>
      <c r="GYL7" s="1179"/>
      <c r="GYM7" s="1179"/>
      <c r="GYN7" s="1179" t="s">
        <v>10</v>
      </c>
      <c r="GYO7" s="1179"/>
      <c r="GYP7" s="1179"/>
      <c r="GYQ7" s="1180"/>
      <c r="GYR7" s="1178" t="s">
        <v>8</v>
      </c>
      <c r="GYS7" s="1179"/>
      <c r="GYT7" s="1179"/>
      <c r="GYU7" s="1179"/>
      <c r="GYV7" s="1179" t="s">
        <v>10</v>
      </c>
      <c r="GYW7" s="1179"/>
      <c r="GYX7" s="1179"/>
      <c r="GYY7" s="1180"/>
      <c r="GYZ7" s="1178" t="s">
        <v>8</v>
      </c>
      <c r="GZA7" s="1179"/>
      <c r="GZB7" s="1179"/>
      <c r="GZC7" s="1179"/>
      <c r="GZD7" s="1179" t="s">
        <v>10</v>
      </c>
      <c r="GZE7" s="1179"/>
      <c r="GZF7" s="1179"/>
      <c r="GZG7" s="1180"/>
      <c r="GZH7" s="1178" t="s">
        <v>8</v>
      </c>
      <c r="GZI7" s="1179"/>
      <c r="GZJ7" s="1179"/>
      <c r="GZK7" s="1179"/>
      <c r="GZL7" s="1179" t="s">
        <v>10</v>
      </c>
      <c r="GZM7" s="1179"/>
      <c r="GZN7" s="1179"/>
      <c r="GZO7" s="1180"/>
      <c r="GZP7" s="1178" t="s">
        <v>8</v>
      </c>
      <c r="GZQ7" s="1179"/>
      <c r="GZR7" s="1179"/>
      <c r="GZS7" s="1179"/>
      <c r="GZT7" s="1179" t="s">
        <v>10</v>
      </c>
      <c r="GZU7" s="1179"/>
      <c r="GZV7" s="1179"/>
      <c r="GZW7" s="1180"/>
      <c r="GZX7" s="1178" t="s">
        <v>8</v>
      </c>
      <c r="GZY7" s="1179"/>
      <c r="GZZ7" s="1179"/>
      <c r="HAA7" s="1179"/>
      <c r="HAB7" s="1179" t="s">
        <v>10</v>
      </c>
      <c r="HAC7" s="1179"/>
      <c r="HAD7" s="1179"/>
      <c r="HAE7" s="1180"/>
      <c r="HAF7" s="1178" t="s">
        <v>8</v>
      </c>
      <c r="HAG7" s="1179"/>
      <c r="HAH7" s="1179"/>
      <c r="HAI7" s="1179"/>
      <c r="HAJ7" s="1179" t="s">
        <v>10</v>
      </c>
      <c r="HAK7" s="1179"/>
      <c r="HAL7" s="1179"/>
      <c r="HAM7" s="1180"/>
      <c r="HAN7" s="1178" t="s">
        <v>8</v>
      </c>
      <c r="HAO7" s="1179"/>
      <c r="HAP7" s="1179"/>
      <c r="HAQ7" s="1179"/>
      <c r="HAR7" s="1179" t="s">
        <v>10</v>
      </c>
      <c r="HAS7" s="1179"/>
      <c r="HAT7" s="1179"/>
      <c r="HAU7" s="1180"/>
      <c r="HAV7" s="1178" t="s">
        <v>8</v>
      </c>
      <c r="HAW7" s="1179"/>
      <c r="HAX7" s="1179"/>
      <c r="HAY7" s="1179"/>
      <c r="HAZ7" s="1179" t="s">
        <v>10</v>
      </c>
      <c r="HBA7" s="1179"/>
      <c r="HBB7" s="1179"/>
      <c r="HBC7" s="1180"/>
      <c r="HBD7" s="1178" t="s">
        <v>8</v>
      </c>
      <c r="HBE7" s="1179"/>
      <c r="HBF7" s="1179"/>
      <c r="HBG7" s="1179"/>
      <c r="HBH7" s="1179" t="s">
        <v>10</v>
      </c>
      <c r="HBI7" s="1179"/>
      <c r="HBJ7" s="1179"/>
      <c r="HBK7" s="1180"/>
      <c r="HBL7" s="1178" t="s">
        <v>8</v>
      </c>
      <c r="HBM7" s="1179"/>
      <c r="HBN7" s="1179"/>
      <c r="HBO7" s="1179"/>
      <c r="HBP7" s="1179" t="s">
        <v>10</v>
      </c>
      <c r="HBQ7" s="1179"/>
      <c r="HBR7" s="1179"/>
      <c r="HBS7" s="1180"/>
      <c r="HBT7" s="1178" t="s">
        <v>8</v>
      </c>
      <c r="HBU7" s="1179"/>
      <c r="HBV7" s="1179"/>
      <c r="HBW7" s="1179"/>
      <c r="HBX7" s="1179" t="s">
        <v>10</v>
      </c>
      <c r="HBY7" s="1179"/>
      <c r="HBZ7" s="1179"/>
      <c r="HCA7" s="1180"/>
      <c r="HCB7" s="1178" t="s">
        <v>8</v>
      </c>
      <c r="HCC7" s="1179"/>
      <c r="HCD7" s="1179"/>
      <c r="HCE7" s="1179"/>
      <c r="HCF7" s="1179" t="s">
        <v>10</v>
      </c>
      <c r="HCG7" s="1179"/>
      <c r="HCH7" s="1179"/>
      <c r="HCI7" s="1180"/>
      <c r="HCJ7" s="1178" t="s">
        <v>8</v>
      </c>
      <c r="HCK7" s="1179"/>
      <c r="HCL7" s="1179"/>
      <c r="HCM7" s="1179"/>
      <c r="HCN7" s="1179" t="s">
        <v>10</v>
      </c>
      <c r="HCO7" s="1179"/>
      <c r="HCP7" s="1179"/>
      <c r="HCQ7" s="1180"/>
      <c r="HCR7" s="1178" t="s">
        <v>8</v>
      </c>
      <c r="HCS7" s="1179"/>
      <c r="HCT7" s="1179"/>
      <c r="HCU7" s="1179"/>
      <c r="HCV7" s="1179" t="s">
        <v>10</v>
      </c>
      <c r="HCW7" s="1179"/>
      <c r="HCX7" s="1179"/>
      <c r="HCY7" s="1180"/>
      <c r="HCZ7" s="1178" t="s">
        <v>8</v>
      </c>
      <c r="HDA7" s="1179"/>
      <c r="HDB7" s="1179"/>
      <c r="HDC7" s="1179"/>
      <c r="HDD7" s="1179" t="s">
        <v>10</v>
      </c>
      <c r="HDE7" s="1179"/>
      <c r="HDF7" s="1179"/>
      <c r="HDG7" s="1180"/>
      <c r="HDH7" s="1178" t="s">
        <v>8</v>
      </c>
      <c r="HDI7" s="1179"/>
      <c r="HDJ7" s="1179"/>
      <c r="HDK7" s="1179"/>
      <c r="HDL7" s="1179" t="s">
        <v>10</v>
      </c>
      <c r="HDM7" s="1179"/>
      <c r="HDN7" s="1179"/>
      <c r="HDO7" s="1180"/>
      <c r="HDP7" s="1178" t="s">
        <v>8</v>
      </c>
      <c r="HDQ7" s="1179"/>
      <c r="HDR7" s="1179"/>
      <c r="HDS7" s="1179"/>
      <c r="HDT7" s="1179" t="s">
        <v>10</v>
      </c>
      <c r="HDU7" s="1179"/>
      <c r="HDV7" s="1179"/>
      <c r="HDW7" s="1180"/>
      <c r="HDX7" s="1178" t="s">
        <v>8</v>
      </c>
      <c r="HDY7" s="1179"/>
      <c r="HDZ7" s="1179"/>
      <c r="HEA7" s="1179"/>
      <c r="HEB7" s="1179" t="s">
        <v>10</v>
      </c>
      <c r="HEC7" s="1179"/>
      <c r="HED7" s="1179"/>
      <c r="HEE7" s="1180"/>
      <c r="HEF7" s="1178" t="s">
        <v>8</v>
      </c>
      <c r="HEG7" s="1179"/>
      <c r="HEH7" s="1179"/>
      <c r="HEI7" s="1179"/>
      <c r="HEJ7" s="1179" t="s">
        <v>10</v>
      </c>
      <c r="HEK7" s="1179"/>
      <c r="HEL7" s="1179"/>
      <c r="HEM7" s="1180"/>
      <c r="HEN7" s="1178" t="s">
        <v>8</v>
      </c>
      <c r="HEO7" s="1179"/>
      <c r="HEP7" s="1179"/>
      <c r="HEQ7" s="1179"/>
      <c r="HER7" s="1179" t="s">
        <v>10</v>
      </c>
      <c r="HES7" s="1179"/>
      <c r="HET7" s="1179"/>
      <c r="HEU7" s="1180"/>
      <c r="HEV7" s="1178" t="s">
        <v>8</v>
      </c>
      <c r="HEW7" s="1179"/>
      <c r="HEX7" s="1179"/>
      <c r="HEY7" s="1179"/>
      <c r="HEZ7" s="1179" t="s">
        <v>10</v>
      </c>
      <c r="HFA7" s="1179"/>
      <c r="HFB7" s="1179"/>
      <c r="HFC7" s="1180"/>
      <c r="HFD7" s="1178" t="s">
        <v>8</v>
      </c>
      <c r="HFE7" s="1179"/>
      <c r="HFF7" s="1179"/>
      <c r="HFG7" s="1179"/>
      <c r="HFH7" s="1179" t="s">
        <v>10</v>
      </c>
      <c r="HFI7" s="1179"/>
      <c r="HFJ7" s="1179"/>
      <c r="HFK7" s="1180"/>
      <c r="HFL7" s="1178" t="s">
        <v>8</v>
      </c>
      <c r="HFM7" s="1179"/>
      <c r="HFN7" s="1179"/>
      <c r="HFO7" s="1179"/>
      <c r="HFP7" s="1179" t="s">
        <v>10</v>
      </c>
      <c r="HFQ7" s="1179"/>
      <c r="HFR7" s="1179"/>
      <c r="HFS7" s="1180"/>
      <c r="HFT7" s="1178" t="s">
        <v>8</v>
      </c>
      <c r="HFU7" s="1179"/>
      <c r="HFV7" s="1179"/>
      <c r="HFW7" s="1179"/>
      <c r="HFX7" s="1179" t="s">
        <v>10</v>
      </c>
      <c r="HFY7" s="1179"/>
      <c r="HFZ7" s="1179"/>
      <c r="HGA7" s="1180"/>
      <c r="HGB7" s="1178" t="s">
        <v>8</v>
      </c>
      <c r="HGC7" s="1179"/>
      <c r="HGD7" s="1179"/>
      <c r="HGE7" s="1179"/>
      <c r="HGF7" s="1179" t="s">
        <v>10</v>
      </c>
      <c r="HGG7" s="1179"/>
      <c r="HGH7" s="1179"/>
      <c r="HGI7" s="1180"/>
      <c r="HGJ7" s="1178" t="s">
        <v>8</v>
      </c>
      <c r="HGK7" s="1179"/>
      <c r="HGL7" s="1179"/>
      <c r="HGM7" s="1179"/>
      <c r="HGN7" s="1179" t="s">
        <v>10</v>
      </c>
      <c r="HGO7" s="1179"/>
      <c r="HGP7" s="1179"/>
      <c r="HGQ7" s="1180"/>
      <c r="HGR7" s="1178" t="s">
        <v>8</v>
      </c>
      <c r="HGS7" s="1179"/>
      <c r="HGT7" s="1179"/>
      <c r="HGU7" s="1179"/>
      <c r="HGV7" s="1179" t="s">
        <v>10</v>
      </c>
      <c r="HGW7" s="1179"/>
      <c r="HGX7" s="1179"/>
      <c r="HGY7" s="1180"/>
      <c r="HGZ7" s="1178" t="s">
        <v>8</v>
      </c>
      <c r="HHA7" s="1179"/>
      <c r="HHB7" s="1179"/>
      <c r="HHC7" s="1179"/>
      <c r="HHD7" s="1179" t="s">
        <v>10</v>
      </c>
      <c r="HHE7" s="1179"/>
      <c r="HHF7" s="1179"/>
      <c r="HHG7" s="1180"/>
      <c r="HHH7" s="1178" t="s">
        <v>8</v>
      </c>
      <c r="HHI7" s="1179"/>
      <c r="HHJ7" s="1179"/>
      <c r="HHK7" s="1179"/>
      <c r="HHL7" s="1179" t="s">
        <v>10</v>
      </c>
      <c r="HHM7" s="1179"/>
      <c r="HHN7" s="1179"/>
      <c r="HHO7" s="1180"/>
      <c r="HHP7" s="1178" t="s">
        <v>8</v>
      </c>
      <c r="HHQ7" s="1179"/>
      <c r="HHR7" s="1179"/>
      <c r="HHS7" s="1179"/>
      <c r="HHT7" s="1179" t="s">
        <v>10</v>
      </c>
      <c r="HHU7" s="1179"/>
      <c r="HHV7" s="1179"/>
      <c r="HHW7" s="1180"/>
      <c r="HHX7" s="1178" t="s">
        <v>8</v>
      </c>
      <c r="HHY7" s="1179"/>
      <c r="HHZ7" s="1179"/>
      <c r="HIA7" s="1179"/>
      <c r="HIB7" s="1179" t="s">
        <v>10</v>
      </c>
      <c r="HIC7" s="1179"/>
      <c r="HID7" s="1179"/>
      <c r="HIE7" s="1180"/>
      <c r="HIF7" s="1178" t="s">
        <v>8</v>
      </c>
      <c r="HIG7" s="1179"/>
      <c r="HIH7" s="1179"/>
      <c r="HII7" s="1179"/>
      <c r="HIJ7" s="1179" t="s">
        <v>10</v>
      </c>
      <c r="HIK7" s="1179"/>
      <c r="HIL7" s="1179"/>
      <c r="HIM7" s="1180"/>
      <c r="HIN7" s="1178" t="s">
        <v>8</v>
      </c>
      <c r="HIO7" s="1179"/>
      <c r="HIP7" s="1179"/>
      <c r="HIQ7" s="1179"/>
      <c r="HIR7" s="1179" t="s">
        <v>10</v>
      </c>
      <c r="HIS7" s="1179"/>
      <c r="HIT7" s="1179"/>
      <c r="HIU7" s="1180"/>
      <c r="HIV7" s="1178" t="s">
        <v>8</v>
      </c>
      <c r="HIW7" s="1179"/>
      <c r="HIX7" s="1179"/>
      <c r="HIY7" s="1179"/>
      <c r="HIZ7" s="1179" t="s">
        <v>10</v>
      </c>
      <c r="HJA7" s="1179"/>
      <c r="HJB7" s="1179"/>
      <c r="HJC7" s="1180"/>
      <c r="HJD7" s="1178" t="s">
        <v>8</v>
      </c>
      <c r="HJE7" s="1179"/>
      <c r="HJF7" s="1179"/>
      <c r="HJG7" s="1179"/>
      <c r="HJH7" s="1179" t="s">
        <v>10</v>
      </c>
      <c r="HJI7" s="1179"/>
      <c r="HJJ7" s="1179"/>
      <c r="HJK7" s="1180"/>
      <c r="HJL7" s="1178" t="s">
        <v>8</v>
      </c>
      <c r="HJM7" s="1179"/>
      <c r="HJN7" s="1179"/>
      <c r="HJO7" s="1179"/>
      <c r="HJP7" s="1179" t="s">
        <v>10</v>
      </c>
      <c r="HJQ7" s="1179"/>
      <c r="HJR7" s="1179"/>
      <c r="HJS7" s="1180"/>
      <c r="HJT7" s="1178" t="s">
        <v>8</v>
      </c>
      <c r="HJU7" s="1179"/>
      <c r="HJV7" s="1179"/>
      <c r="HJW7" s="1179"/>
      <c r="HJX7" s="1179" t="s">
        <v>10</v>
      </c>
      <c r="HJY7" s="1179"/>
      <c r="HJZ7" s="1179"/>
      <c r="HKA7" s="1180"/>
      <c r="HKB7" s="1178" t="s">
        <v>8</v>
      </c>
      <c r="HKC7" s="1179"/>
      <c r="HKD7" s="1179"/>
      <c r="HKE7" s="1179"/>
      <c r="HKF7" s="1179" t="s">
        <v>10</v>
      </c>
      <c r="HKG7" s="1179"/>
      <c r="HKH7" s="1179"/>
      <c r="HKI7" s="1180"/>
      <c r="HKJ7" s="1178" t="s">
        <v>8</v>
      </c>
      <c r="HKK7" s="1179"/>
      <c r="HKL7" s="1179"/>
      <c r="HKM7" s="1179"/>
      <c r="HKN7" s="1179" t="s">
        <v>10</v>
      </c>
      <c r="HKO7" s="1179"/>
      <c r="HKP7" s="1179"/>
      <c r="HKQ7" s="1180"/>
      <c r="HKR7" s="1178" t="s">
        <v>8</v>
      </c>
      <c r="HKS7" s="1179"/>
      <c r="HKT7" s="1179"/>
      <c r="HKU7" s="1179"/>
      <c r="HKV7" s="1179" t="s">
        <v>10</v>
      </c>
      <c r="HKW7" s="1179"/>
      <c r="HKX7" s="1179"/>
      <c r="HKY7" s="1180"/>
      <c r="HKZ7" s="1178" t="s">
        <v>8</v>
      </c>
      <c r="HLA7" s="1179"/>
      <c r="HLB7" s="1179"/>
      <c r="HLC7" s="1179"/>
      <c r="HLD7" s="1179" t="s">
        <v>10</v>
      </c>
      <c r="HLE7" s="1179"/>
      <c r="HLF7" s="1179"/>
      <c r="HLG7" s="1180"/>
      <c r="HLH7" s="1178" t="s">
        <v>8</v>
      </c>
      <c r="HLI7" s="1179"/>
      <c r="HLJ7" s="1179"/>
      <c r="HLK7" s="1179"/>
      <c r="HLL7" s="1179" t="s">
        <v>10</v>
      </c>
      <c r="HLM7" s="1179"/>
      <c r="HLN7" s="1179"/>
      <c r="HLO7" s="1180"/>
      <c r="HLP7" s="1178" t="s">
        <v>8</v>
      </c>
      <c r="HLQ7" s="1179"/>
      <c r="HLR7" s="1179"/>
      <c r="HLS7" s="1179"/>
      <c r="HLT7" s="1179" t="s">
        <v>10</v>
      </c>
      <c r="HLU7" s="1179"/>
      <c r="HLV7" s="1179"/>
      <c r="HLW7" s="1180"/>
      <c r="HLX7" s="1178" t="s">
        <v>8</v>
      </c>
      <c r="HLY7" s="1179"/>
      <c r="HLZ7" s="1179"/>
      <c r="HMA7" s="1179"/>
      <c r="HMB7" s="1179" t="s">
        <v>10</v>
      </c>
      <c r="HMC7" s="1179"/>
      <c r="HMD7" s="1179"/>
      <c r="HME7" s="1180"/>
      <c r="HMF7" s="1178" t="s">
        <v>8</v>
      </c>
      <c r="HMG7" s="1179"/>
      <c r="HMH7" s="1179"/>
      <c r="HMI7" s="1179"/>
      <c r="HMJ7" s="1179" t="s">
        <v>10</v>
      </c>
      <c r="HMK7" s="1179"/>
      <c r="HML7" s="1179"/>
      <c r="HMM7" s="1180"/>
      <c r="HMN7" s="1178" t="s">
        <v>8</v>
      </c>
      <c r="HMO7" s="1179"/>
      <c r="HMP7" s="1179"/>
      <c r="HMQ7" s="1179"/>
      <c r="HMR7" s="1179" t="s">
        <v>10</v>
      </c>
      <c r="HMS7" s="1179"/>
      <c r="HMT7" s="1179"/>
      <c r="HMU7" s="1180"/>
      <c r="HMV7" s="1178" t="s">
        <v>8</v>
      </c>
      <c r="HMW7" s="1179"/>
      <c r="HMX7" s="1179"/>
      <c r="HMY7" s="1179"/>
      <c r="HMZ7" s="1179" t="s">
        <v>10</v>
      </c>
      <c r="HNA7" s="1179"/>
      <c r="HNB7" s="1179"/>
      <c r="HNC7" s="1180"/>
      <c r="HND7" s="1178" t="s">
        <v>8</v>
      </c>
      <c r="HNE7" s="1179"/>
      <c r="HNF7" s="1179"/>
      <c r="HNG7" s="1179"/>
      <c r="HNH7" s="1179" t="s">
        <v>10</v>
      </c>
      <c r="HNI7" s="1179"/>
      <c r="HNJ7" s="1179"/>
      <c r="HNK7" s="1180"/>
      <c r="HNL7" s="1178" t="s">
        <v>8</v>
      </c>
      <c r="HNM7" s="1179"/>
      <c r="HNN7" s="1179"/>
      <c r="HNO7" s="1179"/>
      <c r="HNP7" s="1179" t="s">
        <v>10</v>
      </c>
      <c r="HNQ7" s="1179"/>
      <c r="HNR7" s="1179"/>
      <c r="HNS7" s="1180"/>
      <c r="HNT7" s="1178" t="s">
        <v>8</v>
      </c>
      <c r="HNU7" s="1179"/>
      <c r="HNV7" s="1179"/>
      <c r="HNW7" s="1179"/>
      <c r="HNX7" s="1179" t="s">
        <v>10</v>
      </c>
      <c r="HNY7" s="1179"/>
      <c r="HNZ7" s="1179"/>
      <c r="HOA7" s="1180"/>
      <c r="HOB7" s="1178" t="s">
        <v>8</v>
      </c>
      <c r="HOC7" s="1179"/>
      <c r="HOD7" s="1179"/>
      <c r="HOE7" s="1179"/>
      <c r="HOF7" s="1179" t="s">
        <v>10</v>
      </c>
      <c r="HOG7" s="1179"/>
      <c r="HOH7" s="1179"/>
      <c r="HOI7" s="1180"/>
      <c r="HOJ7" s="1178" t="s">
        <v>8</v>
      </c>
      <c r="HOK7" s="1179"/>
      <c r="HOL7" s="1179"/>
      <c r="HOM7" s="1179"/>
      <c r="HON7" s="1179" t="s">
        <v>10</v>
      </c>
      <c r="HOO7" s="1179"/>
      <c r="HOP7" s="1179"/>
      <c r="HOQ7" s="1180"/>
      <c r="HOR7" s="1178" t="s">
        <v>8</v>
      </c>
      <c r="HOS7" s="1179"/>
      <c r="HOT7" s="1179"/>
      <c r="HOU7" s="1179"/>
      <c r="HOV7" s="1179" t="s">
        <v>10</v>
      </c>
      <c r="HOW7" s="1179"/>
      <c r="HOX7" s="1179"/>
      <c r="HOY7" s="1180"/>
      <c r="HOZ7" s="1178" t="s">
        <v>8</v>
      </c>
      <c r="HPA7" s="1179"/>
      <c r="HPB7" s="1179"/>
      <c r="HPC7" s="1179"/>
      <c r="HPD7" s="1179" t="s">
        <v>10</v>
      </c>
      <c r="HPE7" s="1179"/>
      <c r="HPF7" s="1179"/>
      <c r="HPG7" s="1180"/>
      <c r="HPH7" s="1178" t="s">
        <v>8</v>
      </c>
      <c r="HPI7" s="1179"/>
      <c r="HPJ7" s="1179"/>
      <c r="HPK7" s="1179"/>
      <c r="HPL7" s="1179" t="s">
        <v>10</v>
      </c>
      <c r="HPM7" s="1179"/>
      <c r="HPN7" s="1179"/>
      <c r="HPO7" s="1180"/>
      <c r="HPP7" s="1178" t="s">
        <v>8</v>
      </c>
      <c r="HPQ7" s="1179"/>
      <c r="HPR7" s="1179"/>
      <c r="HPS7" s="1179"/>
      <c r="HPT7" s="1179" t="s">
        <v>10</v>
      </c>
      <c r="HPU7" s="1179"/>
      <c r="HPV7" s="1179"/>
      <c r="HPW7" s="1180"/>
      <c r="HPX7" s="1178" t="s">
        <v>8</v>
      </c>
      <c r="HPY7" s="1179"/>
      <c r="HPZ7" s="1179"/>
      <c r="HQA7" s="1179"/>
      <c r="HQB7" s="1179" t="s">
        <v>10</v>
      </c>
      <c r="HQC7" s="1179"/>
      <c r="HQD7" s="1179"/>
      <c r="HQE7" s="1180"/>
      <c r="HQF7" s="1178" t="s">
        <v>8</v>
      </c>
      <c r="HQG7" s="1179"/>
      <c r="HQH7" s="1179"/>
      <c r="HQI7" s="1179"/>
      <c r="HQJ7" s="1179" t="s">
        <v>10</v>
      </c>
      <c r="HQK7" s="1179"/>
      <c r="HQL7" s="1179"/>
      <c r="HQM7" s="1180"/>
      <c r="HQN7" s="1178" t="s">
        <v>8</v>
      </c>
      <c r="HQO7" s="1179"/>
      <c r="HQP7" s="1179"/>
      <c r="HQQ7" s="1179"/>
      <c r="HQR7" s="1179" t="s">
        <v>10</v>
      </c>
      <c r="HQS7" s="1179"/>
      <c r="HQT7" s="1179"/>
      <c r="HQU7" s="1180"/>
      <c r="HQV7" s="1178" t="s">
        <v>8</v>
      </c>
      <c r="HQW7" s="1179"/>
      <c r="HQX7" s="1179"/>
      <c r="HQY7" s="1179"/>
      <c r="HQZ7" s="1179" t="s">
        <v>10</v>
      </c>
      <c r="HRA7" s="1179"/>
      <c r="HRB7" s="1179"/>
      <c r="HRC7" s="1180"/>
      <c r="HRD7" s="1178" t="s">
        <v>8</v>
      </c>
      <c r="HRE7" s="1179"/>
      <c r="HRF7" s="1179"/>
      <c r="HRG7" s="1179"/>
      <c r="HRH7" s="1179" t="s">
        <v>10</v>
      </c>
      <c r="HRI7" s="1179"/>
      <c r="HRJ7" s="1179"/>
      <c r="HRK7" s="1180"/>
      <c r="HRL7" s="1178" t="s">
        <v>8</v>
      </c>
      <c r="HRM7" s="1179"/>
      <c r="HRN7" s="1179"/>
      <c r="HRO7" s="1179"/>
      <c r="HRP7" s="1179" t="s">
        <v>10</v>
      </c>
      <c r="HRQ7" s="1179"/>
      <c r="HRR7" s="1179"/>
      <c r="HRS7" s="1180"/>
      <c r="HRT7" s="1178" t="s">
        <v>8</v>
      </c>
      <c r="HRU7" s="1179"/>
      <c r="HRV7" s="1179"/>
      <c r="HRW7" s="1179"/>
      <c r="HRX7" s="1179" t="s">
        <v>10</v>
      </c>
      <c r="HRY7" s="1179"/>
      <c r="HRZ7" s="1179"/>
      <c r="HSA7" s="1180"/>
      <c r="HSB7" s="1178" t="s">
        <v>8</v>
      </c>
      <c r="HSC7" s="1179"/>
      <c r="HSD7" s="1179"/>
      <c r="HSE7" s="1179"/>
      <c r="HSF7" s="1179" t="s">
        <v>10</v>
      </c>
      <c r="HSG7" s="1179"/>
      <c r="HSH7" s="1179"/>
      <c r="HSI7" s="1180"/>
      <c r="HSJ7" s="1178" t="s">
        <v>8</v>
      </c>
      <c r="HSK7" s="1179"/>
      <c r="HSL7" s="1179"/>
      <c r="HSM7" s="1179"/>
      <c r="HSN7" s="1179" t="s">
        <v>10</v>
      </c>
      <c r="HSO7" s="1179"/>
      <c r="HSP7" s="1179"/>
      <c r="HSQ7" s="1180"/>
      <c r="HSR7" s="1178" t="s">
        <v>8</v>
      </c>
      <c r="HSS7" s="1179"/>
      <c r="HST7" s="1179"/>
      <c r="HSU7" s="1179"/>
      <c r="HSV7" s="1179" t="s">
        <v>10</v>
      </c>
      <c r="HSW7" s="1179"/>
      <c r="HSX7" s="1179"/>
      <c r="HSY7" s="1180"/>
      <c r="HSZ7" s="1178" t="s">
        <v>8</v>
      </c>
      <c r="HTA7" s="1179"/>
      <c r="HTB7" s="1179"/>
      <c r="HTC7" s="1179"/>
      <c r="HTD7" s="1179" t="s">
        <v>10</v>
      </c>
      <c r="HTE7" s="1179"/>
      <c r="HTF7" s="1179"/>
      <c r="HTG7" s="1180"/>
      <c r="HTH7" s="1178" t="s">
        <v>8</v>
      </c>
      <c r="HTI7" s="1179"/>
      <c r="HTJ7" s="1179"/>
      <c r="HTK7" s="1179"/>
      <c r="HTL7" s="1179" t="s">
        <v>10</v>
      </c>
      <c r="HTM7" s="1179"/>
      <c r="HTN7" s="1179"/>
      <c r="HTO7" s="1180"/>
      <c r="HTP7" s="1178" t="s">
        <v>8</v>
      </c>
      <c r="HTQ7" s="1179"/>
      <c r="HTR7" s="1179"/>
      <c r="HTS7" s="1179"/>
      <c r="HTT7" s="1179" t="s">
        <v>10</v>
      </c>
      <c r="HTU7" s="1179"/>
      <c r="HTV7" s="1179"/>
      <c r="HTW7" s="1180"/>
      <c r="HTX7" s="1178" t="s">
        <v>8</v>
      </c>
      <c r="HTY7" s="1179"/>
      <c r="HTZ7" s="1179"/>
      <c r="HUA7" s="1179"/>
      <c r="HUB7" s="1179" t="s">
        <v>10</v>
      </c>
      <c r="HUC7" s="1179"/>
      <c r="HUD7" s="1179"/>
      <c r="HUE7" s="1180"/>
      <c r="HUF7" s="1178" t="s">
        <v>8</v>
      </c>
      <c r="HUG7" s="1179"/>
      <c r="HUH7" s="1179"/>
      <c r="HUI7" s="1179"/>
      <c r="HUJ7" s="1179" t="s">
        <v>10</v>
      </c>
      <c r="HUK7" s="1179"/>
      <c r="HUL7" s="1179"/>
      <c r="HUM7" s="1180"/>
      <c r="HUN7" s="1178" t="s">
        <v>8</v>
      </c>
      <c r="HUO7" s="1179"/>
      <c r="HUP7" s="1179"/>
      <c r="HUQ7" s="1179"/>
      <c r="HUR7" s="1179" t="s">
        <v>10</v>
      </c>
      <c r="HUS7" s="1179"/>
      <c r="HUT7" s="1179"/>
      <c r="HUU7" s="1180"/>
      <c r="HUV7" s="1178" t="s">
        <v>8</v>
      </c>
      <c r="HUW7" s="1179"/>
      <c r="HUX7" s="1179"/>
      <c r="HUY7" s="1179"/>
      <c r="HUZ7" s="1179" t="s">
        <v>10</v>
      </c>
      <c r="HVA7" s="1179"/>
      <c r="HVB7" s="1179"/>
      <c r="HVC7" s="1180"/>
      <c r="HVD7" s="1178" t="s">
        <v>8</v>
      </c>
      <c r="HVE7" s="1179"/>
      <c r="HVF7" s="1179"/>
      <c r="HVG7" s="1179"/>
      <c r="HVH7" s="1179" t="s">
        <v>10</v>
      </c>
      <c r="HVI7" s="1179"/>
      <c r="HVJ7" s="1179"/>
      <c r="HVK7" s="1180"/>
      <c r="HVL7" s="1178" t="s">
        <v>8</v>
      </c>
      <c r="HVM7" s="1179"/>
      <c r="HVN7" s="1179"/>
      <c r="HVO7" s="1179"/>
      <c r="HVP7" s="1179" t="s">
        <v>10</v>
      </c>
      <c r="HVQ7" s="1179"/>
      <c r="HVR7" s="1179"/>
      <c r="HVS7" s="1180"/>
      <c r="HVT7" s="1178" t="s">
        <v>8</v>
      </c>
      <c r="HVU7" s="1179"/>
      <c r="HVV7" s="1179"/>
      <c r="HVW7" s="1179"/>
      <c r="HVX7" s="1179" t="s">
        <v>10</v>
      </c>
      <c r="HVY7" s="1179"/>
      <c r="HVZ7" s="1179"/>
      <c r="HWA7" s="1180"/>
      <c r="HWB7" s="1178" t="s">
        <v>8</v>
      </c>
      <c r="HWC7" s="1179"/>
      <c r="HWD7" s="1179"/>
      <c r="HWE7" s="1179"/>
      <c r="HWF7" s="1179" t="s">
        <v>10</v>
      </c>
      <c r="HWG7" s="1179"/>
      <c r="HWH7" s="1179"/>
      <c r="HWI7" s="1180"/>
      <c r="HWJ7" s="1178" t="s">
        <v>8</v>
      </c>
      <c r="HWK7" s="1179"/>
      <c r="HWL7" s="1179"/>
      <c r="HWM7" s="1179"/>
      <c r="HWN7" s="1179" t="s">
        <v>10</v>
      </c>
      <c r="HWO7" s="1179"/>
      <c r="HWP7" s="1179"/>
      <c r="HWQ7" s="1180"/>
      <c r="HWR7" s="1178" t="s">
        <v>8</v>
      </c>
      <c r="HWS7" s="1179"/>
      <c r="HWT7" s="1179"/>
      <c r="HWU7" s="1179"/>
      <c r="HWV7" s="1179" t="s">
        <v>10</v>
      </c>
      <c r="HWW7" s="1179"/>
      <c r="HWX7" s="1179"/>
      <c r="HWY7" s="1180"/>
      <c r="HWZ7" s="1178" t="s">
        <v>8</v>
      </c>
      <c r="HXA7" s="1179"/>
      <c r="HXB7" s="1179"/>
      <c r="HXC7" s="1179"/>
      <c r="HXD7" s="1179" t="s">
        <v>10</v>
      </c>
      <c r="HXE7" s="1179"/>
      <c r="HXF7" s="1179"/>
      <c r="HXG7" s="1180"/>
      <c r="HXH7" s="1178" t="s">
        <v>8</v>
      </c>
      <c r="HXI7" s="1179"/>
      <c r="HXJ7" s="1179"/>
      <c r="HXK7" s="1179"/>
      <c r="HXL7" s="1179" t="s">
        <v>10</v>
      </c>
      <c r="HXM7" s="1179"/>
      <c r="HXN7" s="1179"/>
      <c r="HXO7" s="1180"/>
      <c r="HXP7" s="1178" t="s">
        <v>8</v>
      </c>
      <c r="HXQ7" s="1179"/>
      <c r="HXR7" s="1179"/>
      <c r="HXS7" s="1179"/>
      <c r="HXT7" s="1179" t="s">
        <v>10</v>
      </c>
      <c r="HXU7" s="1179"/>
      <c r="HXV7" s="1179"/>
      <c r="HXW7" s="1180"/>
      <c r="HXX7" s="1178" t="s">
        <v>8</v>
      </c>
      <c r="HXY7" s="1179"/>
      <c r="HXZ7" s="1179"/>
      <c r="HYA7" s="1179"/>
      <c r="HYB7" s="1179" t="s">
        <v>10</v>
      </c>
      <c r="HYC7" s="1179"/>
      <c r="HYD7" s="1179"/>
      <c r="HYE7" s="1180"/>
      <c r="HYF7" s="1178" t="s">
        <v>8</v>
      </c>
      <c r="HYG7" s="1179"/>
      <c r="HYH7" s="1179"/>
      <c r="HYI7" s="1179"/>
      <c r="HYJ7" s="1179" t="s">
        <v>10</v>
      </c>
      <c r="HYK7" s="1179"/>
      <c r="HYL7" s="1179"/>
      <c r="HYM7" s="1180"/>
      <c r="HYN7" s="1178" t="s">
        <v>8</v>
      </c>
      <c r="HYO7" s="1179"/>
      <c r="HYP7" s="1179"/>
      <c r="HYQ7" s="1179"/>
      <c r="HYR7" s="1179" t="s">
        <v>10</v>
      </c>
      <c r="HYS7" s="1179"/>
      <c r="HYT7" s="1179"/>
      <c r="HYU7" s="1180"/>
      <c r="HYV7" s="1178" t="s">
        <v>8</v>
      </c>
      <c r="HYW7" s="1179"/>
      <c r="HYX7" s="1179"/>
      <c r="HYY7" s="1179"/>
      <c r="HYZ7" s="1179" t="s">
        <v>10</v>
      </c>
      <c r="HZA7" s="1179"/>
      <c r="HZB7" s="1179"/>
      <c r="HZC7" s="1180"/>
      <c r="HZD7" s="1178" t="s">
        <v>8</v>
      </c>
      <c r="HZE7" s="1179"/>
      <c r="HZF7" s="1179"/>
      <c r="HZG7" s="1179"/>
      <c r="HZH7" s="1179" t="s">
        <v>10</v>
      </c>
      <c r="HZI7" s="1179"/>
      <c r="HZJ7" s="1179"/>
      <c r="HZK7" s="1180"/>
      <c r="HZL7" s="1178" t="s">
        <v>8</v>
      </c>
      <c r="HZM7" s="1179"/>
      <c r="HZN7" s="1179"/>
      <c r="HZO7" s="1179"/>
      <c r="HZP7" s="1179" t="s">
        <v>10</v>
      </c>
      <c r="HZQ7" s="1179"/>
      <c r="HZR7" s="1179"/>
      <c r="HZS7" s="1180"/>
      <c r="HZT7" s="1178" t="s">
        <v>8</v>
      </c>
      <c r="HZU7" s="1179"/>
      <c r="HZV7" s="1179"/>
      <c r="HZW7" s="1179"/>
      <c r="HZX7" s="1179" t="s">
        <v>10</v>
      </c>
      <c r="HZY7" s="1179"/>
      <c r="HZZ7" s="1179"/>
      <c r="IAA7" s="1180"/>
      <c r="IAB7" s="1178" t="s">
        <v>8</v>
      </c>
      <c r="IAC7" s="1179"/>
      <c r="IAD7" s="1179"/>
      <c r="IAE7" s="1179"/>
      <c r="IAF7" s="1179" t="s">
        <v>10</v>
      </c>
      <c r="IAG7" s="1179"/>
      <c r="IAH7" s="1179"/>
      <c r="IAI7" s="1180"/>
      <c r="IAJ7" s="1178" t="s">
        <v>8</v>
      </c>
      <c r="IAK7" s="1179"/>
      <c r="IAL7" s="1179"/>
      <c r="IAM7" s="1179"/>
      <c r="IAN7" s="1179" t="s">
        <v>10</v>
      </c>
      <c r="IAO7" s="1179"/>
      <c r="IAP7" s="1179"/>
      <c r="IAQ7" s="1180"/>
      <c r="IAR7" s="1178" t="s">
        <v>8</v>
      </c>
      <c r="IAS7" s="1179"/>
      <c r="IAT7" s="1179"/>
      <c r="IAU7" s="1179"/>
      <c r="IAV7" s="1179" t="s">
        <v>10</v>
      </c>
      <c r="IAW7" s="1179"/>
      <c r="IAX7" s="1179"/>
      <c r="IAY7" s="1180"/>
      <c r="IAZ7" s="1178" t="s">
        <v>8</v>
      </c>
      <c r="IBA7" s="1179"/>
      <c r="IBB7" s="1179"/>
      <c r="IBC7" s="1179"/>
      <c r="IBD7" s="1179" t="s">
        <v>10</v>
      </c>
      <c r="IBE7" s="1179"/>
      <c r="IBF7" s="1179"/>
      <c r="IBG7" s="1180"/>
      <c r="IBH7" s="1178" t="s">
        <v>8</v>
      </c>
      <c r="IBI7" s="1179"/>
      <c r="IBJ7" s="1179"/>
      <c r="IBK7" s="1179"/>
      <c r="IBL7" s="1179" t="s">
        <v>10</v>
      </c>
      <c r="IBM7" s="1179"/>
      <c r="IBN7" s="1179"/>
      <c r="IBO7" s="1180"/>
      <c r="IBP7" s="1178" t="s">
        <v>8</v>
      </c>
      <c r="IBQ7" s="1179"/>
      <c r="IBR7" s="1179"/>
      <c r="IBS7" s="1179"/>
      <c r="IBT7" s="1179" t="s">
        <v>10</v>
      </c>
      <c r="IBU7" s="1179"/>
      <c r="IBV7" s="1179"/>
      <c r="IBW7" s="1180"/>
      <c r="IBX7" s="1178" t="s">
        <v>8</v>
      </c>
      <c r="IBY7" s="1179"/>
      <c r="IBZ7" s="1179"/>
      <c r="ICA7" s="1179"/>
      <c r="ICB7" s="1179" t="s">
        <v>10</v>
      </c>
      <c r="ICC7" s="1179"/>
      <c r="ICD7" s="1179"/>
      <c r="ICE7" s="1180"/>
      <c r="ICF7" s="1178" t="s">
        <v>8</v>
      </c>
      <c r="ICG7" s="1179"/>
      <c r="ICH7" s="1179"/>
      <c r="ICI7" s="1179"/>
      <c r="ICJ7" s="1179" t="s">
        <v>10</v>
      </c>
      <c r="ICK7" s="1179"/>
      <c r="ICL7" s="1179"/>
      <c r="ICM7" s="1180"/>
      <c r="ICN7" s="1178" t="s">
        <v>8</v>
      </c>
      <c r="ICO7" s="1179"/>
      <c r="ICP7" s="1179"/>
      <c r="ICQ7" s="1179"/>
      <c r="ICR7" s="1179" t="s">
        <v>10</v>
      </c>
      <c r="ICS7" s="1179"/>
      <c r="ICT7" s="1179"/>
      <c r="ICU7" s="1180"/>
      <c r="ICV7" s="1178" t="s">
        <v>8</v>
      </c>
      <c r="ICW7" s="1179"/>
      <c r="ICX7" s="1179"/>
      <c r="ICY7" s="1179"/>
      <c r="ICZ7" s="1179" t="s">
        <v>10</v>
      </c>
      <c r="IDA7" s="1179"/>
      <c r="IDB7" s="1179"/>
      <c r="IDC7" s="1180"/>
      <c r="IDD7" s="1178" t="s">
        <v>8</v>
      </c>
      <c r="IDE7" s="1179"/>
      <c r="IDF7" s="1179"/>
      <c r="IDG7" s="1179"/>
      <c r="IDH7" s="1179" t="s">
        <v>10</v>
      </c>
      <c r="IDI7" s="1179"/>
      <c r="IDJ7" s="1179"/>
      <c r="IDK7" s="1180"/>
      <c r="IDL7" s="1178" t="s">
        <v>8</v>
      </c>
      <c r="IDM7" s="1179"/>
      <c r="IDN7" s="1179"/>
      <c r="IDO7" s="1179"/>
      <c r="IDP7" s="1179" t="s">
        <v>10</v>
      </c>
      <c r="IDQ7" s="1179"/>
      <c r="IDR7" s="1179"/>
      <c r="IDS7" s="1180"/>
      <c r="IDT7" s="1178" t="s">
        <v>8</v>
      </c>
      <c r="IDU7" s="1179"/>
      <c r="IDV7" s="1179"/>
      <c r="IDW7" s="1179"/>
      <c r="IDX7" s="1179" t="s">
        <v>10</v>
      </c>
      <c r="IDY7" s="1179"/>
      <c r="IDZ7" s="1179"/>
      <c r="IEA7" s="1180"/>
      <c r="IEB7" s="1178" t="s">
        <v>8</v>
      </c>
      <c r="IEC7" s="1179"/>
      <c r="IED7" s="1179"/>
      <c r="IEE7" s="1179"/>
      <c r="IEF7" s="1179" t="s">
        <v>10</v>
      </c>
      <c r="IEG7" s="1179"/>
      <c r="IEH7" s="1179"/>
      <c r="IEI7" s="1180"/>
      <c r="IEJ7" s="1178" t="s">
        <v>8</v>
      </c>
      <c r="IEK7" s="1179"/>
      <c r="IEL7" s="1179"/>
      <c r="IEM7" s="1179"/>
      <c r="IEN7" s="1179" t="s">
        <v>10</v>
      </c>
      <c r="IEO7" s="1179"/>
      <c r="IEP7" s="1179"/>
      <c r="IEQ7" s="1180"/>
      <c r="IER7" s="1178" t="s">
        <v>8</v>
      </c>
      <c r="IES7" s="1179"/>
      <c r="IET7" s="1179"/>
      <c r="IEU7" s="1179"/>
      <c r="IEV7" s="1179" t="s">
        <v>10</v>
      </c>
      <c r="IEW7" s="1179"/>
      <c r="IEX7" s="1179"/>
      <c r="IEY7" s="1180"/>
      <c r="IEZ7" s="1178" t="s">
        <v>8</v>
      </c>
      <c r="IFA7" s="1179"/>
      <c r="IFB7" s="1179"/>
      <c r="IFC7" s="1179"/>
      <c r="IFD7" s="1179" t="s">
        <v>10</v>
      </c>
      <c r="IFE7" s="1179"/>
      <c r="IFF7" s="1179"/>
      <c r="IFG7" s="1180"/>
      <c r="IFH7" s="1178" t="s">
        <v>8</v>
      </c>
      <c r="IFI7" s="1179"/>
      <c r="IFJ7" s="1179"/>
      <c r="IFK7" s="1179"/>
      <c r="IFL7" s="1179" t="s">
        <v>10</v>
      </c>
      <c r="IFM7" s="1179"/>
      <c r="IFN7" s="1179"/>
      <c r="IFO7" s="1180"/>
      <c r="IFP7" s="1178" t="s">
        <v>8</v>
      </c>
      <c r="IFQ7" s="1179"/>
      <c r="IFR7" s="1179"/>
      <c r="IFS7" s="1179"/>
      <c r="IFT7" s="1179" t="s">
        <v>10</v>
      </c>
      <c r="IFU7" s="1179"/>
      <c r="IFV7" s="1179"/>
      <c r="IFW7" s="1180"/>
      <c r="IFX7" s="1178" t="s">
        <v>8</v>
      </c>
      <c r="IFY7" s="1179"/>
      <c r="IFZ7" s="1179"/>
      <c r="IGA7" s="1179"/>
      <c r="IGB7" s="1179" t="s">
        <v>10</v>
      </c>
      <c r="IGC7" s="1179"/>
      <c r="IGD7" s="1179"/>
      <c r="IGE7" s="1180"/>
      <c r="IGF7" s="1178" t="s">
        <v>8</v>
      </c>
      <c r="IGG7" s="1179"/>
      <c r="IGH7" s="1179"/>
      <c r="IGI7" s="1179"/>
      <c r="IGJ7" s="1179" t="s">
        <v>10</v>
      </c>
      <c r="IGK7" s="1179"/>
      <c r="IGL7" s="1179"/>
      <c r="IGM7" s="1180"/>
      <c r="IGN7" s="1178" t="s">
        <v>8</v>
      </c>
      <c r="IGO7" s="1179"/>
      <c r="IGP7" s="1179"/>
      <c r="IGQ7" s="1179"/>
      <c r="IGR7" s="1179" t="s">
        <v>10</v>
      </c>
      <c r="IGS7" s="1179"/>
      <c r="IGT7" s="1179"/>
      <c r="IGU7" s="1180"/>
      <c r="IGV7" s="1178" t="s">
        <v>8</v>
      </c>
      <c r="IGW7" s="1179"/>
      <c r="IGX7" s="1179"/>
      <c r="IGY7" s="1179"/>
      <c r="IGZ7" s="1179" t="s">
        <v>10</v>
      </c>
      <c r="IHA7" s="1179"/>
      <c r="IHB7" s="1179"/>
      <c r="IHC7" s="1180"/>
      <c r="IHD7" s="1178" t="s">
        <v>8</v>
      </c>
      <c r="IHE7" s="1179"/>
      <c r="IHF7" s="1179"/>
      <c r="IHG7" s="1179"/>
      <c r="IHH7" s="1179" t="s">
        <v>10</v>
      </c>
      <c r="IHI7" s="1179"/>
      <c r="IHJ7" s="1179"/>
      <c r="IHK7" s="1180"/>
      <c r="IHL7" s="1178" t="s">
        <v>8</v>
      </c>
      <c r="IHM7" s="1179"/>
      <c r="IHN7" s="1179"/>
      <c r="IHO7" s="1179"/>
      <c r="IHP7" s="1179" t="s">
        <v>10</v>
      </c>
      <c r="IHQ7" s="1179"/>
      <c r="IHR7" s="1179"/>
      <c r="IHS7" s="1180"/>
      <c r="IHT7" s="1178" t="s">
        <v>8</v>
      </c>
      <c r="IHU7" s="1179"/>
      <c r="IHV7" s="1179"/>
      <c r="IHW7" s="1179"/>
      <c r="IHX7" s="1179" t="s">
        <v>10</v>
      </c>
      <c r="IHY7" s="1179"/>
      <c r="IHZ7" s="1179"/>
      <c r="IIA7" s="1180"/>
      <c r="IIB7" s="1178" t="s">
        <v>8</v>
      </c>
      <c r="IIC7" s="1179"/>
      <c r="IID7" s="1179"/>
      <c r="IIE7" s="1179"/>
      <c r="IIF7" s="1179" t="s">
        <v>10</v>
      </c>
      <c r="IIG7" s="1179"/>
      <c r="IIH7" s="1179"/>
      <c r="III7" s="1180"/>
      <c r="IIJ7" s="1178" t="s">
        <v>8</v>
      </c>
      <c r="IIK7" s="1179"/>
      <c r="IIL7" s="1179"/>
      <c r="IIM7" s="1179"/>
      <c r="IIN7" s="1179" t="s">
        <v>10</v>
      </c>
      <c r="IIO7" s="1179"/>
      <c r="IIP7" s="1179"/>
      <c r="IIQ7" s="1180"/>
      <c r="IIR7" s="1178" t="s">
        <v>8</v>
      </c>
      <c r="IIS7" s="1179"/>
      <c r="IIT7" s="1179"/>
      <c r="IIU7" s="1179"/>
      <c r="IIV7" s="1179" t="s">
        <v>10</v>
      </c>
      <c r="IIW7" s="1179"/>
      <c r="IIX7" s="1179"/>
      <c r="IIY7" s="1180"/>
      <c r="IIZ7" s="1178" t="s">
        <v>8</v>
      </c>
      <c r="IJA7" s="1179"/>
      <c r="IJB7" s="1179"/>
      <c r="IJC7" s="1179"/>
      <c r="IJD7" s="1179" t="s">
        <v>10</v>
      </c>
      <c r="IJE7" s="1179"/>
      <c r="IJF7" s="1179"/>
      <c r="IJG7" s="1180"/>
      <c r="IJH7" s="1178" t="s">
        <v>8</v>
      </c>
      <c r="IJI7" s="1179"/>
      <c r="IJJ7" s="1179"/>
      <c r="IJK7" s="1179"/>
      <c r="IJL7" s="1179" t="s">
        <v>10</v>
      </c>
      <c r="IJM7" s="1179"/>
      <c r="IJN7" s="1179"/>
      <c r="IJO7" s="1180"/>
      <c r="IJP7" s="1178" t="s">
        <v>8</v>
      </c>
      <c r="IJQ7" s="1179"/>
      <c r="IJR7" s="1179"/>
      <c r="IJS7" s="1179"/>
      <c r="IJT7" s="1179" t="s">
        <v>10</v>
      </c>
      <c r="IJU7" s="1179"/>
      <c r="IJV7" s="1179"/>
      <c r="IJW7" s="1180"/>
      <c r="IJX7" s="1178" t="s">
        <v>8</v>
      </c>
      <c r="IJY7" s="1179"/>
      <c r="IJZ7" s="1179"/>
      <c r="IKA7" s="1179"/>
      <c r="IKB7" s="1179" t="s">
        <v>10</v>
      </c>
      <c r="IKC7" s="1179"/>
      <c r="IKD7" s="1179"/>
      <c r="IKE7" s="1180"/>
      <c r="IKF7" s="1178" t="s">
        <v>8</v>
      </c>
      <c r="IKG7" s="1179"/>
      <c r="IKH7" s="1179"/>
      <c r="IKI7" s="1179"/>
      <c r="IKJ7" s="1179" t="s">
        <v>10</v>
      </c>
      <c r="IKK7" s="1179"/>
      <c r="IKL7" s="1179"/>
      <c r="IKM7" s="1180"/>
      <c r="IKN7" s="1178" t="s">
        <v>8</v>
      </c>
      <c r="IKO7" s="1179"/>
      <c r="IKP7" s="1179"/>
      <c r="IKQ7" s="1179"/>
      <c r="IKR7" s="1179" t="s">
        <v>10</v>
      </c>
      <c r="IKS7" s="1179"/>
      <c r="IKT7" s="1179"/>
      <c r="IKU7" s="1180"/>
      <c r="IKV7" s="1178" t="s">
        <v>8</v>
      </c>
      <c r="IKW7" s="1179"/>
      <c r="IKX7" s="1179"/>
      <c r="IKY7" s="1179"/>
      <c r="IKZ7" s="1179" t="s">
        <v>10</v>
      </c>
      <c r="ILA7" s="1179"/>
      <c r="ILB7" s="1179"/>
      <c r="ILC7" s="1180"/>
      <c r="ILD7" s="1178" t="s">
        <v>8</v>
      </c>
      <c r="ILE7" s="1179"/>
      <c r="ILF7" s="1179"/>
      <c r="ILG7" s="1179"/>
      <c r="ILH7" s="1179" t="s">
        <v>10</v>
      </c>
      <c r="ILI7" s="1179"/>
      <c r="ILJ7" s="1179"/>
      <c r="ILK7" s="1180"/>
      <c r="ILL7" s="1178" t="s">
        <v>8</v>
      </c>
      <c r="ILM7" s="1179"/>
      <c r="ILN7" s="1179"/>
      <c r="ILO7" s="1179"/>
      <c r="ILP7" s="1179" t="s">
        <v>10</v>
      </c>
      <c r="ILQ7" s="1179"/>
      <c r="ILR7" s="1179"/>
      <c r="ILS7" s="1180"/>
      <c r="ILT7" s="1178" t="s">
        <v>8</v>
      </c>
      <c r="ILU7" s="1179"/>
      <c r="ILV7" s="1179"/>
      <c r="ILW7" s="1179"/>
      <c r="ILX7" s="1179" t="s">
        <v>10</v>
      </c>
      <c r="ILY7" s="1179"/>
      <c r="ILZ7" s="1179"/>
      <c r="IMA7" s="1180"/>
      <c r="IMB7" s="1178" t="s">
        <v>8</v>
      </c>
      <c r="IMC7" s="1179"/>
      <c r="IMD7" s="1179"/>
      <c r="IME7" s="1179"/>
      <c r="IMF7" s="1179" t="s">
        <v>10</v>
      </c>
      <c r="IMG7" s="1179"/>
      <c r="IMH7" s="1179"/>
      <c r="IMI7" s="1180"/>
      <c r="IMJ7" s="1178" t="s">
        <v>8</v>
      </c>
      <c r="IMK7" s="1179"/>
      <c r="IML7" s="1179"/>
      <c r="IMM7" s="1179"/>
      <c r="IMN7" s="1179" t="s">
        <v>10</v>
      </c>
      <c r="IMO7" s="1179"/>
      <c r="IMP7" s="1179"/>
      <c r="IMQ7" s="1180"/>
      <c r="IMR7" s="1178" t="s">
        <v>8</v>
      </c>
      <c r="IMS7" s="1179"/>
      <c r="IMT7" s="1179"/>
      <c r="IMU7" s="1179"/>
      <c r="IMV7" s="1179" t="s">
        <v>10</v>
      </c>
      <c r="IMW7" s="1179"/>
      <c r="IMX7" s="1179"/>
      <c r="IMY7" s="1180"/>
      <c r="IMZ7" s="1178" t="s">
        <v>8</v>
      </c>
      <c r="INA7" s="1179"/>
      <c r="INB7" s="1179"/>
      <c r="INC7" s="1179"/>
      <c r="IND7" s="1179" t="s">
        <v>10</v>
      </c>
      <c r="INE7" s="1179"/>
      <c r="INF7" s="1179"/>
      <c r="ING7" s="1180"/>
      <c r="INH7" s="1178" t="s">
        <v>8</v>
      </c>
      <c r="INI7" s="1179"/>
      <c r="INJ7" s="1179"/>
      <c r="INK7" s="1179"/>
      <c r="INL7" s="1179" t="s">
        <v>10</v>
      </c>
      <c r="INM7" s="1179"/>
      <c r="INN7" s="1179"/>
      <c r="INO7" s="1180"/>
      <c r="INP7" s="1178" t="s">
        <v>8</v>
      </c>
      <c r="INQ7" s="1179"/>
      <c r="INR7" s="1179"/>
      <c r="INS7" s="1179"/>
      <c r="INT7" s="1179" t="s">
        <v>10</v>
      </c>
      <c r="INU7" s="1179"/>
      <c r="INV7" s="1179"/>
      <c r="INW7" s="1180"/>
      <c r="INX7" s="1178" t="s">
        <v>8</v>
      </c>
      <c r="INY7" s="1179"/>
      <c r="INZ7" s="1179"/>
      <c r="IOA7" s="1179"/>
      <c r="IOB7" s="1179" t="s">
        <v>10</v>
      </c>
      <c r="IOC7" s="1179"/>
      <c r="IOD7" s="1179"/>
      <c r="IOE7" s="1180"/>
      <c r="IOF7" s="1178" t="s">
        <v>8</v>
      </c>
      <c r="IOG7" s="1179"/>
      <c r="IOH7" s="1179"/>
      <c r="IOI7" s="1179"/>
      <c r="IOJ7" s="1179" t="s">
        <v>10</v>
      </c>
      <c r="IOK7" s="1179"/>
      <c r="IOL7" s="1179"/>
      <c r="IOM7" s="1180"/>
      <c r="ION7" s="1178" t="s">
        <v>8</v>
      </c>
      <c r="IOO7" s="1179"/>
      <c r="IOP7" s="1179"/>
      <c r="IOQ7" s="1179"/>
      <c r="IOR7" s="1179" t="s">
        <v>10</v>
      </c>
      <c r="IOS7" s="1179"/>
      <c r="IOT7" s="1179"/>
      <c r="IOU7" s="1180"/>
      <c r="IOV7" s="1178" t="s">
        <v>8</v>
      </c>
      <c r="IOW7" s="1179"/>
      <c r="IOX7" s="1179"/>
      <c r="IOY7" s="1179"/>
      <c r="IOZ7" s="1179" t="s">
        <v>10</v>
      </c>
      <c r="IPA7" s="1179"/>
      <c r="IPB7" s="1179"/>
      <c r="IPC7" s="1180"/>
      <c r="IPD7" s="1178" t="s">
        <v>8</v>
      </c>
      <c r="IPE7" s="1179"/>
      <c r="IPF7" s="1179"/>
      <c r="IPG7" s="1179"/>
      <c r="IPH7" s="1179" t="s">
        <v>10</v>
      </c>
      <c r="IPI7" s="1179"/>
      <c r="IPJ7" s="1179"/>
      <c r="IPK7" s="1180"/>
      <c r="IPL7" s="1178" t="s">
        <v>8</v>
      </c>
      <c r="IPM7" s="1179"/>
      <c r="IPN7" s="1179"/>
      <c r="IPO7" s="1179"/>
      <c r="IPP7" s="1179" t="s">
        <v>10</v>
      </c>
      <c r="IPQ7" s="1179"/>
      <c r="IPR7" s="1179"/>
      <c r="IPS7" s="1180"/>
      <c r="IPT7" s="1178" t="s">
        <v>8</v>
      </c>
      <c r="IPU7" s="1179"/>
      <c r="IPV7" s="1179"/>
      <c r="IPW7" s="1179"/>
      <c r="IPX7" s="1179" t="s">
        <v>10</v>
      </c>
      <c r="IPY7" s="1179"/>
      <c r="IPZ7" s="1179"/>
      <c r="IQA7" s="1180"/>
      <c r="IQB7" s="1178" t="s">
        <v>8</v>
      </c>
      <c r="IQC7" s="1179"/>
      <c r="IQD7" s="1179"/>
      <c r="IQE7" s="1179"/>
      <c r="IQF7" s="1179" t="s">
        <v>10</v>
      </c>
      <c r="IQG7" s="1179"/>
      <c r="IQH7" s="1179"/>
      <c r="IQI7" s="1180"/>
      <c r="IQJ7" s="1178" t="s">
        <v>8</v>
      </c>
      <c r="IQK7" s="1179"/>
      <c r="IQL7" s="1179"/>
      <c r="IQM7" s="1179"/>
      <c r="IQN7" s="1179" t="s">
        <v>10</v>
      </c>
      <c r="IQO7" s="1179"/>
      <c r="IQP7" s="1179"/>
      <c r="IQQ7" s="1180"/>
      <c r="IQR7" s="1178" t="s">
        <v>8</v>
      </c>
      <c r="IQS7" s="1179"/>
      <c r="IQT7" s="1179"/>
      <c r="IQU7" s="1179"/>
      <c r="IQV7" s="1179" t="s">
        <v>10</v>
      </c>
      <c r="IQW7" s="1179"/>
      <c r="IQX7" s="1179"/>
      <c r="IQY7" s="1180"/>
      <c r="IQZ7" s="1178" t="s">
        <v>8</v>
      </c>
      <c r="IRA7" s="1179"/>
      <c r="IRB7" s="1179"/>
      <c r="IRC7" s="1179"/>
      <c r="IRD7" s="1179" t="s">
        <v>10</v>
      </c>
      <c r="IRE7" s="1179"/>
      <c r="IRF7" s="1179"/>
      <c r="IRG7" s="1180"/>
      <c r="IRH7" s="1178" t="s">
        <v>8</v>
      </c>
      <c r="IRI7" s="1179"/>
      <c r="IRJ7" s="1179"/>
      <c r="IRK7" s="1179"/>
      <c r="IRL7" s="1179" t="s">
        <v>10</v>
      </c>
      <c r="IRM7" s="1179"/>
      <c r="IRN7" s="1179"/>
      <c r="IRO7" s="1180"/>
      <c r="IRP7" s="1178" t="s">
        <v>8</v>
      </c>
      <c r="IRQ7" s="1179"/>
      <c r="IRR7" s="1179"/>
      <c r="IRS7" s="1179"/>
      <c r="IRT7" s="1179" t="s">
        <v>10</v>
      </c>
      <c r="IRU7" s="1179"/>
      <c r="IRV7" s="1179"/>
      <c r="IRW7" s="1180"/>
      <c r="IRX7" s="1178" t="s">
        <v>8</v>
      </c>
      <c r="IRY7" s="1179"/>
      <c r="IRZ7" s="1179"/>
      <c r="ISA7" s="1179"/>
      <c r="ISB7" s="1179" t="s">
        <v>10</v>
      </c>
      <c r="ISC7" s="1179"/>
      <c r="ISD7" s="1179"/>
      <c r="ISE7" s="1180"/>
      <c r="ISF7" s="1178" t="s">
        <v>8</v>
      </c>
      <c r="ISG7" s="1179"/>
      <c r="ISH7" s="1179"/>
      <c r="ISI7" s="1179"/>
      <c r="ISJ7" s="1179" t="s">
        <v>10</v>
      </c>
      <c r="ISK7" s="1179"/>
      <c r="ISL7" s="1179"/>
      <c r="ISM7" s="1180"/>
      <c r="ISN7" s="1178" t="s">
        <v>8</v>
      </c>
      <c r="ISO7" s="1179"/>
      <c r="ISP7" s="1179"/>
      <c r="ISQ7" s="1179"/>
      <c r="ISR7" s="1179" t="s">
        <v>10</v>
      </c>
      <c r="ISS7" s="1179"/>
      <c r="IST7" s="1179"/>
      <c r="ISU7" s="1180"/>
      <c r="ISV7" s="1178" t="s">
        <v>8</v>
      </c>
      <c r="ISW7" s="1179"/>
      <c r="ISX7" s="1179"/>
      <c r="ISY7" s="1179"/>
      <c r="ISZ7" s="1179" t="s">
        <v>10</v>
      </c>
      <c r="ITA7" s="1179"/>
      <c r="ITB7" s="1179"/>
      <c r="ITC7" s="1180"/>
      <c r="ITD7" s="1178" t="s">
        <v>8</v>
      </c>
      <c r="ITE7" s="1179"/>
      <c r="ITF7" s="1179"/>
      <c r="ITG7" s="1179"/>
      <c r="ITH7" s="1179" t="s">
        <v>10</v>
      </c>
      <c r="ITI7" s="1179"/>
      <c r="ITJ7" s="1179"/>
      <c r="ITK7" s="1180"/>
      <c r="ITL7" s="1178" t="s">
        <v>8</v>
      </c>
      <c r="ITM7" s="1179"/>
      <c r="ITN7" s="1179"/>
      <c r="ITO7" s="1179"/>
      <c r="ITP7" s="1179" t="s">
        <v>10</v>
      </c>
      <c r="ITQ7" s="1179"/>
      <c r="ITR7" s="1179"/>
      <c r="ITS7" s="1180"/>
      <c r="ITT7" s="1178" t="s">
        <v>8</v>
      </c>
      <c r="ITU7" s="1179"/>
      <c r="ITV7" s="1179"/>
      <c r="ITW7" s="1179"/>
      <c r="ITX7" s="1179" t="s">
        <v>10</v>
      </c>
      <c r="ITY7" s="1179"/>
      <c r="ITZ7" s="1179"/>
      <c r="IUA7" s="1180"/>
      <c r="IUB7" s="1178" t="s">
        <v>8</v>
      </c>
      <c r="IUC7" s="1179"/>
      <c r="IUD7" s="1179"/>
      <c r="IUE7" s="1179"/>
      <c r="IUF7" s="1179" t="s">
        <v>10</v>
      </c>
      <c r="IUG7" s="1179"/>
      <c r="IUH7" s="1179"/>
      <c r="IUI7" s="1180"/>
      <c r="IUJ7" s="1178" t="s">
        <v>8</v>
      </c>
      <c r="IUK7" s="1179"/>
      <c r="IUL7" s="1179"/>
      <c r="IUM7" s="1179"/>
      <c r="IUN7" s="1179" t="s">
        <v>10</v>
      </c>
      <c r="IUO7" s="1179"/>
      <c r="IUP7" s="1179"/>
      <c r="IUQ7" s="1180"/>
      <c r="IUR7" s="1178" t="s">
        <v>8</v>
      </c>
      <c r="IUS7" s="1179"/>
      <c r="IUT7" s="1179"/>
      <c r="IUU7" s="1179"/>
      <c r="IUV7" s="1179" t="s">
        <v>10</v>
      </c>
      <c r="IUW7" s="1179"/>
      <c r="IUX7" s="1179"/>
      <c r="IUY7" s="1180"/>
      <c r="IUZ7" s="1178" t="s">
        <v>8</v>
      </c>
      <c r="IVA7" s="1179"/>
      <c r="IVB7" s="1179"/>
      <c r="IVC7" s="1179"/>
      <c r="IVD7" s="1179" t="s">
        <v>10</v>
      </c>
      <c r="IVE7" s="1179"/>
      <c r="IVF7" s="1179"/>
      <c r="IVG7" s="1180"/>
      <c r="IVH7" s="1178" t="s">
        <v>8</v>
      </c>
      <c r="IVI7" s="1179"/>
      <c r="IVJ7" s="1179"/>
      <c r="IVK7" s="1179"/>
      <c r="IVL7" s="1179" t="s">
        <v>10</v>
      </c>
      <c r="IVM7" s="1179"/>
      <c r="IVN7" s="1179"/>
      <c r="IVO7" s="1180"/>
      <c r="IVP7" s="1178" t="s">
        <v>8</v>
      </c>
      <c r="IVQ7" s="1179"/>
      <c r="IVR7" s="1179"/>
      <c r="IVS7" s="1179"/>
      <c r="IVT7" s="1179" t="s">
        <v>10</v>
      </c>
      <c r="IVU7" s="1179"/>
      <c r="IVV7" s="1179"/>
      <c r="IVW7" s="1180"/>
      <c r="IVX7" s="1178" t="s">
        <v>8</v>
      </c>
      <c r="IVY7" s="1179"/>
      <c r="IVZ7" s="1179"/>
      <c r="IWA7" s="1179"/>
      <c r="IWB7" s="1179" t="s">
        <v>10</v>
      </c>
      <c r="IWC7" s="1179"/>
      <c r="IWD7" s="1179"/>
      <c r="IWE7" s="1180"/>
      <c r="IWF7" s="1178" t="s">
        <v>8</v>
      </c>
      <c r="IWG7" s="1179"/>
      <c r="IWH7" s="1179"/>
      <c r="IWI7" s="1179"/>
      <c r="IWJ7" s="1179" t="s">
        <v>10</v>
      </c>
      <c r="IWK7" s="1179"/>
      <c r="IWL7" s="1179"/>
      <c r="IWM7" s="1180"/>
      <c r="IWN7" s="1178" t="s">
        <v>8</v>
      </c>
      <c r="IWO7" s="1179"/>
      <c r="IWP7" s="1179"/>
      <c r="IWQ7" s="1179"/>
      <c r="IWR7" s="1179" t="s">
        <v>10</v>
      </c>
      <c r="IWS7" s="1179"/>
      <c r="IWT7" s="1179"/>
      <c r="IWU7" s="1180"/>
      <c r="IWV7" s="1178" t="s">
        <v>8</v>
      </c>
      <c r="IWW7" s="1179"/>
      <c r="IWX7" s="1179"/>
      <c r="IWY7" s="1179"/>
      <c r="IWZ7" s="1179" t="s">
        <v>10</v>
      </c>
      <c r="IXA7" s="1179"/>
      <c r="IXB7" s="1179"/>
      <c r="IXC7" s="1180"/>
      <c r="IXD7" s="1178" t="s">
        <v>8</v>
      </c>
      <c r="IXE7" s="1179"/>
      <c r="IXF7" s="1179"/>
      <c r="IXG7" s="1179"/>
      <c r="IXH7" s="1179" t="s">
        <v>10</v>
      </c>
      <c r="IXI7" s="1179"/>
      <c r="IXJ7" s="1179"/>
      <c r="IXK7" s="1180"/>
      <c r="IXL7" s="1178" t="s">
        <v>8</v>
      </c>
      <c r="IXM7" s="1179"/>
      <c r="IXN7" s="1179"/>
      <c r="IXO7" s="1179"/>
      <c r="IXP7" s="1179" t="s">
        <v>10</v>
      </c>
      <c r="IXQ7" s="1179"/>
      <c r="IXR7" s="1179"/>
      <c r="IXS7" s="1180"/>
      <c r="IXT7" s="1178" t="s">
        <v>8</v>
      </c>
      <c r="IXU7" s="1179"/>
      <c r="IXV7" s="1179"/>
      <c r="IXW7" s="1179"/>
      <c r="IXX7" s="1179" t="s">
        <v>10</v>
      </c>
      <c r="IXY7" s="1179"/>
      <c r="IXZ7" s="1179"/>
      <c r="IYA7" s="1180"/>
      <c r="IYB7" s="1178" t="s">
        <v>8</v>
      </c>
      <c r="IYC7" s="1179"/>
      <c r="IYD7" s="1179"/>
      <c r="IYE7" s="1179"/>
      <c r="IYF7" s="1179" t="s">
        <v>10</v>
      </c>
      <c r="IYG7" s="1179"/>
      <c r="IYH7" s="1179"/>
      <c r="IYI7" s="1180"/>
      <c r="IYJ7" s="1178" t="s">
        <v>8</v>
      </c>
      <c r="IYK7" s="1179"/>
      <c r="IYL7" s="1179"/>
      <c r="IYM7" s="1179"/>
      <c r="IYN7" s="1179" t="s">
        <v>10</v>
      </c>
      <c r="IYO7" s="1179"/>
      <c r="IYP7" s="1179"/>
      <c r="IYQ7" s="1180"/>
      <c r="IYR7" s="1178" t="s">
        <v>8</v>
      </c>
      <c r="IYS7" s="1179"/>
      <c r="IYT7" s="1179"/>
      <c r="IYU7" s="1179"/>
      <c r="IYV7" s="1179" t="s">
        <v>10</v>
      </c>
      <c r="IYW7" s="1179"/>
      <c r="IYX7" s="1179"/>
      <c r="IYY7" s="1180"/>
      <c r="IYZ7" s="1178" t="s">
        <v>8</v>
      </c>
      <c r="IZA7" s="1179"/>
      <c r="IZB7" s="1179"/>
      <c r="IZC7" s="1179"/>
      <c r="IZD7" s="1179" t="s">
        <v>10</v>
      </c>
      <c r="IZE7" s="1179"/>
      <c r="IZF7" s="1179"/>
      <c r="IZG7" s="1180"/>
      <c r="IZH7" s="1178" t="s">
        <v>8</v>
      </c>
      <c r="IZI7" s="1179"/>
      <c r="IZJ7" s="1179"/>
      <c r="IZK7" s="1179"/>
      <c r="IZL7" s="1179" t="s">
        <v>10</v>
      </c>
      <c r="IZM7" s="1179"/>
      <c r="IZN7" s="1179"/>
      <c r="IZO7" s="1180"/>
      <c r="IZP7" s="1178" t="s">
        <v>8</v>
      </c>
      <c r="IZQ7" s="1179"/>
      <c r="IZR7" s="1179"/>
      <c r="IZS7" s="1179"/>
      <c r="IZT7" s="1179" t="s">
        <v>10</v>
      </c>
      <c r="IZU7" s="1179"/>
      <c r="IZV7" s="1179"/>
      <c r="IZW7" s="1180"/>
      <c r="IZX7" s="1178" t="s">
        <v>8</v>
      </c>
      <c r="IZY7" s="1179"/>
      <c r="IZZ7" s="1179"/>
      <c r="JAA7" s="1179"/>
      <c r="JAB7" s="1179" t="s">
        <v>10</v>
      </c>
      <c r="JAC7" s="1179"/>
      <c r="JAD7" s="1179"/>
      <c r="JAE7" s="1180"/>
      <c r="JAF7" s="1178" t="s">
        <v>8</v>
      </c>
      <c r="JAG7" s="1179"/>
      <c r="JAH7" s="1179"/>
      <c r="JAI7" s="1179"/>
      <c r="JAJ7" s="1179" t="s">
        <v>10</v>
      </c>
      <c r="JAK7" s="1179"/>
      <c r="JAL7" s="1179"/>
      <c r="JAM7" s="1180"/>
      <c r="JAN7" s="1178" t="s">
        <v>8</v>
      </c>
      <c r="JAO7" s="1179"/>
      <c r="JAP7" s="1179"/>
      <c r="JAQ7" s="1179"/>
      <c r="JAR7" s="1179" t="s">
        <v>10</v>
      </c>
      <c r="JAS7" s="1179"/>
      <c r="JAT7" s="1179"/>
      <c r="JAU7" s="1180"/>
      <c r="JAV7" s="1178" t="s">
        <v>8</v>
      </c>
      <c r="JAW7" s="1179"/>
      <c r="JAX7" s="1179"/>
      <c r="JAY7" s="1179"/>
      <c r="JAZ7" s="1179" t="s">
        <v>10</v>
      </c>
      <c r="JBA7" s="1179"/>
      <c r="JBB7" s="1179"/>
      <c r="JBC7" s="1180"/>
      <c r="JBD7" s="1178" t="s">
        <v>8</v>
      </c>
      <c r="JBE7" s="1179"/>
      <c r="JBF7" s="1179"/>
      <c r="JBG7" s="1179"/>
      <c r="JBH7" s="1179" t="s">
        <v>10</v>
      </c>
      <c r="JBI7" s="1179"/>
      <c r="JBJ7" s="1179"/>
      <c r="JBK7" s="1180"/>
      <c r="JBL7" s="1178" t="s">
        <v>8</v>
      </c>
      <c r="JBM7" s="1179"/>
      <c r="JBN7" s="1179"/>
      <c r="JBO7" s="1179"/>
      <c r="JBP7" s="1179" t="s">
        <v>10</v>
      </c>
      <c r="JBQ7" s="1179"/>
      <c r="JBR7" s="1179"/>
      <c r="JBS7" s="1180"/>
      <c r="JBT7" s="1178" t="s">
        <v>8</v>
      </c>
      <c r="JBU7" s="1179"/>
      <c r="JBV7" s="1179"/>
      <c r="JBW7" s="1179"/>
      <c r="JBX7" s="1179" t="s">
        <v>10</v>
      </c>
      <c r="JBY7" s="1179"/>
      <c r="JBZ7" s="1179"/>
      <c r="JCA7" s="1180"/>
      <c r="JCB7" s="1178" t="s">
        <v>8</v>
      </c>
      <c r="JCC7" s="1179"/>
      <c r="JCD7" s="1179"/>
      <c r="JCE7" s="1179"/>
      <c r="JCF7" s="1179" t="s">
        <v>10</v>
      </c>
      <c r="JCG7" s="1179"/>
      <c r="JCH7" s="1179"/>
      <c r="JCI7" s="1180"/>
      <c r="JCJ7" s="1178" t="s">
        <v>8</v>
      </c>
      <c r="JCK7" s="1179"/>
      <c r="JCL7" s="1179"/>
      <c r="JCM7" s="1179"/>
      <c r="JCN7" s="1179" t="s">
        <v>10</v>
      </c>
      <c r="JCO7" s="1179"/>
      <c r="JCP7" s="1179"/>
      <c r="JCQ7" s="1180"/>
      <c r="JCR7" s="1178" t="s">
        <v>8</v>
      </c>
      <c r="JCS7" s="1179"/>
      <c r="JCT7" s="1179"/>
      <c r="JCU7" s="1179"/>
      <c r="JCV7" s="1179" t="s">
        <v>10</v>
      </c>
      <c r="JCW7" s="1179"/>
      <c r="JCX7" s="1179"/>
      <c r="JCY7" s="1180"/>
      <c r="JCZ7" s="1178" t="s">
        <v>8</v>
      </c>
      <c r="JDA7" s="1179"/>
      <c r="JDB7" s="1179"/>
      <c r="JDC7" s="1179"/>
      <c r="JDD7" s="1179" t="s">
        <v>10</v>
      </c>
      <c r="JDE7" s="1179"/>
      <c r="JDF7" s="1179"/>
      <c r="JDG7" s="1180"/>
      <c r="JDH7" s="1178" t="s">
        <v>8</v>
      </c>
      <c r="JDI7" s="1179"/>
      <c r="JDJ7" s="1179"/>
      <c r="JDK7" s="1179"/>
      <c r="JDL7" s="1179" t="s">
        <v>10</v>
      </c>
      <c r="JDM7" s="1179"/>
      <c r="JDN7" s="1179"/>
      <c r="JDO7" s="1180"/>
      <c r="JDP7" s="1178" t="s">
        <v>8</v>
      </c>
      <c r="JDQ7" s="1179"/>
      <c r="JDR7" s="1179"/>
      <c r="JDS7" s="1179"/>
      <c r="JDT7" s="1179" t="s">
        <v>10</v>
      </c>
      <c r="JDU7" s="1179"/>
      <c r="JDV7" s="1179"/>
      <c r="JDW7" s="1180"/>
      <c r="JDX7" s="1178" t="s">
        <v>8</v>
      </c>
      <c r="JDY7" s="1179"/>
      <c r="JDZ7" s="1179"/>
      <c r="JEA7" s="1179"/>
      <c r="JEB7" s="1179" t="s">
        <v>10</v>
      </c>
      <c r="JEC7" s="1179"/>
      <c r="JED7" s="1179"/>
      <c r="JEE7" s="1180"/>
      <c r="JEF7" s="1178" t="s">
        <v>8</v>
      </c>
      <c r="JEG7" s="1179"/>
      <c r="JEH7" s="1179"/>
      <c r="JEI7" s="1179"/>
      <c r="JEJ7" s="1179" t="s">
        <v>10</v>
      </c>
      <c r="JEK7" s="1179"/>
      <c r="JEL7" s="1179"/>
      <c r="JEM7" s="1180"/>
      <c r="JEN7" s="1178" t="s">
        <v>8</v>
      </c>
      <c r="JEO7" s="1179"/>
      <c r="JEP7" s="1179"/>
      <c r="JEQ7" s="1179"/>
      <c r="JER7" s="1179" t="s">
        <v>10</v>
      </c>
      <c r="JES7" s="1179"/>
      <c r="JET7" s="1179"/>
      <c r="JEU7" s="1180"/>
      <c r="JEV7" s="1178" t="s">
        <v>8</v>
      </c>
      <c r="JEW7" s="1179"/>
      <c r="JEX7" s="1179"/>
      <c r="JEY7" s="1179"/>
      <c r="JEZ7" s="1179" t="s">
        <v>10</v>
      </c>
      <c r="JFA7" s="1179"/>
      <c r="JFB7" s="1179"/>
      <c r="JFC7" s="1180"/>
      <c r="JFD7" s="1178" t="s">
        <v>8</v>
      </c>
      <c r="JFE7" s="1179"/>
      <c r="JFF7" s="1179"/>
      <c r="JFG7" s="1179"/>
      <c r="JFH7" s="1179" t="s">
        <v>10</v>
      </c>
      <c r="JFI7" s="1179"/>
      <c r="JFJ7" s="1179"/>
      <c r="JFK7" s="1180"/>
      <c r="JFL7" s="1178" t="s">
        <v>8</v>
      </c>
      <c r="JFM7" s="1179"/>
      <c r="JFN7" s="1179"/>
      <c r="JFO7" s="1179"/>
      <c r="JFP7" s="1179" t="s">
        <v>10</v>
      </c>
      <c r="JFQ7" s="1179"/>
      <c r="JFR7" s="1179"/>
      <c r="JFS7" s="1180"/>
      <c r="JFT7" s="1178" t="s">
        <v>8</v>
      </c>
      <c r="JFU7" s="1179"/>
      <c r="JFV7" s="1179"/>
      <c r="JFW7" s="1179"/>
      <c r="JFX7" s="1179" t="s">
        <v>10</v>
      </c>
      <c r="JFY7" s="1179"/>
      <c r="JFZ7" s="1179"/>
      <c r="JGA7" s="1180"/>
      <c r="JGB7" s="1178" t="s">
        <v>8</v>
      </c>
      <c r="JGC7" s="1179"/>
      <c r="JGD7" s="1179"/>
      <c r="JGE7" s="1179"/>
      <c r="JGF7" s="1179" t="s">
        <v>10</v>
      </c>
      <c r="JGG7" s="1179"/>
      <c r="JGH7" s="1179"/>
      <c r="JGI7" s="1180"/>
      <c r="JGJ7" s="1178" t="s">
        <v>8</v>
      </c>
      <c r="JGK7" s="1179"/>
      <c r="JGL7" s="1179"/>
      <c r="JGM7" s="1179"/>
      <c r="JGN7" s="1179" t="s">
        <v>10</v>
      </c>
      <c r="JGO7" s="1179"/>
      <c r="JGP7" s="1179"/>
      <c r="JGQ7" s="1180"/>
      <c r="JGR7" s="1178" t="s">
        <v>8</v>
      </c>
      <c r="JGS7" s="1179"/>
      <c r="JGT7" s="1179"/>
      <c r="JGU7" s="1179"/>
      <c r="JGV7" s="1179" t="s">
        <v>10</v>
      </c>
      <c r="JGW7" s="1179"/>
      <c r="JGX7" s="1179"/>
      <c r="JGY7" s="1180"/>
      <c r="JGZ7" s="1178" t="s">
        <v>8</v>
      </c>
      <c r="JHA7" s="1179"/>
      <c r="JHB7" s="1179"/>
      <c r="JHC7" s="1179"/>
      <c r="JHD7" s="1179" t="s">
        <v>10</v>
      </c>
      <c r="JHE7" s="1179"/>
      <c r="JHF7" s="1179"/>
      <c r="JHG7" s="1180"/>
      <c r="JHH7" s="1178" t="s">
        <v>8</v>
      </c>
      <c r="JHI7" s="1179"/>
      <c r="JHJ7" s="1179"/>
      <c r="JHK7" s="1179"/>
      <c r="JHL7" s="1179" t="s">
        <v>10</v>
      </c>
      <c r="JHM7" s="1179"/>
      <c r="JHN7" s="1179"/>
      <c r="JHO7" s="1180"/>
      <c r="JHP7" s="1178" t="s">
        <v>8</v>
      </c>
      <c r="JHQ7" s="1179"/>
      <c r="JHR7" s="1179"/>
      <c r="JHS7" s="1179"/>
      <c r="JHT7" s="1179" t="s">
        <v>10</v>
      </c>
      <c r="JHU7" s="1179"/>
      <c r="JHV7" s="1179"/>
      <c r="JHW7" s="1180"/>
      <c r="JHX7" s="1178" t="s">
        <v>8</v>
      </c>
      <c r="JHY7" s="1179"/>
      <c r="JHZ7" s="1179"/>
      <c r="JIA7" s="1179"/>
      <c r="JIB7" s="1179" t="s">
        <v>10</v>
      </c>
      <c r="JIC7" s="1179"/>
      <c r="JID7" s="1179"/>
      <c r="JIE7" s="1180"/>
      <c r="JIF7" s="1178" t="s">
        <v>8</v>
      </c>
      <c r="JIG7" s="1179"/>
      <c r="JIH7" s="1179"/>
      <c r="JII7" s="1179"/>
      <c r="JIJ7" s="1179" t="s">
        <v>10</v>
      </c>
      <c r="JIK7" s="1179"/>
      <c r="JIL7" s="1179"/>
      <c r="JIM7" s="1180"/>
      <c r="JIN7" s="1178" t="s">
        <v>8</v>
      </c>
      <c r="JIO7" s="1179"/>
      <c r="JIP7" s="1179"/>
      <c r="JIQ7" s="1179"/>
      <c r="JIR7" s="1179" t="s">
        <v>10</v>
      </c>
      <c r="JIS7" s="1179"/>
      <c r="JIT7" s="1179"/>
      <c r="JIU7" s="1180"/>
      <c r="JIV7" s="1178" t="s">
        <v>8</v>
      </c>
      <c r="JIW7" s="1179"/>
      <c r="JIX7" s="1179"/>
      <c r="JIY7" s="1179"/>
      <c r="JIZ7" s="1179" t="s">
        <v>10</v>
      </c>
      <c r="JJA7" s="1179"/>
      <c r="JJB7" s="1179"/>
      <c r="JJC7" s="1180"/>
      <c r="JJD7" s="1178" t="s">
        <v>8</v>
      </c>
      <c r="JJE7" s="1179"/>
      <c r="JJF7" s="1179"/>
      <c r="JJG7" s="1179"/>
      <c r="JJH7" s="1179" t="s">
        <v>10</v>
      </c>
      <c r="JJI7" s="1179"/>
      <c r="JJJ7" s="1179"/>
      <c r="JJK7" s="1180"/>
      <c r="JJL7" s="1178" t="s">
        <v>8</v>
      </c>
      <c r="JJM7" s="1179"/>
      <c r="JJN7" s="1179"/>
      <c r="JJO7" s="1179"/>
      <c r="JJP7" s="1179" t="s">
        <v>10</v>
      </c>
      <c r="JJQ7" s="1179"/>
      <c r="JJR7" s="1179"/>
      <c r="JJS7" s="1180"/>
      <c r="JJT7" s="1178" t="s">
        <v>8</v>
      </c>
      <c r="JJU7" s="1179"/>
      <c r="JJV7" s="1179"/>
      <c r="JJW7" s="1179"/>
      <c r="JJX7" s="1179" t="s">
        <v>10</v>
      </c>
      <c r="JJY7" s="1179"/>
      <c r="JJZ7" s="1179"/>
      <c r="JKA7" s="1180"/>
      <c r="JKB7" s="1178" t="s">
        <v>8</v>
      </c>
      <c r="JKC7" s="1179"/>
      <c r="JKD7" s="1179"/>
      <c r="JKE7" s="1179"/>
      <c r="JKF7" s="1179" t="s">
        <v>10</v>
      </c>
      <c r="JKG7" s="1179"/>
      <c r="JKH7" s="1179"/>
      <c r="JKI7" s="1180"/>
      <c r="JKJ7" s="1178" t="s">
        <v>8</v>
      </c>
      <c r="JKK7" s="1179"/>
      <c r="JKL7" s="1179"/>
      <c r="JKM7" s="1179"/>
      <c r="JKN7" s="1179" t="s">
        <v>10</v>
      </c>
      <c r="JKO7" s="1179"/>
      <c r="JKP7" s="1179"/>
      <c r="JKQ7" s="1180"/>
      <c r="JKR7" s="1178" t="s">
        <v>8</v>
      </c>
      <c r="JKS7" s="1179"/>
      <c r="JKT7" s="1179"/>
      <c r="JKU7" s="1179"/>
      <c r="JKV7" s="1179" t="s">
        <v>10</v>
      </c>
      <c r="JKW7" s="1179"/>
      <c r="JKX7" s="1179"/>
      <c r="JKY7" s="1180"/>
      <c r="JKZ7" s="1178" t="s">
        <v>8</v>
      </c>
      <c r="JLA7" s="1179"/>
      <c r="JLB7" s="1179"/>
      <c r="JLC7" s="1179"/>
      <c r="JLD7" s="1179" t="s">
        <v>10</v>
      </c>
      <c r="JLE7" s="1179"/>
      <c r="JLF7" s="1179"/>
      <c r="JLG7" s="1180"/>
      <c r="JLH7" s="1178" t="s">
        <v>8</v>
      </c>
      <c r="JLI7" s="1179"/>
      <c r="JLJ7" s="1179"/>
      <c r="JLK7" s="1179"/>
      <c r="JLL7" s="1179" t="s">
        <v>10</v>
      </c>
      <c r="JLM7" s="1179"/>
      <c r="JLN7" s="1179"/>
      <c r="JLO7" s="1180"/>
      <c r="JLP7" s="1178" t="s">
        <v>8</v>
      </c>
      <c r="JLQ7" s="1179"/>
      <c r="JLR7" s="1179"/>
      <c r="JLS7" s="1179"/>
      <c r="JLT7" s="1179" t="s">
        <v>10</v>
      </c>
      <c r="JLU7" s="1179"/>
      <c r="JLV7" s="1179"/>
      <c r="JLW7" s="1180"/>
      <c r="JLX7" s="1178" t="s">
        <v>8</v>
      </c>
      <c r="JLY7" s="1179"/>
      <c r="JLZ7" s="1179"/>
      <c r="JMA7" s="1179"/>
      <c r="JMB7" s="1179" t="s">
        <v>10</v>
      </c>
      <c r="JMC7" s="1179"/>
      <c r="JMD7" s="1179"/>
      <c r="JME7" s="1180"/>
      <c r="JMF7" s="1178" t="s">
        <v>8</v>
      </c>
      <c r="JMG7" s="1179"/>
      <c r="JMH7" s="1179"/>
      <c r="JMI7" s="1179"/>
      <c r="JMJ7" s="1179" t="s">
        <v>10</v>
      </c>
      <c r="JMK7" s="1179"/>
      <c r="JML7" s="1179"/>
      <c r="JMM7" s="1180"/>
      <c r="JMN7" s="1178" t="s">
        <v>8</v>
      </c>
      <c r="JMO7" s="1179"/>
      <c r="JMP7" s="1179"/>
      <c r="JMQ7" s="1179"/>
      <c r="JMR7" s="1179" t="s">
        <v>10</v>
      </c>
      <c r="JMS7" s="1179"/>
      <c r="JMT7" s="1179"/>
      <c r="JMU7" s="1180"/>
      <c r="JMV7" s="1178" t="s">
        <v>8</v>
      </c>
      <c r="JMW7" s="1179"/>
      <c r="JMX7" s="1179"/>
      <c r="JMY7" s="1179"/>
      <c r="JMZ7" s="1179" t="s">
        <v>10</v>
      </c>
      <c r="JNA7" s="1179"/>
      <c r="JNB7" s="1179"/>
      <c r="JNC7" s="1180"/>
      <c r="JND7" s="1178" t="s">
        <v>8</v>
      </c>
      <c r="JNE7" s="1179"/>
      <c r="JNF7" s="1179"/>
      <c r="JNG7" s="1179"/>
      <c r="JNH7" s="1179" t="s">
        <v>10</v>
      </c>
      <c r="JNI7" s="1179"/>
      <c r="JNJ7" s="1179"/>
      <c r="JNK7" s="1180"/>
      <c r="JNL7" s="1178" t="s">
        <v>8</v>
      </c>
      <c r="JNM7" s="1179"/>
      <c r="JNN7" s="1179"/>
      <c r="JNO7" s="1179"/>
      <c r="JNP7" s="1179" t="s">
        <v>10</v>
      </c>
      <c r="JNQ7" s="1179"/>
      <c r="JNR7" s="1179"/>
      <c r="JNS7" s="1180"/>
      <c r="JNT7" s="1178" t="s">
        <v>8</v>
      </c>
      <c r="JNU7" s="1179"/>
      <c r="JNV7" s="1179"/>
      <c r="JNW7" s="1179"/>
      <c r="JNX7" s="1179" t="s">
        <v>10</v>
      </c>
      <c r="JNY7" s="1179"/>
      <c r="JNZ7" s="1179"/>
      <c r="JOA7" s="1180"/>
      <c r="JOB7" s="1178" t="s">
        <v>8</v>
      </c>
      <c r="JOC7" s="1179"/>
      <c r="JOD7" s="1179"/>
      <c r="JOE7" s="1179"/>
      <c r="JOF7" s="1179" t="s">
        <v>10</v>
      </c>
      <c r="JOG7" s="1179"/>
      <c r="JOH7" s="1179"/>
      <c r="JOI7" s="1180"/>
      <c r="JOJ7" s="1178" t="s">
        <v>8</v>
      </c>
      <c r="JOK7" s="1179"/>
      <c r="JOL7" s="1179"/>
      <c r="JOM7" s="1179"/>
      <c r="JON7" s="1179" t="s">
        <v>10</v>
      </c>
      <c r="JOO7" s="1179"/>
      <c r="JOP7" s="1179"/>
      <c r="JOQ7" s="1180"/>
      <c r="JOR7" s="1178" t="s">
        <v>8</v>
      </c>
      <c r="JOS7" s="1179"/>
      <c r="JOT7" s="1179"/>
      <c r="JOU7" s="1179"/>
      <c r="JOV7" s="1179" t="s">
        <v>10</v>
      </c>
      <c r="JOW7" s="1179"/>
      <c r="JOX7" s="1179"/>
      <c r="JOY7" s="1180"/>
      <c r="JOZ7" s="1178" t="s">
        <v>8</v>
      </c>
      <c r="JPA7" s="1179"/>
      <c r="JPB7" s="1179"/>
      <c r="JPC7" s="1179"/>
      <c r="JPD7" s="1179" t="s">
        <v>10</v>
      </c>
      <c r="JPE7" s="1179"/>
      <c r="JPF7" s="1179"/>
      <c r="JPG7" s="1180"/>
      <c r="JPH7" s="1178" t="s">
        <v>8</v>
      </c>
      <c r="JPI7" s="1179"/>
      <c r="JPJ7" s="1179"/>
      <c r="JPK7" s="1179"/>
      <c r="JPL7" s="1179" t="s">
        <v>10</v>
      </c>
      <c r="JPM7" s="1179"/>
      <c r="JPN7" s="1179"/>
      <c r="JPO7" s="1180"/>
      <c r="JPP7" s="1178" t="s">
        <v>8</v>
      </c>
      <c r="JPQ7" s="1179"/>
      <c r="JPR7" s="1179"/>
      <c r="JPS7" s="1179"/>
      <c r="JPT7" s="1179" t="s">
        <v>10</v>
      </c>
      <c r="JPU7" s="1179"/>
      <c r="JPV7" s="1179"/>
      <c r="JPW7" s="1180"/>
      <c r="JPX7" s="1178" t="s">
        <v>8</v>
      </c>
      <c r="JPY7" s="1179"/>
      <c r="JPZ7" s="1179"/>
      <c r="JQA7" s="1179"/>
      <c r="JQB7" s="1179" t="s">
        <v>10</v>
      </c>
      <c r="JQC7" s="1179"/>
      <c r="JQD7" s="1179"/>
      <c r="JQE7" s="1180"/>
      <c r="JQF7" s="1178" t="s">
        <v>8</v>
      </c>
      <c r="JQG7" s="1179"/>
      <c r="JQH7" s="1179"/>
      <c r="JQI7" s="1179"/>
      <c r="JQJ7" s="1179" t="s">
        <v>10</v>
      </c>
      <c r="JQK7" s="1179"/>
      <c r="JQL7" s="1179"/>
      <c r="JQM7" s="1180"/>
      <c r="JQN7" s="1178" t="s">
        <v>8</v>
      </c>
      <c r="JQO7" s="1179"/>
      <c r="JQP7" s="1179"/>
      <c r="JQQ7" s="1179"/>
      <c r="JQR7" s="1179" t="s">
        <v>10</v>
      </c>
      <c r="JQS7" s="1179"/>
      <c r="JQT7" s="1179"/>
      <c r="JQU7" s="1180"/>
      <c r="JQV7" s="1178" t="s">
        <v>8</v>
      </c>
      <c r="JQW7" s="1179"/>
      <c r="JQX7" s="1179"/>
      <c r="JQY7" s="1179"/>
      <c r="JQZ7" s="1179" t="s">
        <v>10</v>
      </c>
      <c r="JRA7" s="1179"/>
      <c r="JRB7" s="1179"/>
      <c r="JRC7" s="1180"/>
      <c r="JRD7" s="1178" t="s">
        <v>8</v>
      </c>
      <c r="JRE7" s="1179"/>
      <c r="JRF7" s="1179"/>
      <c r="JRG7" s="1179"/>
      <c r="JRH7" s="1179" t="s">
        <v>10</v>
      </c>
      <c r="JRI7" s="1179"/>
      <c r="JRJ7" s="1179"/>
      <c r="JRK7" s="1180"/>
      <c r="JRL7" s="1178" t="s">
        <v>8</v>
      </c>
      <c r="JRM7" s="1179"/>
      <c r="JRN7" s="1179"/>
      <c r="JRO7" s="1179"/>
      <c r="JRP7" s="1179" t="s">
        <v>10</v>
      </c>
      <c r="JRQ7" s="1179"/>
      <c r="JRR7" s="1179"/>
      <c r="JRS7" s="1180"/>
      <c r="JRT7" s="1178" t="s">
        <v>8</v>
      </c>
      <c r="JRU7" s="1179"/>
      <c r="JRV7" s="1179"/>
      <c r="JRW7" s="1179"/>
      <c r="JRX7" s="1179" t="s">
        <v>10</v>
      </c>
      <c r="JRY7" s="1179"/>
      <c r="JRZ7" s="1179"/>
      <c r="JSA7" s="1180"/>
      <c r="JSB7" s="1178" t="s">
        <v>8</v>
      </c>
      <c r="JSC7" s="1179"/>
      <c r="JSD7" s="1179"/>
      <c r="JSE7" s="1179"/>
      <c r="JSF7" s="1179" t="s">
        <v>10</v>
      </c>
      <c r="JSG7" s="1179"/>
      <c r="JSH7" s="1179"/>
      <c r="JSI7" s="1180"/>
      <c r="JSJ7" s="1178" t="s">
        <v>8</v>
      </c>
      <c r="JSK7" s="1179"/>
      <c r="JSL7" s="1179"/>
      <c r="JSM7" s="1179"/>
      <c r="JSN7" s="1179" t="s">
        <v>10</v>
      </c>
      <c r="JSO7" s="1179"/>
      <c r="JSP7" s="1179"/>
      <c r="JSQ7" s="1180"/>
      <c r="JSR7" s="1178" t="s">
        <v>8</v>
      </c>
      <c r="JSS7" s="1179"/>
      <c r="JST7" s="1179"/>
      <c r="JSU7" s="1179"/>
      <c r="JSV7" s="1179" t="s">
        <v>10</v>
      </c>
      <c r="JSW7" s="1179"/>
      <c r="JSX7" s="1179"/>
      <c r="JSY7" s="1180"/>
      <c r="JSZ7" s="1178" t="s">
        <v>8</v>
      </c>
      <c r="JTA7" s="1179"/>
      <c r="JTB7" s="1179"/>
      <c r="JTC7" s="1179"/>
      <c r="JTD7" s="1179" t="s">
        <v>10</v>
      </c>
      <c r="JTE7" s="1179"/>
      <c r="JTF7" s="1179"/>
      <c r="JTG7" s="1180"/>
      <c r="JTH7" s="1178" t="s">
        <v>8</v>
      </c>
      <c r="JTI7" s="1179"/>
      <c r="JTJ7" s="1179"/>
      <c r="JTK7" s="1179"/>
      <c r="JTL7" s="1179" t="s">
        <v>10</v>
      </c>
      <c r="JTM7" s="1179"/>
      <c r="JTN7" s="1179"/>
      <c r="JTO7" s="1180"/>
      <c r="JTP7" s="1178" t="s">
        <v>8</v>
      </c>
      <c r="JTQ7" s="1179"/>
      <c r="JTR7" s="1179"/>
      <c r="JTS7" s="1179"/>
      <c r="JTT7" s="1179" t="s">
        <v>10</v>
      </c>
      <c r="JTU7" s="1179"/>
      <c r="JTV7" s="1179"/>
      <c r="JTW7" s="1180"/>
      <c r="JTX7" s="1178" t="s">
        <v>8</v>
      </c>
      <c r="JTY7" s="1179"/>
      <c r="JTZ7" s="1179"/>
      <c r="JUA7" s="1179"/>
      <c r="JUB7" s="1179" t="s">
        <v>10</v>
      </c>
      <c r="JUC7" s="1179"/>
      <c r="JUD7" s="1179"/>
      <c r="JUE7" s="1180"/>
      <c r="JUF7" s="1178" t="s">
        <v>8</v>
      </c>
      <c r="JUG7" s="1179"/>
      <c r="JUH7" s="1179"/>
      <c r="JUI7" s="1179"/>
      <c r="JUJ7" s="1179" t="s">
        <v>10</v>
      </c>
      <c r="JUK7" s="1179"/>
      <c r="JUL7" s="1179"/>
      <c r="JUM7" s="1180"/>
      <c r="JUN7" s="1178" t="s">
        <v>8</v>
      </c>
      <c r="JUO7" s="1179"/>
      <c r="JUP7" s="1179"/>
      <c r="JUQ7" s="1179"/>
      <c r="JUR7" s="1179" t="s">
        <v>10</v>
      </c>
      <c r="JUS7" s="1179"/>
      <c r="JUT7" s="1179"/>
      <c r="JUU7" s="1180"/>
      <c r="JUV7" s="1178" t="s">
        <v>8</v>
      </c>
      <c r="JUW7" s="1179"/>
      <c r="JUX7" s="1179"/>
      <c r="JUY7" s="1179"/>
      <c r="JUZ7" s="1179" t="s">
        <v>10</v>
      </c>
      <c r="JVA7" s="1179"/>
      <c r="JVB7" s="1179"/>
      <c r="JVC7" s="1180"/>
      <c r="JVD7" s="1178" t="s">
        <v>8</v>
      </c>
      <c r="JVE7" s="1179"/>
      <c r="JVF7" s="1179"/>
      <c r="JVG7" s="1179"/>
      <c r="JVH7" s="1179" t="s">
        <v>10</v>
      </c>
      <c r="JVI7" s="1179"/>
      <c r="JVJ7" s="1179"/>
      <c r="JVK7" s="1180"/>
      <c r="JVL7" s="1178" t="s">
        <v>8</v>
      </c>
      <c r="JVM7" s="1179"/>
      <c r="JVN7" s="1179"/>
      <c r="JVO7" s="1179"/>
      <c r="JVP7" s="1179" t="s">
        <v>10</v>
      </c>
      <c r="JVQ7" s="1179"/>
      <c r="JVR7" s="1179"/>
      <c r="JVS7" s="1180"/>
      <c r="JVT7" s="1178" t="s">
        <v>8</v>
      </c>
      <c r="JVU7" s="1179"/>
      <c r="JVV7" s="1179"/>
      <c r="JVW7" s="1179"/>
      <c r="JVX7" s="1179" t="s">
        <v>10</v>
      </c>
      <c r="JVY7" s="1179"/>
      <c r="JVZ7" s="1179"/>
      <c r="JWA7" s="1180"/>
      <c r="JWB7" s="1178" t="s">
        <v>8</v>
      </c>
      <c r="JWC7" s="1179"/>
      <c r="JWD7" s="1179"/>
      <c r="JWE7" s="1179"/>
      <c r="JWF7" s="1179" t="s">
        <v>10</v>
      </c>
      <c r="JWG7" s="1179"/>
      <c r="JWH7" s="1179"/>
      <c r="JWI7" s="1180"/>
      <c r="JWJ7" s="1178" t="s">
        <v>8</v>
      </c>
      <c r="JWK7" s="1179"/>
      <c r="JWL7" s="1179"/>
      <c r="JWM7" s="1179"/>
      <c r="JWN7" s="1179" t="s">
        <v>10</v>
      </c>
      <c r="JWO7" s="1179"/>
      <c r="JWP7" s="1179"/>
      <c r="JWQ7" s="1180"/>
      <c r="JWR7" s="1178" t="s">
        <v>8</v>
      </c>
      <c r="JWS7" s="1179"/>
      <c r="JWT7" s="1179"/>
      <c r="JWU7" s="1179"/>
      <c r="JWV7" s="1179" t="s">
        <v>10</v>
      </c>
      <c r="JWW7" s="1179"/>
      <c r="JWX7" s="1179"/>
      <c r="JWY7" s="1180"/>
      <c r="JWZ7" s="1178" t="s">
        <v>8</v>
      </c>
      <c r="JXA7" s="1179"/>
      <c r="JXB7" s="1179"/>
      <c r="JXC7" s="1179"/>
      <c r="JXD7" s="1179" t="s">
        <v>10</v>
      </c>
      <c r="JXE7" s="1179"/>
      <c r="JXF7" s="1179"/>
      <c r="JXG7" s="1180"/>
      <c r="JXH7" s="1178" t="s">
        <v>8</v>
      </c>
      <c r="JXI7" s="1179"/>
      <c r="JXJ7" s="1179"/>
      <c r="JXK7" s="1179"/>
      <c r="JXL7" s="1179" t="s">
        <v>10</v>
      </c>
      <c r="JXM7" s="1179"/>
      <c r="JXN7" s="1179"/>
      <c r="JXO7" s="1180"/>
      <c r="JXP7" s="1178" t="s">
        <v>8</v>
      </c>
      <c r="JXQ7" s="1179"/>
      <c r="JXR7" s="1179"/>
      <c r="JXS7" s="1179"/>
      <c r="JXT7" s="1179" t="s">
        <v>10</v>
      </c>
      <c r="JXU7" s="1179"/>
      <c r="JXV7" s="1179"/>
      <c r="JXW7" s="1180"/>
      <c r="JXX7" s="1178" t="s">
        <v>8</v>
      </c>
      <c r="JXY7" s="1179"/>
      <c r="JXZ7" s="1179"/>
      <c r="JYA7" s="1179"/>
      <c r="JYB7" s="1179" t="s">
        <v>10</v>
      </c>
      <c r="JYC7" s="1179"/>
      <c r="JYD7" s="1179"/>
      <c r="JYE7" s="1180"/>
      <c r="JYF7" s="1178" t="s">
        <v>8</v>
      </c>
      <c r="JYG7" s="1179"/>
      <c r="JYH7" s="1179"/>
      <c r="JYI7" s="1179"/>
      <c r="JYJ7" s="1179" t="s">
        <v>10</v>
      </c>
      <c r="JYK7" s="1179"/>
      <c r="JYL7" s="1179"/>
      <c r="JYM7" s="1180"/>
      <c r="JYN7" s="1178" t="s">
        <v>8</v>
      </c>
      <c r="JYO7" s="1179"/>
      <c r="JYP7" s="1179"/>
      <c r="JYQ7" s="1179"/>
      <c r="JYR7" s="1179" t="s">
        <v>10</v>
      </c>
      <c r="JYS7" s="1179"/>
      <c r="JYT7" s="1179"/>
      <c r="JYU7" s="1180"/>
      <c r="JYV7" s="1178" t="s">
        <v>8</v>
      </c>
      <c r="JYW7" s="1179"/>
      <c r="JYX7" s="1179"/>
      <c r="JYY7" s="1179"/>
      <c r="JYZ7" s="1179" t="s">
        <v>10</v>
      </c>
      <c r="JZA7" s="1179"/>
      <c r="JZB7" s="1179"/>
      <c r="JZC7" s="1180"/>
      <c r="JZD7" s="1178" t="s">
        <v>8</v>
      </c>
      <c r="JZE7" s="1179"/>
      <c r="JZF7" s="1179"/>
      <c r="JZG7" s="1179"/>
      <c r="JZH7" s="1179" t="s">
        <v>10</v>
      </c>
      <c r="JZI7" s="1179"/>
      <c r="JZJ7" s="1179"/>
      <c r="JZK7" s="1180"/>
      <c r="JZL7" s="1178" t="s">
        <v>8</v>
      </c>
      <c r="JZM7" s="1179"/>
      <c r="JZN7" s="1179"/>
      <c r="JZO7" s="1179"/>
      <c r="JZP7" s="1179" t="s">
        <v>10</v>
      </c>
      <c r="JZQ7" s="1179"/>
      <c r="JZR7" s="1179"/>
      <c r="JZS7" s="1180"/>
      <c r="JZT7" s="1178" t="s">
        <v>8</v>
      </c>
      <c r="JZU7" s="1179"/>
      <c r="JZV7" s="1179"/>
      <c r="JZW7" s="1179"/>
      <c r="JZX7" s="1179" t="s">
        <v>10</v>
      </c>
      <c r="JZY7" s="1179"/>
      <c r="JZZ7" s="1179"/>
      <c r="KAA7" s="1180"/>
      <c r="KAB7" s="1178" t="s">
        <v>8</v>
      </c>
      <c r="KAC7" s="1179"/>
      <c r="KAD7" s="1179"/>
      <c r="KAE7" s="1179"/>
      <c r="KAF7" s="1179" t="s">
        <v>10</v>
      </c>
      <c r="KAG7" s="1179"/>
      <c r="KAH7" s="1179"/>
      <c r="KAI7" s="1180"/>
      <c r="KAJ7" s="1178" t="s">
        <v>8</v>
      </c>
      <c r="KAK7" s="1179"/>
      <c r="KAL7" s="1179"/>
      <c r="KAM7" s="1179"/>
      <c r="KAN7" s="1179" t="s">
        <v>10</v>
      </c>
      <c r="KAO7" s="1179"/>
      <c r="KAP7" s="1179"/>
      <c r="KAQ7" s="1180"/>
      <c r="KAR7" s="1178" t="s">
        <v>8</v>
      </c>
      <c r="KAS7" s="1179"/>
      <c r="KAT7" s="1179"/>
      <c r="KAU7" s="1179"/>
      <c r="KAV7" s="1179" t="s">
        <v>10</v>
      </c>
      <c r="KAW7" s="1179"/>
      <c r="KAX7" s="1179"/>
      <c r="KAY7" s="1180"/>
      <c r="KAZ7" s="1178" t="s">
        <v>8</v>
      </c>
      <c r="KBA7" s="1179"/>
      <c r="KBB7" s="1179"/>
      <c r="KBC7" s="1179"/>
      <c r="KBD7" s="1179" t="s">
        <v>10</v>
      </c>
      <c r="KBE7" s="1179"/>
      <c r="KBF7" s="1179"/>
      <c r="KBG7" s="1180"/>
      <c r="KBH7" s="1178" t="s">
        <v>8</v>
      </c>
      <c r="KBI7" s="1179"/>
      <c r="KBJ7" s="1179"/>
      <c r="KBK7" s="1179"/>
      <c r="KBL7" s="1179" t="s">
        <v>10</v>
      </c>
      <c r="KBM7" s="1179"/>
      <c r="KBN7" s="1179"/>
      <c r="KBO7" s="1180"/>
      <c r="KBP7" s="1178" t="s">
        <v>8</v>
      </c>
      <c r="KBQ7" s="1179"/>
      <c r="KBR7" s="1179"/>
      <c r="KBS7" s="1179"/>
      <c r="KBT7" s="1179" t="s">
        <v>10</v>
      </c>
      <c r="KBU7" s="1179"/>
      <c r="KBV7" s="1179"/>
      <c r="KBW7" s="1180"/>
      <c r="KBX7" s="1178" t="s">
        <v>8</v>
      </c>
      <c r="KBY7" s="1179"/>
      <c r="KBZ7" s="1179"/>
      <c r="KCA7" s="1179"/>
      <c r="KCB7" s="1179" t="s">
        <v>10</v>
      </c>
      <c r="KCC7" s="1179"/>
      <c r="KCD7" s="1179"/>
      <c r="KCE7" s="1180"/>
      <c r="KCF7" s="1178" t="s">
        <v>8</v>
      </c>
      <c r="KCG7" s="1179"/>
      <c r="KCH7" s="1179"/>
      <c r="KCI7" s="1179"/>
      <c r="KCJ7" s="1179" t="s">
        <v>10</v>
      </c>
      <c r="KCK7" s="1179"/>
      <c r="KCL7" s="1179"/>
      <c r="KCM7" s="1180"/>
      <c r="KCN7" s="1178" t="s">
        <v>8</v>
      </c>
      <c r="KCO7" s="1179"/>
      <c r="KCP7" s="1179"/>
      <c r="KCQ7" s="1179"/>
      <c r="KCR7" s="1179" t="s">
        <v>10</v>
      </c>
      <c r="KCS7" s="1179"/>
      <c r="KCT7" s="1179"/>
      <c r="KCU7" s="1180"/>
      <c r="KCV7" s="1178" t="s">
        <v>8</v>
      </c>
      <c r="KCW7" s="1179"/>
      <c r="KCX7" s="1179"/>
      <c r="KCY7" s="1179"/>
      <c r="KCZ7" s="1179" t="s">
        <v>10</v>
      </c>
      <c r="KDA7" s="1179"/>
      <c r="KDB7" s="1179"/>
      <c r="KDC7" s="1180"/>
      <c r="KDD7" s="1178" t="s">
        <v>8</v>
      </c>
      <c r="KDE7" s="1179"/>
      <c r="KDF7" s="1179"/>
      <c r="KDG7" s="1179"/>
      <c r="KDH7" s="1179" t="s">
        <v>10</v>
      </c>
      <c r="KDI7" s="1179"/>
      <c r="KDJ7" s="1179"/>
      <c r="KDK7" s="1180"/>
      <c r="KDL7" s="1178" t="s">
        <v>8</v>
      </c>
      <c r="KDM7" s="1179"/>
      <c r="KDN7" s="1179"/>
      <c r="KDO7" s="1179"/>
      <c r="KDP7" s="1179" t="s">
        <v>10</v>
      </c>
      <c r="KDQ7" s="1179"/>
      <c r="KDR7" s="1179"/>
      <c r="KDS7" s="1180"/>
      <c r="KDT7" s="1178" t="s">
        <v>8</v>
      </c>
      <c r="KDU7" s="1179"/>
      <c r="KDV7" s="1179"/>
      <c r="KDW7" s="1179"/>
      <c r="KDX7" s="1179" t="s">
        <v>10</v>
      </c>
      <c r="KDY7" s="1179"/>
      <c r="KDZ7" s="1179"/>
      <c r="KEA7" s="1180"/>
      <c r="KEB7" s="1178" t="s">
        <v>8</v>
      </c>
      <c r="KEC7" s="1179"/>
      <c r="KED7" s="1179"/>
      <c r="KEE7" s="1179"/>
      <c r="KEF7" s="1179" t="s">
        <v>10</v>
      </c>
      <c r="KEG7" s="1179"/>
      <c r="KEH7" s="1179"/>
      <c r="KEI7" s="1180"/>
      <c r="KEJ7" s="1178" t="s">
        <v>8</v>
      </c>
      <c r="KEK7" s="1179"/>
      <c r="KEL7" s="1179"/>
      <c r="KEM7" s="1179"/>
      <c r="KEN7" s="1179" t="s">
        <v>10</v>
      </c>
      <c r="KEO7" s="1179"/>
      <c r="KEP7" s="1179"/>
      <c r="KEQ7" s="1180"/>
      <c r="KER7" s="1178" t="s">
        <v>8</v>
      </c>
      <c r="KES7" s="1179"/>
      <c r="KET7" s="1179"/>
      <c r="KEU7" s="1179"/>
      <c r="KEV7" s="1179" t="s">
        <v>10</v>
      </c>
      <c r="KEW7" s="1179"/>
      <c r="KEX7" s="1179"/>
      <c r="KEY7" s="1180"/>
      <c r="KEZ7" s="1178" t="s">
        <v>8</v>
      </c>
      <c r="KFA7" s="1179"/>
      <c r="KFB7" s="1179"/>
      <c r="KFC7" s="1179"/>
      <c r="KFD7" s="1179" t="s">
        <v>10</v>
      </c>
      <c r="KFE7" s="1179"/>
      <c r="KFF7" s="1179"/>
      <c r="KFG7" s="1180"/>
      <c r="KFH7" s="1178" t="s">
        <v>8</v>
      </c>
      <c r="KFI7" s="1179"/>
      <c r="KFJ7" s="1179"/>
      <c r="KFK7" s="1179"/>
      <c r="KFL7" s="1179" t="s">
        <v>10</v>
      </c>
      <c r="KFM7" s="1179"/>
      <c r="KFN7" s="1179"/>
      <c r="KFO7" s="1180"/>
      <c r="KFP7" s="1178" t="s">
        <v>8</v>
      </c>
      <c r="KFQ7" s="1179"/>
      <c r="KFR7" s="1179"/>
      <c r="KFS7" s="1179"/>
      <c r="KFT7" s="1179" t="s">
        <v>10</v>
      </c>
      <c r="KFU7" s="1179"/>
      <c r="KFV7" s="1179"/>
      <c r="KFW7" s="1180"/>
      <c r="KFX7" s="1178" t="s">
        <v>8</v>
      </c>
      <c r="KFY7" s="1179"/>
      <c r="KFZ7" s="1179"/>
      <c r="KGA7" s="1179"/>
      <c r="KGB7" s="1179" t="s">
        <v>10</v>
      </c>
      <c r="KGC7" s="1179"/>
      <c r="KGD7" s="1179"/>
      <c r="KGE7" s="1180"/>
      <c r="KGF7" s="1178" t="s">
        <v>8</v>
      </c>
      <c r="KGG7" s="1179"/>
      <c r="KGH7" s="1179"/>
      <c r="KGI7" s="1179"/>
      <c r="KGJ7" s="1179" t="s">
        <v>10</v>
      </c>
      <c r="KGK7" s="1179"/>
      <c r="KGL7" s="1179"/>
      <c r="KGM7" s="1180"/>
      <c r="KGN7" s="1178" t="s">
        <v>8</v>
      </c>
      <c r="KGO7" s="1179"/>
      <c r="KGP7" s="1179"/>
      <c r="KGQ7" s="1179"/>
      <c r="KGR7" s="1179" t="s">
        <v>10</v>
      </c>
      <c r="KGS7" s="1179"/>
      <c r="KGT7" s="1179"/>
      <c r="KGU7" s="1180"/>
      <c r="KGV7" s="1178" t="s">
        <v>8</v>
      </c>
      <c r="KGW7" s="1179"/>
      <c r="KGX7" s="1179"/>
      <c r="KGY7" s="1179"/>
      <c r="KGZ7" s="1179" t="s">
        <v>10</v>
      </c>
      <c r="KHA7" s="1179"/>
      <c r="KHB7" s="1179"/>
      <c r="KHC7" s="1180"/>
      <c r="KHD7" s="1178" t="s">
        <v>8</v>
      </c>
      <c r="KHE7" s="1179"/>
      <c r="KHF7" s="1179"/>
      <c r="KHG7" s="1179"/>
      <c r="KHH7" s="1179" t="s">
        <v>10</v>
      </c>
      <c r="KHI7" s="1179"/>
      <c r="KHJ7" s="1179"/>
      <c r="KHK7" s="1180"/>
      <c r="KHL7" s="1178" t="s">
        <v>8</v>
      </c>
      <c r="KHM7" s="1179"/>
      <c r="KHN7" s="1179"/>
      <c r="KHO7" s="1179"/>
      <c r="KHP7" s="1179" t="s">
        <v>10</v>
      </c>
      <c r="KHQ7" s="1179"/>
      <c r="KHR7" s="1179"/>
      <c r="KHS7" s="1180"/>
      <c r="KHT7" s="1178" t="s">
        <v>8</v>
      </c>
      <c r="KHU7" s="1179"/>
      <c r="KHV7" s="1179"/>
      <c r="KHW7" s="1179"/>
      <c r="KHX7" s="1179" t="s">
        <v>10</v>
      </c>
      <c r="KHY7" s="1179"/>
      <c r="KHZ7" s="1179"/>
      <c r="KIA7" s="1180"/>
      <c r="KIB7" s="1178" t="s">
        <v>8</v>
      </c>
      <c r="KIC7" s="1179"/>
      <c r="KID7" s="1179"/>
      <c r="KIE7" s="1179"/>
      <c r="KIF7" s="1179" t="s">
        <v>10</v>
      </c>
      <c r="KIG7" s="1179"/>
      <c r="KIH7" s="1179"/>
      <c r="KII7" s="1180"/>
      <c r="KIJ7" s="1178" t="s">
        <v>8</v>
      </c>
      <c r="KIK7" s="1179"/>
      <c r="KIL7" s="1179"/>
      <c r="KIM7" s="1179"/>
      <c r="KIN7" s="1179" t="s">
        <v>10</v>
      </c>
      <c r="KIO7" s="1179"/>
      <c r="KIP7" s="1179"/>
      <c r="KIQ7" s="1180"/>
      <c r="KIR7" s="1178" t="s">
        <v>8</v>
      </c>
      <c r="KIS7" s="1179"/>
      <c r="KIT7" s="1179"/>
      <c r="KIU7" s="1179"/>
      <c r="KIV7" s="1179" t="s">
        <v>10</v>
      </c>
      <c r="KIW7" s="1179"/>
      <c r="KIX7" s="1179"/>
      <c r="KIY7" s="1180"/>
      <c r="KIZ7" s="1178" t="s">
        <v>8</v>
      </c>
      <c r="KJA7" s="1179"/>
      <c r="KJB7" s="1179"/>
      <c r="KJC7" s="1179"/>
      <c r="KJD7" s="1179" t="s">
        <v>10</v>
      </c>
      <c r="KJE7" s="1179"/>
      <c r="KJF7" s="1179"/>
      <c r="KJG7" s="1180"/>
      <c r="KJH7" s="1178" t="s">
        <v>8</v>
      </c>
      <c r="KJI7" s="1179"/>
      <c r="KJJ7" s="1179"/>
      <c r="KJK7" s="1179"/>
      <c r="KJL7" s="1179" t="s">
        <v>10</v>
      </c>
      <c r="KJM7" s="1179"/>
      <c r="KJN7" s="1179"/>
      <c r="KJO7" s="1180"/>
      <c r="KJP7" s="1178" t="s">
        <v>8</v>
      </c>
      <c r="KJQ7" s="1179"/>
      <c r="KJR7" s="1179"/>
      <c r="KJS7" s="1179"/>
      <c r="KJT7" s="1179" t="s">
        <v>10</v>
      </c>
      <c r="KJU7" s="1179"/>
      <c r="KJV7" s="1179"/>
      <c r="KJW7" s="1180"/>
      <c r="KJX7" s="1178" t="s">
        <v>8</v>
      </c>
      <c r="KJY7" s="1179"/>
      <c r="KJZ7" s="1179"/>
      <c r="KKA7" s="1179"/>
      <c r="KKB7" s="1179" t="s">
        <v>10</v>
      </c>
      <c r="KKC7" s="1179"/>
      <c r="KKD7" s="1179"/>
      <c r="KKE7" s="1180"/>
      <c r="KKF7" s="1178" t="s">
        <v>8</v>
      </c>
      <c r="KKG7" s="1179"/>
      <c r="KKH7" s="1179"/>
      <c r="KKI7" s="1179"/>
      <c r="KKJ7" s="1179" t="s">
        <v>10</v>
      </c>
      <c r="KKK7" s="1179"/>
      <c r="KKL7" s="1179"/>
      <c r="KKM7" s="1180"/>
      <c r="KKN7" s="1178" t="s">
        <v>8</v>
      </c>
      <c r="KKO7" s="1179"/>
      <c r="KKP7" s="1179"/>
      <c r="KKQ7" s="1179"/>
      <c r="KKR7" s="1179" t="s">
        <v>10</v>
      </c>
      <c r="KKS7" s="1179"/>
      <c r="KKT7" s="1179"/>
      <c r="KKU7" s="1180"/>
      <c r="KKV7" s="1178" t="s">
        <v>8</v>
      </c>
      <c r="KKW7" s="1179"/>
      <c r="KKX7" s="1179"/>
      <c r="KKY7" s="1179"/>
      <c r="KKZ7" s="1179" t="s">
        <v>10</v>
      </c>
      <c r="KLA7" s="1179"/>
      <c r="KLB7" s="1179"/>
      <c r="KLC7" s="1180"/>
      <c r="KLD7" s="1178" t="s">
        <v>8</v>
      </c>
      <c r="KLE7" s="1179"/>
      <c r="KLF7" s="1179"/>
      <c r="KLG7" s="1179"/>
      <c r="KLH7" s="1179" t="s">
        <v>10</v>
      </c>
      <c r="KLI7" s="1179"/>
      <c r="KLJ7" s="1179"/>
      <c r="KLK7" s="1180"/>
      <c r="KLL7" s="1178" t="s">
        <v>8</v>
      </c>
      <c r="KLM7" s="1179"/>
      <c r="KLN7" s="1179"/>
      <c r="KLO7" s="1179"/>
      <c r="KLP7" s="1179" t="s">
        <v>10</v>
      </c>
      <c r="KLQ7" s="1179"/>
      <c r="KLR7" s="1179"/>
      <c r="KLS7" s="1180"/>
      <c r="KLT7" s="1178" t="s">
        <v>8</v>
      </c>
      <c r="KLU7" s="1179"/>
      <c r="KLV7" s="1179"/>
      <c r="KLW7" s="1179"/>
      <c r="KLX7" s="1179" t="s">
        <v>10</v>
      </c>
      <c r="KLY7" s="1179"/>
      <c r="KLZ7" s="1179"/>
      <c r="KMA7" s="1180"/>
      <c r="KMB7" s="1178" t="s">
        <v>8</v>
      </c>
      <c r="KMC7" s="1179"/>
      <c r="KMD7" s="1179"/>
      <c r="KME7" s="1179"/>
      <c r="KMF7" s="1179" t="s">
        <v>10</v>
      </c>
      <c r="KMG7" s="1179"/>
      <c r="KMH7" s="1179"/>
      <c r="KMI7" s="1180"/>
      <c r="KMJ7" s="1178" t="s">
        <v>8</v>
      </c>
      <c r="KMK7" s="1179"/>
      <c r="KML7" s="1179"/>
      <c r="KMM7" s="1179"/>
      <c r="KMN7" s="1179" t="s">
        <v>10</v>
      </c>
      <c r="KMO7" s="1179"/>
      <c r="KMP7" s="1179"/>
      <c r="KMQ7" s="1180"/>
      <c r="KMR7" s="1178" t="s">
        <v>8</v>
      </c>
      <c r="KMS7" s="1179"/>
      <c r="KMT7" s="1179"/>
      <c r="KMU7" s="1179"/>
      <c r="KMV7" s="1179" t="s">
        <v>10</v>
      </c>
      <c r="KMW7" s="1179"/>
      <c r="KMX7" s="1179"/>
      <c r="KMY7" s="1180"/>
      <c r="KMZ7" s="1178" t="s">
        <v>8</v>
      </c>
      <c r="KNA7" s="1179"/>
      <c r="KNB7" s="1179"/>
      <c r="KNC7" s="1179"/>
      <c r="KND7" s="1179" t="s">
        <v>10</v>
      </c>
      <c r="KNE7" s="1179"/>
      <c r="KNF7" s="1179"/>
      <c r="KNG7" s="1180"/>
      <c r="KNH7" s="1178" t="s">
        <v>8</v>
      </c>
      <c r="KNI7" s="1179"/>
      <c r="KNJ7" s="1179"/>
      <c r="KNK7" s="1179"/>
      <c r="KNL7" s="1179" t="s">
        <v>10</v>
      </c>
      <c r="KNM7" s="1179"/>
      <c r="KNN7" s="1179"/>
      <c r="KNO7" s="1180"/>
      <c r="KNP7" s="1178" t="s">
        <v>8</v>
      </c>
      <c r="KNQ7" s="1179"/>
      <c r="KNR7" s="1179"/>
      <c r="KNS7" s="1179"/>
      <c r="KNT7" s="1179" t="s">
        <v>10</v>
      </c>
      <c r="KNU7" s="1179"/>
      <c r="KNV7" s="1179"/>
      <c r="KNW7" s="1180"/>
      <c r="KNX7" s="1178" t="s">
        <v>8</v>
      </c>
      <c r="KNY7" s="1179"/>
      <c r="KNZ7" s="1179"/>
      <c r="KOA7" s="1179"/>
      <c r="KOB7" s="1179" t="s">
        <v>10</v>
      </c>
      <c r="KOC7" s="1179"/>
      <c r="KOD7" s="1179"/>
      <c r="KOE7" s="1180"/>
      <c r="KOF7" s="1178" t="s">
        <v>8</v>
      </c>
      <c r="KOG7" s="1179"/>
      <c r="KOH7" s="1179"/>
      <c r="KOI7" s="1179"/>
      <c r="KOJ7" s="1179" t="s">
        <v>10</v>
      </c>
      <c r="KOK7" s="1179"/>
      <c r="KOL7" s="1179"/>
      <c r="KOM7" s="1180"/>
      <c r="KON7" s="1178" t="s">
        <v>8</v>
      </c>
      <c r="KOO7" s="1179"/>
      <c r="KOP7" s="1179"/>
      <c r="KOQ7" s="1179"/>
      <c r="KOR7" s="1179" t="s">
        <v>10</v>
      </c>
      <c r="KOS7" s="1179"/>
      <c r="KOT7" s="1179"/>
      <c r="KOU7" s="1180"/>
      <c r="KOV7" s="1178" t="s">
        <v>8</v>
      </c>
      <c r="KOW7" s="1179"/>
      <c r="KOX7" s="1179"/>
      <c r="KOY7" s="1179"/>
      <c r="KOZ7" s="1179" t="s">
        <v>10</v>
      </c>
      <c r="KPA7" s="1179"/>
      <c r="KPB7" s="1179"/>
      <c r="KPC7" s="1180"/>
      <c r="KPD7" s="1178" t="s">
        <v>8</v>
      </c>
      <c r="KPE7" s="1179"/>
      <c r="KPF7" s="1179"/>
      <c r="KPG7" s="1179"/>
      <c r="KPH7" s="1179" t="s">
        <v>10</v>
      </c>
      <c r="KPI7" s="1179"/>
      <c r="KPJ7" s="1179"/>
      <c r="KPK7" s="1180"/>
      <c r="KPL7" s="1178" t="s">
        <v>8</v>
      </c>
      <c r="KPM7" s="1179"/>
      <c r="KPN7" s="1179"/>
      <c r="KPO7" s="1179"/>
      <c r="KPP7" s="1179" t="s">
        <v>10</v>
      </c>
      <c r="KPQ7" s="1179"/>
      <c r="KPR7" s="1179"/>
      <c r="KPS7" s="1180"/>
      <c r="KPT7" s="1178" t="s">
        <v>8</v>
      </c>
      <c r="KPU7" s="1179"/>
      <c r="KPV7" s="1179"/>
      <c r="KPW7" s="1179"/>
      <c r="KPX7" s="1179" t="s">
        <v>10</v>
      </c>
      <c r="KPY7" s="1179"/>
      <c r="KPZ7" s="1179"/>
      <c r="KQA7" s="1180"/>
      <c r="KQB7" s="1178" t="s">
        <v>8</v>
      </c>
      <c r="KQC7" s="1179"/>
      <c r="KQD7" s="1179"/>
      <c r="KQE7" s="1179"/>
      <c r="KQF7" s="1179" t="s">
        <v>10</v>
      </c>
      <c r="KQG7" s="1179"/>
      <c r="KQH7" s="1179"/>
      <c r="KQI7" s="1180"/>
      <c r="KQJ7" s="1178" t="s">
        <v>8</v>
      </c>
      <c r="KQK7" s="1179"/>
      <c r="KQL7" s="1179"/>
      <c r="KQM7" s="1179"/>
      <c r="KQN7" s="1179" t="s">
        <v>10</v>
      </c>
      <c r="KQO7" s="1179"/>
      <c r="KQP7" s="1179"/>
      <c r="KQQ7" s="1180"/>
      <c r="KQR7" s="1178" t="s">
        <v>8</v>
      </c>
      <c r="KQS7" s="1179"/>
      <c r="KQT7" s="1179"/>
      <c r="KQU7" s="1179"/>
      <c r="KQV7" s="1179" t="s">
        <v>10</v>
      </c>
      <c r="KQW7" s="1179"/>
      <c r="KQX7" s="1179"/>
      <c r="KQY7" s="1180"/>
      <c r="KQZ7" s="1178" t="s">
        <v>8</v>
      </c>
      <c r="KRA7" s="1179"/>
      <c r="KRB7" s="1179"/>
      <c r="KRC7" s="1179"/>
      <c r="KRD7" s="1179" t="s">
        <v>10</v>
      </c>
      <c r="KRE7" s="1179"/>
      <c r="KRF7" s="1179"/>
      <c r="KRG7" s="1180"/>
      <c r="KRH7" s="1178" t="s">
        <v>8</v>
      </c>
      <c r="KRI7" s="1179"/>
      <c r="KRJ7" s="1179"/>
      <c r="KRK7" s="1179"/>
      <c r="KRL7" s="1179" t="s">
        <v>10</v>
      </c>
      <c r="KRM7" s="1179"/>
      <c r="KRN7" s="1179"/>
      <c r="KRO7" s="1180"/>
      <c r="KRP7" s="1178" t="s">
        <v>8</v>
      </c>
      <c r="KRQ7" s="1179"/>
      <c r="KRR7" s="1179"/>
      <c r="KRS7" s="1179"/>
      <c r="KRT7" s="1179" t="s">
        <v>10</v>
      </c>
      <c r="KRU7" s="1179"/>
      <c r="KRV7" s="1179"/>
      <c r="KRW7" s="1180"/>
      <c r="KRX7" s="1178" t="s">
        <v>8</v>
      </c>
      <c r="KRY7" s="1179"/>
      <c r="KRZ7" s="1179"/>
      <c r="KSA7" s="1179"/>
      <c r="KSB7" s="1179" t="s">
        <v>10</v>
      </c>
      <c r="KSC7" s="1179"/>
      <c r="KSD7" s="1179"/>
      <c r="KSE7" s="1180"/>
      <c r="KSF7" s="1178" t="s">
        <v>8</v>
      </c>
      <c r="KSG7" s="1179"/>
      <c r="KSH7" s="1179"/>
      <c r="KSI7" s="1179"/>
      <c r="KSJ7" s="1179" t="s">
        <v>10</v>
      </c>
      <c r="KSK7" s="1179"/>
      <c r="KSL7" s="1179"/>
      <c r="KSM7" s="1180"/>
      <c r="KSN7" s="1178" t="s">
        <v>8</v>
      </c>
      <c r="KSO7" s="1179"/>
      <c r="KSP7" s="1179"/>
      <c r="KSQ7" s="1179"/>
      <c r="KSR7" s="1179" t="s">
        <v>10</v>
      </c>
      <c r="KSS7" s="1179"/>
      <c r="KST7" s="1179"/>
      <c r="KSU7" s="1180"/>
      <c r="KSV7" s="1178" t="s">
        <v>8</v>
      </c>
      <c r="KSW7" s="1179"/>
      <c r="KSX7" s="1179"/>
      <c r="KSY7" s="1179"/>
      <c r="KSZ7" s="1179" t="s">
        <v>10</v>
      </c>
      <c r="KTA7" s="1179"/>
      <c r="KTB7" s="1179"/>
      <c r="KTC7" s="1180"/>
      <c r="KTD7" s="1178" t="s">
        <v>8</v>
      </c>
      <c r="KTE7" s="1179"/>
      <c r="KTF7" s="1179"/>
      <c r="KTG7" s="1179"/>
      <c r="KTH7" s="1179" t="s">
        <v>10</v>
      </c>
      <c r="KTI7" s="1179"/>
      <c r="KTJ7" s="1179"/>
      <c r="KTK7" s="1180"/>
      <c r="KTL7" s="1178" t="s">
        <v>8</v>
      </c>
      <c r="KTM7" s="1179"/>
      <c r="KTN7" s="1179"/>
      <c r="KTO7" s="1179"/>
      <c r="KTP7" s="1179" t="s">
        <v>10</v>
      </c>
      <c r="KTQ7" s="1179"/>
      <c r="KTR7" s="1179"/>
      <c r="KTS7" s="1180"/>
      <c r="KTT7" s="1178" t="s">
        <v>8</v>
      </c>
      <c r="KTU7" s="1179"/>
      <c r="KTV7" s="1179"/>
      <c r="KTW7" s="1179"/>
      <c r="KTX7" s="1179" t="s">
        <v>10</v>
      </c>
      <c r="KTY7" s="1179"/>
      <c r="KTZ7" s="1179"/>
      <c r="KUA7" s="1180"/>
      <c r="KUB7" s="1178" t="s">
        <v>8</v>
      </c>
      <c r="KUC7" s="1179"/>
      <c r="KUD7" s="1179"/>
      <c r="KUE7" s="1179"/>
      <c r="KUF7" s="1179" t="s">
        <v>10</v>
      </c>
      <c r="KUG7" s="1179"/>
      <c r="KUH7" s="1179"/>
      <c r="KUI7" s="1180"/>
      <c r="KUJ7" s="1178" t="s">
        <v>8</v>
      </c>
      <c r="KUK7" s="1179"/>
      <c r="KUL7" s="1179"/>
      <c r="KUM7" s="1179"/>
      <c r="KUN7" s="1179" t="s">
        <v>10</v>
      </c>
      <c r="KUO7" s="1179"/>
      <c r="KUP7" s="1179"/>
      <c r="KUQ7" s="1180"/>
      <c r="KUR7" s="1178" t="s">
        <v>8</v>
      </c>
      <c r="KUS7" s="1179"/>
      <c r="KUT7" s="1179"/>
      <c r="KUU7" s="1179"/>
      <c r="KUV7" s="1179" t="s">
        <v>10</v>
      </c>
      <c r="KUW7" s="1179"/>
      <c r="KUX7" s="1179"/>
      <c r="KUY7" s="1180"/>
      <c r="KUZ7" s="1178" t="s">
        <v>8</v>
      </c>
      <c r="KVA7" s="1179"/>
      <c r="KVB7" s="1179"/>
      <c r="KVC7" s="1179"/>
      <c r="KVD7" s="1179" t="s">
        <v>10</v>
      </c>
      <c r="KVE7" s="1179"/>
      <c r="KVF7" s="1179"/>
      <c r="KVG7" s="1180"/>
      <c r="KVH7" s="1178" t="s">
        <v>8</v>
      </c>
      <c r="KVI7" s="1179"/>
      <c r="KVJ7" s="1179"/>
      <c r="KVK7" s="1179"/>
      <c r="KVL7" s="1179" t="s">
        <v>10</v>
      </c>
      <c r="KVM7" s="1179"/>
      <c r="KVN7" s="1179"/>
      <c r="KVO7" s="1180"/>
      <c r="KVP7" s="1178" t="s">
        <v>8</v>
      </c>
      <c r="KVQ7" s="1179"/>
      <c r="KVR7" s="1179"/>
      <c r="KVS7" s="1179"/>
      <c r="KVT7" s="1179" t="s">
        <v>10</v>
      </c>
      <c r="KVU7" s="1179"/>
      <c r="KVV7" s="1179"/>
      <c r="KVW7" s="1180"/>
      <c r="KVX7" s="1178" t="s">
        <v>8</v>
      </c>
      <c r="KVY7" s="1179"/>
      <c r="KVZ7" s="1179"/>
      <c r="KWA7" s="1179"/>
      <c r="KWB7" s="1179" t="s">
        <v>10</v>
      </c>
      <c r="KWC7" s="1179"/>
      <c r="KWD7" s="1179"/>
      <c r="KWE7" s="1180"/>
      <c r="KWF7" s="1178" t="s">
        <v>8</v>
      </c>
      <c r="KWG7" s="1179"/>
      <c r="KWH7" s="1179"/>
      <c r="KWI7" s="1179"/>
      <c r="KWJ7" s="1179" t="s">
        <v>10</v>
      </c>
      <c r="KWK7" s="1179"/>
      <c r="KWL7" s="1179"/>
      <c r="KWM7" s="1180"/>
      <c r="KWN7" s="1178" t="s">
        <v>8</v>
      </c>
      <c r="KWO7" s="1179"/>
      <c r="KWP7" s="1179"/>
      <c r="KWQ7" s="1179"/>
      <c r="KWR7" s="1179" t="s">
        <v>10</v>
      </c>
      <c r="KWS7" s="1179"/>
      <c r="KWT7" s="1179"/>
      <c r="KWU7" s="1180"/>
      <c r="KWV7" s="1178" t="s">
        <v>8</v>
      </c>
      <c r="KWW7" s="1179"/>
      <c r="KWX7" s="1179"/>
      <c r="KWY7" s="1179"/>
      <c r="KWZ7" s="1179" t="s">
        <v>10</v>
      </c>
      <c r="KXA7" s="1179"/>
      <c r="KXB7" s="1179"/>
      <c r="KXC7" s="1180"/>
      <c r="KXD7" s="1178" t="s">
        <v>8</v>
      </c>
      <c r="KXE7" s="1179"/>
      <c r="KXF7" s="1179"/>
      <c r="KXG7" s="1179"/>
      <c r="KXH7" s="1179" t="s">
        <v>10</v>
      </c>
      <c r="KXI7" s="1179"/>
      <c r="KXJ7" s="1179"/>
      <c r="KXK7" s="1180"/>
      <c r="KXL7" s="1178" t="s">
        <v>8</v>
      </c>
      <c r="KXM7" s="1179"/>
      <c r="KXN7" s="1179"/>
      <c r="KXO7" s="1179"/>
      <c r="KXP7" s="1179" t="s">
        <v>10</v>
      </c>
      <c r="KXQ7" s="1179"/>
      <c r="KXR7" s="1179"/>
      <c r="KXS7" s="1180"/>
      <c r="KXT7" s="1178" t="s">
        <v>8</v>
      </c>
      <c r="KXU7" s="1179"/>
      <c r="KXV7" s="1179"/>
      <c r="KXW7" s="1179"/>
      <c r="KXX7" s="1179" t="s">
        <v>10</v>
      </c>
      <c r="KXY7" s="1179"/>
      <c r="KXZ7" s="1179"/>
      <c r="KYA7" s="1180"/>
      <c r="KYB7" s="1178" t="s">
        <v>8</v>
      </c>
      <c r="KYC7" s="1179"/>
      <c r="KYD7" s="1179"/>
      <c r="KYE7" s="1179"/>
      <c r="KYF7" s="1179" t="s">
        <v>10</v>
      </c>
      <c r="KYG7" s="1179"/>
      <c r="KYH7" s="1179"/>
      <c r="KYI7" s="1180"/>
      <c r="KYJ7" s="1178" t="s">
        <v>8</v>
      </c>
      <c r="KYK7" s="1179"/>
      <c r="KYL7" s="1179"/>
      <c r="KYM7" s="1179"/>
      <c r="KYN7" s="1179" t="s">
        <v>10</v>
      </c>
      <c r="KYO7" s="1179"/>
      <c r="KYP7" s="1179"/>
      <c r="KYQ7" s="1180"/>
      <c r="KYR7" s="1178" t="s">
        <v>8</v>
      </c>
      <c r="KYS7" s="1179"/>
      <c r="KYT7" s="1179"/>
      <c r="KYU7" s="1179"/>
      <c r="KYV7" s="1179" t="s">
        <v>10</v>
      </c>
      <c r="KYW7" s="1179"/>
      <c r="KYX7" s="1179"/>
      <c r="KYY7" s="1180"/>
      <c r="KYZ7" s="1178" t="s">
        <v>8</v>
      </c>
      <c r="KZA7" s="1179"/>
      <c r="KZB7" s="1179"/>
      <c r="KZC7" s="1179"/>
      <c r="KZD7" s="1179" t="s">
        <v>10</v>
      </c>
      <c r="KZE7" s="1179"/>
      <c r="KZF7" s="1179"/>
      <c r="KZG7" s="1180"/>
      <c r="KZH7" s="1178" t="s">
        <v>8</v>
      </c>
      <c r="KZI7" s="1179"/>
      <c r="KZJ7" s="1179"/>
      <c r="KZK7" s="1179"/>
      <c r="KZL7" s="1179" t="s">
        <v>10</v>
      </c>
      <c r="KZM7" s="1179"/>
      <c r="KZN7" s="1179"/>
      <c r="KZO7" s="1180"/>
      <c r="KZP7" s="1178" t="s">
        <v>8</v>
      </c>
      <c r="KZQ7" s="1179"/>
      <c r="KZR7" s="1179"/>
      <c r="KZS7" s="1179"/>
      <c r="KZT7" s="1179" t="s">
        <v>10</v>
      </c>
      <c r="KZU7" s="1179"/>
      <c r="KZV7" s="1179"/>
      <c r="KZW7" s="1180"/>
      <c r="KZX7" s="1178" t="s">
        <v>8</v>
      </c>
      <c r="KZY7" s="1179"/>
      <c r="KZZ7" s="1179"/>
      <c r="LAA7" s="1179"/>
      <c r="LAB7" s="1179" t="s">
        <v>10</v>
      </c>
      <c r="LAC7" s="1179"/>
      <c r="LAD7" s="1179"/>
      <c r="LAE7" s="1180"/>
      <c r="LAF7" s="1178" t="s">
        <v>8</v>
      </c>
      <c r="LAG7" s="1179"/>
      <c r="LAH7" s="1179"/>
      <c r="LAI7" s="1179"/>
      <c r="LAJ7" s="1179" t="s">
        <v>10</v>
      </c>
      <c r="LAK7" s="1179"/>
      <c r="LAL7" s="1179"/>
      <c r="LAM7" s="1180"/>
      <c r="LAN7" s="1178" t="s">
        <v>8</v>
      </c>
      <c r="LAO7" s="1179"/>
      <c r="LAP7" s="1179"/>
      <c r="LAQ7" s="1179"/>
      <c r="LAR7" s="1179" t="s">
        <v>10</v>
      </c>
      <c r="LAS7" s="1179"/>
      <c r="LAT7" s="1179"/>
      <c r="LAU7" s="1180"/>
      <c r="LAV7" s="1178" t="s">
        <v>8</v>
      </c>
      <c r="LAW7" s="1179"/>
      <c r="LAX7" s="1179"/>
      <c r="LAY7" s="1179"/>
      <c r="LAZ7" s="1179" t="s">
        <v>10</v>
      </c>
      <c r="LBA7" s="1179"/>
      <c r="LBB7" s="1179"/>
      <c r="LBC7" s="1180"/>
      <c r="LBD7" s="1178" t="s">
        <v>8</v>
      </c>
      <c r="LBE7" s="1179"/>
      <c r="LBF7" s="1179"/>
      <c r="LBG7" s="1179"/>
      <c r="LBH7" s="1179" t="s">
        <v>10</v>
      </c>
      <c r="LBI7" s="1179"/>
      <c r="LBJ7" s="1179"/>
      <c r="LBK7" s="1180"/>
      <c r="LBL7" s="1178" t="s">
        <v>8</v>
      </c>
      <c r="LBM7" s="1179"/>
      <c r="LBN7" s="1179"/>
      <c r="LBO7" s="1179"/>
      <c r="LBP7" s="1179" t="s">
        <v>10</v>
      </c>
      <c r="LBQ7" s="1179"/>
      <c r="LBR7" s="1179"/>
      <c r="LBS7" s="1180"/>
      <c r="LBT7" s="1178" t="s">
        <v>8</v>
      </c>
      <c r="LBU7" s="1179"/>
      <c r="LBV7" s="1179"/>
      <c r="LBW7" s="1179"/>
      <c r="LBX7" s="1179" t="s">
        <v>10</v>
      </c>
      <c r="LBY7" s="1179"/>
      <c r="LBZ7" s="1179"/>
      <c r="LCA7" s="1180"/>
      <c r="LCB7" s="1178" t="s">
        <v>8</v>
      </c>
      <c r="LCC7" s="1179"/>
      <c r="LCD7" s="1179"/>
      <c r="LCE7" s="1179"/>
      <c r="LCF7" s="1179" t="s">
        <v>10</v>
      </c>
      <c r="LCG7" s="1179"/>
      <c r="LCH7" s="1179"/>
      <c r="LCI7" s="1180"/>
      <c r="LCJ7" s="1178" t="s">
        <v>8</v>
      </c>
      <c r="LCK7" s="1179"/>
      <c r="LCL7" s="1179"/>
      <c r="LCM7" s="1179"/>
      <c r="LCN7" s="1179" t="s">
        <v>10</v>
      </c>
      <c r="LCO7" s="1179"/>
      <c r="LCP7" s="1179"/>
      <c r="LCQ7" s="1180"/>
      <c r="LCR7" s="1178" t="s">
        <v>8</v>
      </c>
      <c r="LCS7" s="1179"/>
      <c r="LCT7" s="1179"/>
      <c r="LCU7" s="1179"/>
      <c r="LCV7" s="1179" t="s">
        <v>10</v>
      </c>
      <c r="LCW7" s="1179"/>
      <c r="LCX7" s="1179"/>
      <c r="LCY7" s="1180"/>
      <c r="LCZ7" s="1178" t="s">
        <v>8</v>
      </c>
      <c r="LDA7" s="1179"/>
      <c r="LDB7" s="1179"/>
      <c r="LDC7" s="1179"/>
      <c r="LDD7" s="1179" t="s">
        <v>10</v>
      </c>
      <c r="LDE7" s="1179"/>
      <c r="LDF7" s="1179"/>
      <c r="LDG7" s="1180"/>
      <c r="LDH7" s="1178" t="s">
        <v>8</v>
      </c>
      <c r="LDI7" s="1179"/>
      <c r="LDJ7" s="1179"/>
      <c r="LDK7" s="1179"/>
      <c r="LDL7" s="1179" t="s">
        <v>10</v>
      </c>
      <c r="LDM7" s="1179"/>
      <c r="LDN7" s="1179"/>
      <c r="LDO7" s="1180"/>
      <c r="LDP7" s="1178" t="s">
        <v>8</v>
      </c>
      <c r="LDQ7" s="1179"/>
      <c r="LDR7" s="1179"/>
      <c r="LDS7" s="1179"/>
      <c r="LDT7" s="1179" t="s">
        <v>10</v>
      </c>
      <c r="LDU7" s="1179"/>
      <c r="LDV7" s="1179"/>
      <c r="LDW7" s="1180"/>
      <c r="LDX7" s="1178" t="s">
        <v>8</v>
      </c>
      <c r="LDY7" s="1179"/>
      <c r="LDZ7" s="1179"/>
      <c r="LEA7" s="1179"/>
      <c r="LEB7" s="1179" t="s">
        <v>10</v>
      </c>
      <c r="LEC7" s="1179"/>
      <c r="LED7" s="1179"/>
      <c r="LEE7" s="1180"/>
      <c r="LEF7" s="1178" t="s">
        <v>8</v>
      </c>
      <c r="LEG7" s="1179"/>
      <c r="LEH7" s="1179"/>
      <c r="LEI7" s="1179"/>
      <c r="LEJ7" s="1179" t="s">
        <v>10</v>
      </c>
      <c r="LEK7" s="1179"/>
      <c r="LEL7" s="1179"/>
      <c r="LEM7" s="1180"/>
      <c r="LEN7" s="1178" t="s">
        <v>8</v>
      </c>
      <c r="LEO7" s="1179"/>
      <c r="LEP7" s="1179"/>
      <c r="LEQ7" s="1179"/>
      <c r="LER7" s="1179" t="s">
        <v>10</v>
      </c>
      <c r="LES7" s="1179"/>
      <c r="LET7" s="1179"/>
      <c r="LEU7" s="1180"/>
      <c r="LEV7" s="1178" t="s">
        <v>8</v>
      </c>
      <c r="LEW7" s="1179"/>
      <c r="LEX7" s="1179"/>
      <c r="LEY7" s="1179"/>
      <c r="LEZ7" s="1179" t="s">
        <v>10</v>
      </c>
      <c r="LFA7" s="1179"/>
      <c r="LFB7" s="1179"/>
      <c r="LFC7" s="1180"/>
      <c r="LFD7" s="1178" t="s">
        <v>8</v>
      </c>
      <c r="LFE7" s="1179"/>
      <c r="LFF7" s="1179"/>
      <c r="LFG7" s="1179"/>
      <c r="LFH7" s="1179" t="s">
        <v>10</v>
      </c>
      <c r="LFI7" s="1179"/>
      <c r="LFJ7" s="1179"/>
      <c r="LFK7" s="1180"/>
      <c r="LFL7" s="1178" t="s">
        <v>8</v>
      </c>
      <c r="LFM7" s="1179"/>
      <c r="LFN7" s="1179"/>
      <c r="LFO7" s="1179"/>
      <c r="LFP7" s="1179" t="s">
        <v>10</v>
      </c>
      <c r="LFQ7" s="1179"/>
      <c r="LFR7" s="1179"/>
      <c r="LFS7" s="1180"/>
      <c r="LFT7" s="1178" t="s">
        <v>8</v>
      </c>
      <c r="LFU7" s="1179"/>
      <c r="LFV7" s="1179"/>
      <c r="LFW7" s="1179"/>
      <c r="LFX7" s="1179" t="s">
        <v>10</v>
      </c>
      <c r="LFY7" s="1179"/>
      <c r="LFZ7" s="1179"/>
      <c r="LGA7" s="1180"/>
      <c r="LGB7" s="1178" t="s">
        <v>8</v>
      </c>
      <c r="LGC7" s="1179"/>
      <c r="LGD7" s="1179"/>
      <c r="LGE7" s="1179"/>
      <c r="LGF7" s="1179" t="s">
        <v>10</v>
      </c>
      <c r="LGG7" s="1179"/>
      <c r="LGH7" s="1179"/>
      <c r="LGI7" s="1180"/>
      <c r="LGJ7" s="1178" t="s">
        <v>8</v>
      </c>
      <c r="LGK7" s="1179"/>
      <c r="LGL7" s="1179"/>
      <c r="LGM7" s="1179"/>
      <c r="LGN7" s="1179" t="s">
        <v>10</v>
      </c>
      <c r="LGO7" s="1179"/>
      <c r="LGP7" s="1179"/>
      <c r="LGQ7" s="1180"/>
      <c r="LGR7" s="1178" t="s">
        <v>8</v>
      </c>
      <c r="LGS7" s="1179"/>
      <c r="LGT7" s="1179"/>
      <c r="LGU7" s="1179"/>
      <c r="LGV7" s="1179" t="s">
        <v>10</v>
      </c>
      <c r="LGW7" s="1179"/>
      <c r="LGX7" s="1179"/>
      <c r="LGY7" s="1180"/>
      <c r="LGZ7" s="1178" t="s">
        <v>8</v>
      </c>
      <c r="LHA7" s="1179"/>
      <c r="LHB7" s="1179"/>
      <c r="LHC7" s="1179"/>
      <c r="LHD7" s="1179" t="s">
        <v>10</v>
      </c>
      <c r="LHE7" s="1179"/>
      <c r="LHF7" s="1179"/>
      <c r="LHG7" s="1180"/>
      <c r="LHH7" s="1178" t="s">
        <v>8</v>
      </c>
      <c r="LHI7" s="1179"/>
      <c r="LHJ7" s="1179"/>
      <c r="LHK7" s="1179"/>
      <c r="LHL7" s="1179" t="s">
        <v>10</v>
      </c>
      <c r="LHM7" s="1179"/>
      <c r="LHN7" s="1179"/>
      <c r="LHO7" s="1180"/>
      <c r="LHP7" s="1178" t="s">
        <v>8</v>
      </c>
      <c r="LHQ7" s="1179"/>
      <c r="LHR7" s="1179"/>
      <c r="LHS7" s="1179"/>
      <c r="LHT7" s="1179" t="s">
        <v>10</v>
      </c>
      <c r="LHU7" s="1179"/>
      <c r="LHV7" s="1179"/>
      <c r="LHW7" s="1180"/>
      <c r="LHX7" s="1178" t="s">
        <v>8</v>
      </c>
      <c r="LHY7" s="1179"/>
      <c r="LHZ7" s="1179"/>
      <c r="LIA7" s="1179"/>
      <c r="LIB7" s="1179" t="s">
        <v>10</v>
      </c>
      <c r="LIC7" s="1179"/>
      <c r="LID7" s="1179"/>
      <c r="LIE7" s="1180"/>
      <c r="LIF7" s="1178" t="s">
        <v>8</v>
      </c>
      <c r="LIG7" s="1179"/>
      <c r="LIH7" s="1179"/>
      <c r="LII7" s="1179"/>
      <c r="LIJ7" s="1179" t="s">
        <v>10</v>
      </c>
      <c r="LIK7" s="1179"/>
      <c r="LIL7" s="1179"/>
      <c r="LIM7" s="1180"/>
      <c r="LIN7" s="1178" t="s">
        <v>8</v>
      </c>
      <c r="LIO7" s="1179"/>
      <c r="LIP7" s="1179"/>
      <c r="LIQ7" s="1179"/>
      <c r="LIR7" s="1179" t="s">
        <v>10</v>
      </c>
      <c r="LIS7" s="1179"/>
      <c r="LIT7" s="1179"/>
      <c r="LIU7" s="1180"/>
      <c r="LIV7" s="1178" t="s">
        <v>8</v>
      </c>
      <c r="LIW7" s="1179"/>
      <c r="LIX7" s="1179"/>
      <c r="LIY7" s="1179"/>
      <c r="LIZ7" s="1179" t="s">
        <v>10</v>
      </c>
      <c r="LJA7" s="1179"/>
      <c r="LJB7" s="1179"/>
      <c r="LJC7" s="1180"/>
      <c r="LJD7" s="1178" t="s">
        <v>8</v>
      </c>
      <c r="LJE7" s="1179"/>
      <c r="LJF7" s="1179"/>
      <c r="LJG7" s="1179"/>
      <c r="LJH7" s="1179" t="s">
        <v>10</v>
      </c>
      <c r="LJI7" s="1179"/>
      <c r="LJJ7" s="1179"/>
      <c r="LJK7" s="1180"/>
      <c r="LJL7" s="1178" t="s">
        <v>8</v>
      </c>
      <c r="LJM7" s="1179"/>
      <c r="LJN7" s="1179"/>
      <c r="LJO7" s="1179"/>
      <c r="LJP7" s="1179" t="s">
        <v>10</v>
      </c>
      <c r="LJQ7" s="1179"/>
      <c r="LJR7" s="1179"/>
      <c r="LJS7" s="1180"/>
      <c r="LJT7" s="1178" t="s">
        <v>8</v>
      </c>
      <c r="LJU7" s="1179"/>
      <c r="LJV7" s="1179"/>
      <c r="LJW7" s="1179"/>
      <c r="LJX7" s="1179" t="s">
        <v>10</v>
      </c>
      <c r="LJY7" s="1179"/>
      <c r="LJZ7" s="1179"/>
      <c r="LKA7" s="1180"/>
      <c r="LKB7" s="1178" t="s">
        <v>8</v>
      </c>
      <c r="LKC7" s="1179"/>
      <c r="LKD7" s="1179"/>
      <c r="LKE7" s="1179"/>
      <c r="LKF7" s="1179" t="s">
        <v>10</v>
      </c>
      <c r="LKG7" s="1179"/>
      <c r="LKH7" s="1179"/>
      <c r="LKI7" s="1180"/>
      <c r="LKJ7" s="1178" t="s">
        <v>8</v>
      </c>
      <c r="LKK7" s="1179"/>
      <c r="LKL7" s="1179"/>
      <c r="LKM7" s="1179"/>
      <c r="LKN7" s="1179" t="s">
        <v>10</v>
      </c>
      <c r="LKO7" s="1179"/>
      <c r="LKP7" s="1179"/>
      <c r="LKQ7" s="1180"/>
      <c r="LKR7" s="1178" t="s">
        <v>8</v>
      </c>
      <c r="LKS7" s="1179"/>
      <c r="LKT7" s="1179"/>
      <c r="LKU7" s="1179"/>
      <c r="LKV7" s="1179" t="s">
        <v>10</v>
      </c>
      <c r="LKW7" s="1179"/>
      <c r="LKX7" s="1179"/>
      <c r="LKY7" s="1180"/>
      <c r="LKZ7" s="1178" t="s">
        <v>8</v>
      </c>
      <c r="LLA7" s="1179"/>
      <c r="LLB7" s="1179"/>
      <c r="LLC7" s="1179"/>
      <c r="LLD7" s="1179" t="s">
        <v>10</v>
      </c>
      <c r="LLE7" s="1179"/>
      <c r="LLF7" s="1179"/>
      <c r="LLG7" s="1180"/>
      <c r="LLH7" s="1178" t="s">
        <v>8</v>
      </c>
      <c r="LLI7" s="1179"/>
      <c r="LLJ7" s="1179"/>
      <c r="LLK7" s="1179"/>
      <c r="LLL7" s="1179" t="s">
        <v>10</v>
      </c>
      <c r="LLM7" s="1179"/>
      <c r="LLN7" s="1179"/>
      <c r="LLO7" s="1180"/>
      <c r="LLP7" s="1178" t="s">
        <v>8</v>
      </c>
      <c r="LLQ7" s="1179"/>
      <c r="LLR7" s="1179"/>
      <c r="LLS7" s="1179"/>
      <c r="LLT7" s="1179" t="s">
        <v>10</v>
      </c>
      <c r="LLU7" s="1179"/>
      <c r="LLV7" s="1179"/>
      <c r="LLW7" s="1180"/>
      <c r="LLX7" s="1178" t="s">
        <v>8</v>
      </c>
      <c r="LLY7" s="1179"/>
      <c r="LLZ7" s="1179"/>
      <c r="LMA7" s="1179"/>
      <c r="LMB7" s="1179" t="s">
        <v>10</v>
      </c>
      <c r="LMC7" s="1179"/>
      <c r="LMD7" s="1179"/>
      <c r="LME7" s="1180"/>
      <c r="LMF7" s="1178" t="s">
        <v>8</v>
      </c>
      <c r="LMG7" s="1179"/>
      <c r="LMH7" s="1179"/>
      <c r="LMI7" s="1179"/>
      <c r="LMJ7" s="1179" t="s">
        <v>10</v>
      </c>
      <c r="LMK7" s="1179"/>
      <c r="LML7" s="1179"/>
      <c r="LMM7" s="1180"/>
      <c r="LMN7" s="1178" t="s">
        <v>8</v>
      </c>
      <c r="LMO7" s="1179"/>
      <c r="LMP7" s="1179"/>
      <c r="LMQ7" s="1179"/>
      <c r="LMR7" s="1179" t="s">
        <v>10</v>
      </c>
      <c r="LMS7" s="1179"/>
      <c r="LMT7" s="1179"/>
      <c r="LMU7" s="1180"/>
      <c r="LMV7" s="1178" t="s">
        <v>8</v>
      </c>
      <c r="LMW7" s="1179"/>
      <c r="LMX7" s="1179"/>
      <c r="LMY7" s="1179"/>
      <c r="LMZ7" s="1179" t="s">
        <v>10</v>
      </c>
      <c r="LNA7" s="1179"/>
      <c r="LNB7" s="1179"/>
      <c r="LNC7" s="1180"/>
      <c r="LND7" s="1178" t="s">
        <v>8</v>
      </c>
      <c r="LNE7" s="1179"/>
      <c r="LNF7" s="1179"/>
      <c r="LNG7" s="1179"/>
      <c r="LNH7" s="1179" t="s">
        <v>10</v>
      </c>
      <c r="LNI7" s="1179"/>
      <c r="LNJ7" s="1179"/>
      <c r="LNK7" s="1180"/>
      <c r="LNL7" s="1178" t="s">
        <v>8</v>
      </c>
      <c r="LNM7" s="1179"/>
      <c r="LNN7" s="1179"/>
      <c r="LNO7" s="1179"/>
      <c r="LNP7" s="1179" t="s">
        <v>10</v>
      </c>
      <c r="LNQ7" s="1179"/>
      <c r="LNR7" s="1179"/>
      <c r="LNS7" s="1180"/>
      <c r="LNT7" s="1178" t="s">
        <v>8</v>
      </c>
      <c r="LNU7" s="1179"/>
      <c r="LNV7" s="1179"/>
      <c r="LNW7" s="1179"/>
      <c r="LNX7" s="1179" t="s">
        <v>10</v>
      </c>
      <c r="LNY7" s="1179"/>
      <c r="LNZ7" s="1179"/>
      <c r="LOA7" s="1180"/>
      <c r="LOB7" s="1178" t="s">
        <v>8</v>
      </c>
      <c r="LOC7" s="1179"/>
      <c r="LOD7" s="1179"/>
      <c r="LOE7" s="1179"/>
      <c r="LOF7" s="1179" t="s">
        <v>10</v>
      </c>
      <c r="LOG7" s="1179"/>
      <c r="LOH7" s="1179"/>
      <c r="LOI7" s="1180"/>
      <c r="LOJ7" s="1178" t="s">
        <v>8</v>
      </c>
      <c r="LOK7" s="1179"/>
      <c r="LOL7" s="1179"/>
      <c r="LOM7" s="1179"/>
      <c r="LON7" s="1179" t="s">
        <v>10</v>
      </c>
      <c r="LOO7" s="1179"/>
      <c r="LOP7" s="1179"/>
      <c r="LOQ7" s="1180"/>
      <c r="LOR7" s="1178" t="s">
        <v>8</v>
      </c>
      <c r="LOS7" s="1179"/>
      <c r="LOT7" s="1179"/>
      <c r="LOU7" s="1179"/>
      <c r="LOV7" s="1179" t="s">
        <v>10</v>
      </c>
      <c r="LOW7" s="1179"/>
      <c r="LOX7" s="1179"/>
      <c r="LOY7" s="1180"/>
      <c r="LOZ7" s="1178" t="s">
        <v>8</v>
      </c>
      <c r="LPA7" s="1179"/>
      <c r="LPB7" s="1179"/>
      <c r="LPC7" s="1179"/>
      <c r="LPD7" s="1179" t="s">
        <v>10</v>
      </c>
      <c r="LPE7" s="1179"/>
      <c r="LPF7" s="1179"/>
      <c r="LPG7" s="1180"/>
      <c r="LPH7" s="1178" t="s">
        <v>8</v>
      </c>
      <c r="LPI7" s="1179"/>
      <c r="LPJ7" s="1179"/>
      <c r="LPK7" s="1179"/>
      <c r="LPL7" s="1179" t="s">
        <v>10</v>
      </c>
      <c r="LPM7" s="1179"/>
      <c r="LPN7" s="1179"/>
      <c r="LPO7" s="1180"/>
      <c r="LPP7" s="1178" t="s">
        <v>8</v>
      </c>
      <c r="LPQ7" s="1179"/>
      <c r="LPR7" s="1179"/>
      <c r="LPS7" s="1179"/>
      <c r="LPT7" s="1179" t="s">
        <v>10</v>
      </c>
      <c r="LPU7" s="1179"/>
      <c r="LPV7" s="1179"/>
      <c r="LPW7" s="1180"/>
      <c r="LPX7" s="1178" t="s">
        <v>8</v>
      </c>
      <c r="LPY7" s="1179"/>
      <c r="LPZ7" s="1179"/>
      <c r="LQA7" s="1179"/>
      <c r="LQB7" s="1179" t="s">
        <v>10</v>
      </c>
      <c r="LQC7" s="1179"/>
      <c r="LQD7" s="1179"/>
      <c r="LQE7" s="1180"/>
      <c r="LQF7" s="1178" t="s">
        <v>8</v>
      </c>
      <c r="LQG7" s="1179"/>
      <c r="LQH7" s="1179"/>
      <c r="LQI7" s="1179"/>
      <c r="LQJ7" s="1179" t="s">
        <v>10</v>
      </c>
      <c r="LQK7" s="1179"/>
      <c r="LQL7" s="1179"/>
      <c r="LQM7" s="1180"/>
      <c r="LQN7" s="1178" t="s">
        <v>8</v>
      </c>
      <c r="LQO7" s="1179"/>
      <c r="LQP7" s="1179"/>
      <c r="LQQ7" s="1179"/>
      <c r="LQR7" s="1179" t="s">
        <v>10</v>
      </c>
      <c r="LQS7" s="1179"/>
      <c r="LQT7" s="1179"/>
      <c r="LQU7" s="1180"/>
      <c r="LQV7" s="1178" t="s">
        <v>8</v>
      </c>
      <c r="LQW7" s="1179"/>
      <c r="LQX7" s="1179"/>
      <c r="LQY7" s="1179"/>
      <c r="LQZ7" s="1179" t="s">
        <v>10</v>
      </c>
      <c r="LRA7" s="1179"/>
      <c r="LRB7" s="1179"/>
      <c r="LRC7" s="1180"/>
      <c r="LRD7" s="1178" t="s">
        <v>8</v>
      </c>
      <c r="LRE7" s="1179"/>
      <c r="LRF7" s="1179"/>
      <c r="LRG7" s="1179"/>
      <c r="LRH7" s="1179" t="s">
        <v>10</v>
      </c>
      <c r="LRI7" s="1179"/>
      <c r="LRJ7" s="1179"/>
      <c r="LRK7" s="1180"/>
      <c r="LRL7" s="1178" t="s">
        <v>8</v>
      </c>
      <c r="LRM7" s="1179"/>
      <c r="LRN7" s="1179"/>
      <c r="LRO7" s="1179"/>
      <c r="LRP7" s="1179" t="s">
        <v>10</v>
      </c>
      <c r="LRQ7" s="1179"/>
      <c r="LRR7" s="1179"/>
      <c r="LRS7" s="1180"/>
      <c r="LRT7" s="1178" t="s">
        <v>8</v>
      </c>
      <c r="LRU7" s="1179"/>
      <c r="LRV7" s="1179"/>
      <c r="LRW7" s="1179"/>
      <c r="LRX7" s="1179" t="s">
        <v>10</v>
      </c>
      <c r="LRY7" s="1179"/>
      <c r="LRZ7" s="1179"/>
      <c r="LSA7" s="1180"/>
      <c r="LSB7" s="1178" t="s">
        <v>8</v>
      </c>
      <c r="LSC7" s="1179"/>
      <c r="LSD7" s="1179"/>
      <c r="LSE7" s="1179"/>
      <c r="LSF7" s="1179" t="s">
        <v>10</v>
      </c>
      <c r="LSG7" s="1179"/>
      <c r="LSH7" s="1179"/>
      <c r="LSI7" s="1180"/>
      <c r="LSJ7" s="1178" t="s">
        <v>8</v>
      </c>
      <c r="LSK7" s="1179"/>
      <c r="LSL7" s="1179"/>
      <c r="LSM7" s="1179"/>
      <c r="LSN7" s="1179" t="s">
        <v>10</v>
      </c>
      <c r="LSO7" s="1179"/>
      <c r="LSP7" s="1179"/>
      <c r="LSQ7" s="1180"/>
      <c r="LSR7" s="1178" t="s">
        <v>8</v>
      </c>
      <c r="LSS7" s="1179"/>
      <c r="LST7" s="1179"/>
      <c r="LSU7" s="1179"/>
      <c r="LSV7" s="1179" t="s">
        <v>10</v>
      </c>
      <c r="LSW7" s="1179"/>
      <c r="LSX7" s="1179"/>
      <c r="LSY7" s="1180"/>
      <c r="LSZ7" s="1178" t="s">
        <v>8</v>
      </c>
      <c r="LTA7" s="1179"/>
      <c r="LTB7" s="1179"/>
      <c r="LTC7" s="1179"/>
      <c r="LTD7" s="1179" t="s">
        <v>10</v>
      </c>
      <c r="LTE7" s="1179"/>
      <c r="LTF7" s="1179"/>
      <c r="LTG7" s="1180"/>
      <c r="LTH7" s="1178" t="s">
        <v>8</v>
      </c>
      <c r="LTI7" s="1179"/>
      <c r="LTJ7" s="1179"/>
      <c r="LTK7" s="1179"/>
      <c r="LTL7" s="1179" t="s">
        <v>10</v>
      </c>
      <c r="LTM7" s="1179"/>
      <c r="LTN7" s="1179"/>
      <c r="LTO7" s="1180"/>
      <c r="LTP7" s="1178" t="s">
        <v>8</v>
      </c>
      <c r="LTQ7" s="1179"/>
      <c r="LTR7" s="1179"/>
      <c r="LTS7" s="1179"/>
      <c r="LTT7" s="1179" t="s">
        <v>10</v>
      </c>
      <c r="LTU7" s="1179"/>
      <c r="LTV7" s="1179"/>
      <c r="LTW7" s="1180"/>
      <c r="LTX7" s="1178" t="s">
        <v>8</v>
      </c>
      <c r="LTY7" s="1179"/>
      <c r="LTZ7" s="1179"/>
      <c r="LUA7" s="1179"/>
      <c r="LUB7" s="1179" t="s">
        <v>10</v>
      </c>
      <c r="LUC7" s="1179"/>
      <c r="LUD7" s="1179"/>
      <c r="LUE7" s="1180"/>
      <c r="LUF7" s="1178" t="s">
        <v>8</v>
      </c>
      <c r="LUG7" s="1179"/>
      <c r="LUH7" s="1179"/>
      <c r="LUI7" s="1179"/>
      <c r="LUJ7" s="1179" t="s">
        <v>10</v>
      </c>
      <c r="LUK7" s="1179"/>
      <c r="LUL7" s="1179"/>
      <c r="LUM7" s="1180"/>
      <c r="LUN7" s="1178" t="s">
        <v>8</v>
      </c>
      <c r="LUO7" s="1179"/>
      <c r="LUP7" s="1179"/>
      <c r="LUQ7" s="1179"/>
      <c r="LUR7" s="1179" t="s">
        <v>10</v>
      </c>
      <c r="LUS7" s="1179"/>
      <c r="LUT7" s="1179"/>
      <c r="LUU7" s="1180"/>
      <c r="LUV7" s="1178" t="s">
        <v>8</v>
      </c>
      <c r="LUW7" s="1179"/>
      <c r="LUX7" s="1179"/>
      <c r="LUY7" s="1179"/>
      <c r="LUZ7" s="1179" t="s">
        <v>10</v>
      </c>
      <c r="LVA7" s="1179"/>
      <c r="LVB7" s="1179"/>
      <c r="LVC7" s="1180"/>
      <c r="LVD7" s="1178" t="s">
        <v>8</v>
      </c>
      <c r="LVE7" s="1179"/>
      <c r="LVF7" s="1179"/>
      <c r="LVG7" s="1179"/>
      <c r="LVH7" s="1179" t="s">
        <v>10</v>
      </c>
      <c r="LVI7" s="1179"/>
      <c r="LVJ7" s="1179"/>
      <c r="LVK7" s="1180"/>
      <c r="LVL7" s="1178" t="s">
        <v>8</v>
      </c>
      <c r="LVM7" s="1179"/>
      <c r="LVN7" s="1179"/>
      <c r="LVO7" s="1179"/>
      <c r="LVP7" s="1179" t="s">
        <v>10</v>
      </c>
      <c r="LVQ7" s="1179"/>
      <c r="LVR7" s="1179"/>
      <c r="LVS7" s="1180"/>
      <c r="LVT7" s="1178" t="s">
        <v>8</v>
      </c>
      <c r="LVU7" s="1179"/>
      <c r="LVV7" s="1179"/>
      <c r="LVW7" s="1179"/>
      <c r="LVX7" s="1179" t="s">
        <v>10</v>
      </c>
      <c r="LVY7" s="1179"/>
      <c r="LVZ7" s="1179"/>
      <c r="LWA7" s="1180"/>
      <c r="LWB7" s="1178" t="s">
        <v>8</v>
      </c>
      <c r="LWC7" s="1179"/>
      <c r="LWD7" s="1179"/>
      <c r="LWE7" s="1179"/>
      <c r="LWF7" s="1179" t="s">
        <v>10</v>
      </c>
      <c r="LWG7" s="1179"/>
      <c r="LWH7" s="1179"/>
      <c r="LWI7" s="1180"/>
      <c r="LWJ7" s="1178" t="s">
        <v>8</v>
      </c>
      <c r="LWK7" s="1179"/>
      <c r="LWL7" s="1179"/>
      <c r="LWM7" s="1179"/>
      <c r="LWN7" s="1179" t="s">
        <v>10</v>
      </c>
      <c r="LWO7" s="1179"/>
      <c r="LWP7" s="1179"/>
      <c r="LWQ7" s="1180"/>
      <c r="LWR7" s="1178" t="s">
        <v>8</v>
      </c>
      <c r="LWS7" s="1179"/>
      <c r="LWT7" s="1179"/>
      <c r="LWU7" s="1179"/>
      <c r="LWV7" s="1179" t="s">
        <v>10</v>
      </c>
      <c r="LWW7" s="1179"/>
      <c r="LWX7" s="1179"/>
      <c r="LWY7" s="1180"/>
      <c r="LWZ7" s="1178" t="s">
        <v>8</v>
      </c>
      <c r="LXA7" s="1179"/>
      <c r="LXB7" s="1179"/>
      <c r="LXC7" s="1179"/>
      <c r="LXD7" s="1179" t="s">
        <v>10</v>
      </c>
      <c r="LXE7" s="1179"/>
      <c r="LXF7" s="1179"/>
      <c r="LXG7" s="1180"/>
      <c r="LXH7" s="1178" t="s">
        <v>8</v>
      </c>
      <c r="LXI7" s="1179"/>
      <c r="LXJ7" s="1179"/>
      <c r="LXK7" s="1179"/>
      <c r="LXL7" s="1179" t="s">
        <v>10</v>
      </c>
      <c r="LXM7" s="1179"/>
      <c r="LXN7" s="1179"/>
      <c r="LXO7" s="1180"/>
      <c r="LXP7" s="1178" t="s">
        <v>8</v>
      </c>
      <c r="LXQ7" s="1179"/>
      <c r="LXR7" s="1179"/>
      <c r="LXS7" s="1179"/>
      <c r="LXT7" s="1179" t="s">
        <v>10</v>
      </c>
      <c r="LXU7" s="1179"/>
      <c r="LXV7" s="1179"/>
      <c r="LXW7" s="1180"/>
      <c r="LXX7" s="1178" t="s">
        <v>8</v>
      </c>
      <c r="LXY7" s="1179"/>
      <c r="LXZ7" s="1179"/>
      <c r="LYA7" s="1179"/>
      <c r="LYB7" s="1179" t="s">
        <v>10</v>
      </c>
      <c r="LYC7" s="1179"/>
      <c r="LYD7" s="1179"/>
      <c r="LYE7" s="1180"/>
      <c r="LYF7" s="1178" t="s">
        <v>8</v>
      </c>
      <c r="LYG7" s="1179"/>
      <c r="LYH7" s="1179"/>
      <c r="LYI7" s="1179"/>
      <c r="LYJ7" s="1179" t="s">
        <v>10</v>
      </c>
      <c r="LYK7" s="1179"/>
      <c r="LYL7" s="1179"/>
      <c r="LYM7" s="1180"/>
      <c r="LYN7" s="1178" t="s">
        <v>8</v>
      </c>
      <c r="LYO7" s="1179"/>
      <c r="LYP7" s="1179"/>
      <c r="LYQ7" s="1179"/>
      <c r="LYR7" s="1179" t="s">
        <v>10</v>
      </c>
      <c r="LYS7" s="1179"/>
      <c r="LYT7" s="1179"/>
      <c r="LYU7" s="1180"/>
      <c r="LYV7" s="1178" t="s">
        <v>8</v>
      </c>
      <c r="LYW7" s="1179"/>
      <c r="LYX7" s="1179"/>
      <c r="LYY7" s="1179"/>
      <c r="LYZ7" s="1179" t="s">
        <v>10</v>
      </c>
      <c r="LZA7" s="1179"/>
      <c r="LZB7" s="1179"/>
      <c r="LZC7" s="1180"/>
      <c r="LZD7" s="1178" t="s">
        <v>8</v>
      </c>
      <c r="LZE7" s="1179"/>
      <c r="LZF7" s="1179"/>
      <c r="LZG7" s="1179"/>
      <c r="LZH7" s="1179" t="s">
        <v>10</v>
      </c>
      <c r="LZI7" s="1179"/>
      <c r="LZJ7" s="1179"/>
      <c r="LZK7" s="1180"/>
      <c r="LZL7" s="1178" t="s">
        <v>8</v>
      </c>
      <c r="LZM7" s="1179"/>
      <c r="LZN7" s="1179"/>
      <c r="LZO7" s="1179"/>
      <c r="LZP7" s="1179" t="s">
        <v>10</v>
      </c>
      <c r="LZQ7" s="1179"/>
      <c r="LZR7" s="1179"/>
      <c r="LZS7" s="1180"/>
      <c r="LZT7" s="1178" t="s">
        <v>8</v>
      </c>
      <c r="LZU7" s="1179"/>
      <c r="LZV7" s="1179"/>
      <c r="LZW7" s="1179"/>
      <c r="LZX7" s="1179" t="s">
        <v>10</v>
      </c>
      <c r="LZY7" s="1179"/>
      <c r="LZZ7" s="1179"/>
      <c r="MAA7" s="1180"/>
      <c r="MAB7" s="1178" t="s">
        <v>8</v>
      </c>
      <c r="MAC7" s="1179"/>
      <c r="MAD7" s="1179"/>
      <c r="MAE7" s="1179"/>
      <c r="MAF7" s="1179" t="s">
        <v>10</v>
      </c>
      <c r="MAG7" s="1179"/>
      <c r="MAH7" s="1179"/>
      <c r="MAI7" s="1180"/>
      <c r="MAJ7" s="1178" t="s">
        <v>8</v>
      </c>
      <c r="MAK7" s="1179"/>
      <c r="MAL7" s="1179"/>
      <c r="MAM7" s="1179"/>
      <c r="MAN7" s="1179" t="s">
        <v>10</v>
      </c>
      <c r="MAO7" s="1179"/>
      <c r="MAP7" s="1179"/>
      <c r="MAQ7" s="1180"/>
      <c r="MAR7" s="1178" t="s">
        <v>8</v>
      </c>
      <c r="MAS7" s="1179"/>
      <c r="MAT7" s="1179"/>
      <c r="MAU7" s="1179"/>
      <c r="MAV7" s="1179" t="s">
        <v>10</v>
      </c>
      <c r="MAW7" s="1179"/>
      <c r="MAX7" s="1179"/>
      <c r="MAY7" s="1180"/>
      <c r="MAZ7" s="1178" t="s">
        <v>8</v>
      </c>
      <c r="MBA7" s="1179"/>
      <c r="MBB7" s="1179"/>
      <c r="MBC7" s="1179"/>
      <c r="MBD7" s="1179" t="s">
        <v>10</v>
      </c>
      <c r="MBE7" s="1179"/>
      <c r="MBF7" s="1179"/>
      <c r="MBG7" s="1180"/>
      <c r="MBH7" s="1178" t="s">
        <v>8</v>
      </c>
      <c r="MBI7" s="1179"/>
      <c r="MBJ7" s="1179"/>
      <c r="MBK7" s="1179"/>
      <c r="MBL7" s="1179" t="s">
        <v>10</v>
      </c>
      <c r="MBM7" s="1179"/>
      <c r="MBN7" s="1179"/>
      <c r="MBO7" s="1180"/>
      <c r="MBP7" s="1178" t="s">
        <v>8</v>
      </c>
      <c r="MBQ7" s="1179"/>
      <c r="MBR7" s="1179"/>
      <c r="MBS7" s="1179"/>
      <c r="MBT7" s="1179" t="s">
        <v>10</v>
      </c>
      <c r="MBU7" s="1179"/>
      <c r="MBV7" s="1179"/>
      <c r="MBW7" s="1180"/>
      <c r="MBX7" s="1178" t="s">
        <v>8</v>
      </c>
      <c r="MBY7" s="1179"/>
      <c r="MBZ7" s="1179"/>
      <c r="MCA7" s="1179"/>
      <c r="MCB7" s="1179" t="s">
        <v>10</v>
      </c>
      <c r="MCC7" s="1179"/>
      <c r="MCD7" s="1179"/>
      <c r="MCE7" s="1180"/>
      <c r="MCF7" s="1178" t="s">
        <v>8</v>
      </c>
      <c r="MCG7" s="1179"/>
      <c r="MCH7" s="1179"/>
      <c r="MCI7" s="1179"/>
      <c r="MCJ7" s="1179" t="s">
        <v>10</v>
      </c>
      <c r="MCK7" s="1179"/>
      <c r="MCL7" s="1179"/>
      <c r="MCM7" s="1180"/>
      <c r="MCN7" s="1178" t="s">
        <v>8</v>
      </c>
      <c r="MCO7" s="1179"/>
      <c r="MCP7" s="1179"/>
      <c r="MCQ7" s="1179"/>
      <c r="MCR7" s="1179" t="s">
        <v>10</v>
      </c>
      <c r="MCS7" s="1179"/>
      <c r="MCT7" s="1179"/>
      <c r="MCU7" s="1180"/>
      <c r="MCV7" s="1178" t="s">
        <v>8</v>
      </c>
      <c r="MCW7" s="1179"/>
      <c r="MCX7" s="1179"/>
      <c r="MCY7" s="1179"/>
      <c r="MCZ7" s="1179" t="s">
        <v>10</v>
      </c>
      <c r="MDA7" s="1179"/>
      <c r="MDB7" s="1179"/>
      <c r="MDC7" s="1180"/>
      <c r="MDD7" s="1178" t="s">
        <v>8</v>
      </c>
      <c r="MDE7" s="1179"/>
      <c r="MDF7" s="1179"/>
      <c r="MDG7" s="1179"/>
      <c r="MDH7" s="1179" t="s">
        <v>10</v>
      </c>
      <c r="MDI7" s="1179"/>
      <c r="MDJ7" s="1179"/>
      <c r="MDK7" s="1180"/>
      <c r="MDL7" s="1178" t="s">
        <v>8</v>
      </c>
      <c r="MDM7" s="1179"/>
      <c r="MDN7" s="1179"/>
      <c r="MDO7" s="1179"/>
      <c r="MDP7" s="1179" t="s">
        <v>10</v>
      </c>
      <c r="MDQ7" s="1179"/>
      <c r="MDR7" s="1179"/>
      <c r="MDS7" s="1180"/>
      <c r="MDT7" s="1178" t="s">
        <v>8</v>
      </c>
      <c r="MDU7" s="1179"/>
      <c r="MDV7" s="1179"/>
      <c r="MDW7" s="1179"/>
      <c r="MDX7" s="1179" t="s">
        <v>10</v>
      </c>
      <c r="MDY7" s="1179"/>
      <c r="MDZ7" s="1179"/>
      <c r="MEA7" s="1180"/>
      <c r="MEB7" s="1178" t="s">
        <v>8</v>
      </c>
      <c r="MEC7" s="1179"/>
      <c r="MED7" s="1179"/>
      <c r="MEE7" s="1179"/>
      <c r="MEF7" s="1179" t="s">
        <v>10</v>
      </c>
      <c r="MEG7" s="1179"/>
      <c r="MEH7" s="1179"/>
      <c r="MEI7" s="1180"/>
      <c r="MEJ7" s="1178" t="s">
        <v>8</v>
      </c>
      <c r="MEK7" s="1179"/>
      <c r="MEL7" s="1179"/>
      <c r="MEM7" s="1179"/>
      <c r="MEN7" s="1179" t="s">
        <v>10</v>
      </c>
      <c r="MEO7" s="1179"/>
      <c r="MEP7" s="1179"/>
      <c r="MEQ7" s="1180"/>
      <c r="MER7" s="1178" t="s">
        <v>8</v>
      </c>
      <c r="MES7" s="1179"/>
      <c r="MET7" s="1179"/>
      <c r="MEU7" s="1179"/>
      <c r="MEV7" s="1179" t="s">
        <v>10</v>
      </c>
      <c r="MEW7" s="1179"/>
      <c r="MEX7" s="1179"/>
      <c r="MEY7" s="1180"/>
      <c r="MEZ7" s="1178" t="s">
        <v>8</v>
      </c>
      <c r="MFA7" s="1179"/>
      <c r="MFB7" s="1179"/>
      <c r="MFC7" s="1179"/>
      <c r="MFD7" s="1179" t="s">
        <v>10</v>
      </c>
      <c r="MFE7" s="1179"/>
      <c r="MFF7" s="1179"/>
      <c r="MFG7" s="1180"/>
      <c r="MFH7" s="1178" t="s">
        <v>8</v>
      </c>
      <c r="MFI7" s="1179"/>
      <c r="MFJ7" s="1179"/>
      <c r="MFK7" s="1179"/>
      <c r="MFL7" s="1179" t="s">
        <v>10</v>
      </c>
      <c r="MFM7" s="1179"/>
      <c r="MFN7" s="1179"/>
      <c r="MFO7" s="1180"/>
      <c r="MFP7" s="1178" t="s">
        <v>8</v>
      </c>
      <c r="MFQ7" s="1179"/>
      <c r="MFR7" s="1179"/>
      <c r="MFS7" s="1179"/>
      <c r="MFT7" s="1179" t="s">
        <v>10</v>
      </c>
      <c r="MFU7" s="1179"/>
      <c r="MFV7" s="1179"/>
      <c r="MFW7" s="1180"/>
      <c r="MFX7" s="1178" t="s">
        <v>8</v>
      </c>
      <c r="MFY7" s="1179"/>
      <c r="MFZ7" s="1179"/>
      <c r="MGA7" s="1179"/>
      <c r="MGB7" s="1179" t="s">
        <v>10</v>
      </c>
      <c r="MGC7" s="1179"/>
      <c r="MGD7" s="1179"/>
      <c r="MGE7" s="1180"/>
      <c r="MGF7" s="1178" t="s">
        <v>8</v>
      </c>
      <c r="MGG7" s="1179"/>
      <c r="MGH7" s="1179"/>
      <c r="MGI7" s="1179"/>
      <c r="MGJ7" s="1179" t="s">
        <v>10</v>
      </c>
      <c r="MGK7" s="1179"/>
      <c r="MGL7" s="1179"/>
      <c r="MGM7" s="1180"/>
      <c r="MGN7" s="1178" t="s">
        <v>8</v>
      </c>
      <c r="MGO7" s="1179"/>
      <c r="MGP7" s="1179"/>
      <c r="MGQ7" s="1179"/>
      <c r="MGR7" s="1179" t="s">
        <v>10</v>
      </c>
      <c r="MGS7" s="1179"/>
      <c r="MGT7" s="1179"/>
      <c r="MGU7" s="1180"/>
      <c r="MGV7" s="1178" t="s">
        <v>8</v>
      </c>
      <c r="MGW7" s="1179"/>
      <c r="MGX7" s="1179"/>
      <c r="MGY7" s="1179"/>
      <c r="MGZ7" s="1179" t="s">
        <v>10</v>
      </c>
      <c r="MHA7" s="1179"/>
      <c r="MHB7" s="1179"/>
      <c r="MHC7" s="1180"/>
      <c r="MHD7" s="1178" t="s">
        <v>8</v>
      </c>
      <c r="MHE7" s="1179"/>
      <c r="MHF7" s="1179"/>
      <c r="MHG7" s="1179"/>
      <c r="MHH7" s="1179" t="s">
        <v>10</v>
      </c>
      <c r="MHI7" s="1179"/>
      <c r="MHJ7" s="1179"/>
      <c r="MHK7" s="1180"/>
      <c r="MHL7" s="1178" t="s">
        <v>8</v>
      </c>
      <c r="MHM7" s="1179"/>
      <c r="MHN7" s="1179"/>
      <c r="MHO7" s="1179"/>
      <c r="MHP7" s="1179" t="s">
        <v>10</v>
      </c>
      <c r="MHQ7" s="1179"/>
      <c r="MHR7" s="1179"/>
      <c r="MHS7" s="1180"/>
      <c r="MHT7" s="1178" t="s">
        <v>8</v>
      </c>
      <c r="MHU7" s="1179"/>
      <c r="MHV7" s="1179"/>
      <c r="MHW7" s="1179"/>
      <c r="MHX7" s="1179" t="s">
        <v>10</v>
      </c>
      <c r="MHY7" s="1179"/>
      <c r="MHZ7" s="1179"/>
      <c r="MIA7" s="1180"/>
      <c r="MIB7" s="1178" t="s">
        <v>8</v>
      </c>
      <c r="MIC7" s="1179"/>
      <c r="MID7" s="1179"/>
      <c r="MIE7" s="1179"/>
      <c r="MIF7" s="1179" t="s">
        <v>10</v>
      </c>
      <c r="MIG7" s="1179"/>
      <c r="MIH7" s="1179"/>
      <c r="MII7" s="1180"/>
      <c r="MIJ7" s="1178" t="s">
        <v>8</v>
      </c>
      <c r="MIK7" s="1179"/>
      <c r="MIL7" s="1179"/>
      <c r="MIM7" s="1179"/>
      <c r="MIN7" s="1179" t="s">
        <v>10</v>
      </c>
      <c r="MIO7" s="1179"/>
      <c r="MIP7" s="1179"/>
      <c r="MIQ7" s="1180"/>
      <c r="MIR7" s="1178" t="s">
        <v>8</v>
      </c>
      <c r="MIS7" s="1179"/>
      <c r="MIT7" s="1179"/>
      <c r="MIU7" s="1179"/>
      <c r="MIV7" s="1179" t="s">
        <v>10</v>
      </c>
      <c r="MIW7" s="1179"/>
      <c r="MIX7" s="1179"/>
      <c r="MIY7" s="1180"/>
      <c r="MIZ7" s="1178" t="s">
        <v>8</v>
      </c>
      <c r="MJA7" s="1179"/>
      <c r="MJB7" s="1179"/>
      <c r="MJC7" s="1179"/>
      <c r="MJD7" s="1179" t="s">
        <v>10</v>
      </c>
      <c r="MJE7" s="1179"/>
      <c r="MJF7" s="1179"/>
      <c r="MJG7" s="1180"/>
      <c r="MJH7" s="1178" t="s">
        <v>8</v>
      </c>
      <c r="MJI7" s="1179"/>
      <c r="MJJ7" s="1179"/>
      <c r="MJK7" s="1179"/>
      <c r="MJL7" s="1179" t="s">
        <v>10</v>
      </c>
      <c r="MJM7" s="1179"/>
      <c r="MJN7" s="1179"/>
      <c r="MJO7" s="1180"/>
      <c r="MJP7" s="1178" t="s">
        <v>8</v>
      </c>
      <c r="MJQ7" s="1179"/>
      <c r="MJR7" s="1179"/>
      <c r="MJS7" s="1179"/>
      <c r="MJT7" s="1179" t="s">
        <v>10</v>
      </c>
      <c r="MJU7" s="1179"/>
      <c r="MJV7" s="1179"/>
      <c r="MJW7" s="1180"/>
      <c r="MJX7" s="1178" t="s">
        <v>8</v>
      </c>
      <c r="MJY7" s="1179"/>
      <c r="MJZ7" s="1179"/>
      <c r="MKA7" s="1179"/>
      <c r="MKB7" s="1179" t="s">
        <v>10</v>
      </c>
      <c r="MKC7" s="1179"/>
      <c r="MKD7" s="1179"/>
      <c r="MKE7" s="1180"/>
      <c r="MKF7" s="1178" t="s">
        <v>8</v>
      </c>
      <c r="MKG7" s="1179"/>
      <c r="MKH7" s="1179"/>
      <c r="MKI7" s="1179"/>
      <c r="MKJ7" s="1179" t="s">
        <v>10</v>
      </c>
      <c r="MKK7" s="1179"/>
      <c r="MKL7" s="1179"/>
      <c r="MKM7" s="1180"/>
      <c r="MKN7" s="1178" t="s">
        <v>8</v>
      </c>
      <c r="MKO7" s="1179"/>
      <c r="MKP7" s="1179"/>
      <c r="MKQ7" s="1179"/>
      <c r="MKR7" s="1179" t="s">
        <v>10</v>
      </c>
      <c r="MKS7" s="1179"/>
      <c r="MKT7" s="1179"/>
      <c r="MKU7" s="1180"/>
      <c r="MKV7" s="1178" t="s">
        <v>8</v>
      </c>
      <c r="MKW7" s="1179"/>
      <c r="MKX7" s="1179"/>
      <c r="MKY7" s="1179"/>
      <c r="MKZ7" s="1179" t="s">
        <v>10</v>
      </c>
      <c r="MLA7" s="1179"/>
      <c r="MLB7" s="1179"/>
      <c r="MLC7" s="1180"/>
      <c r="MLD7" s="1178" t="s">
        <v>8</v>
      </c>
      <c r="MLE7" s="1179"/>
      <c r="MLF7" s="1179"/>
      <c r="MLG7" s="1179"/>
      <c r="MLH7" s="1179" t="s">
        <v>10</v>
      </c>
      <c r="MLI7" s="1179"/>
      <c r="MLJ7" s="1179"/>
      <c r="MLK7" s="1180"/>
      <c r="MLL7" s="1178" t="s">
        <v>8</v>
      </c>
      <c r="MLM7" s="1179"/>
      <c r="MLN7" s="1179"/>
      <c r="MLO7" s="1179"/>
      <c r="MLP7" s="1179" t="s">
        <v>10</v>
      </c>
      <c r="MLQ7" s="1179"/>
      <c r="MLR7" s="1179"/>
      <c r="MLS7" s="1180"/>
      <c r="MLT7" s="1178" t="s">
        <v>8</v>
      </c>
      <c r="MLU7" s="1179"/>
      <c r="MLV7" s="1179"/>
      <c r="MLW7" s="1179"/>
      <c r="MLX7" s="1179" t="s">
        <v>10</v>
      </c>
      <c r="MLY7" s="1179"/>
      <c r="MLZ7" s="1179"/>
      <c r="MMA7" s="1180"/>
      <c r="MMB7" s="1178" t="s">
        <v>8</v>
      </c>
      <c r="MMC7" s="1179"/>
      <c r="MMD7" s="1179"/>
      <c r="MME7" s="1179"/>
      <c r="MMF7" s="1179" t="s">
        <v>10</v>
      </c>
      <c r="MMG7" s="1179"/>
      <c r="MMH7" s="1179"/>
      <c r="MMI7" s="1180"/>
      <c r="MMJ7" s="1178" t="s">
        <v>8</v>
      </c>
      <c r="MMK7" s="1179"/>
      <c r="MML7" s="1179"/>
      <c r="MMM7" s="1179"/>
      <c r="MMN7" s="1179" t="s">
        <v>10</v>
      </c>
      <c r="MMO7" s="1179"/>
      <c r="MMP7" s="1179"/>
      <c r="MMQ7" s="1180"/>
      <c r="MMR7" s="1178" t="s">
        <v>8</v>
      </c>
      <c r="MMS7" s="1179"/>
      <c r="MMT7" s="1179"/>
      <c r="MMU7" s="1179"/>
      <c r="MMV7" s="1179" t="s">
        <v>10</v>
      </c>
      <c r="MMW7" s="1179"/>
      <c r="MMX7" s="1179"/>
      <c r="MMY7" s="1180"/>
      <c r="MMZ7" s="1178" t="s">
        <v>8</v>
      </c>
      <c r="MNA7" s="1179"/>
      <c r="MNB7" s="1179"/>
      <c r="MNC7" s="1179"/>
      <c r="MND7" s="1179" t="s">
        <v>10</v>
      </c>
      <c r="MNE7" s="1179"/>
      <c r="MNF7" s="1179"/>
      <c r="MNG7" s="1180"/>
      <c r="MNH7" s="1178" t="s">
        <v>8</v>
      </c>
      <c r="MNI7" s="1179"/>
      <c r="MNJ7" s="1179"/>
      <c r="MNK7" s="1179"/>
      <c r="MNL7" s="1179" t="s">
        <v>10</v>
      </c>
      <c r="MNM7" s="1179"/>
      <c r="MNN7" s="1179"/>
      <c r="MNO7" s="1180"/>
      <c r="MNP7" s="1178" t="s">
        <v>8</v>
      </c>
      <c r="MNQ7" s="1179"/>
      <c r="MNR7" s="1179"/>
      <c r="MNS7" s="1179"/>
      <c r="MNT7" s="1179" t="s">
        <v>10</v>
      </c>
      <c r="MNU7" s="1179"/>
      <c r="MNV7" s="1179"/>
      <c r="MNW7" s="1180"/>
      <c r="MNX7" s="1178" t="s">
        <v>8</v>
      </c>
      <c r="MNY7" s="1179"/>
      <c r="MNZ7" s="1179"/>
      <c r="MOA7" s="1179"/>
      <c r="MOB7" s="1179" t="s">
        <v>10</v>
      </c>
      <c r="MOC7" s="1179"/>
      <c r="MOD7" s="1179"/>
      <c r="MOE7" s="1180"/>
      <c r="MOF7" s="1178" t="s">
        <v>8</v>
      </c>
      <c r="MOG7" s="1179"/>
      <c r="MOH7" s="1179"/>
      <c r="MOI7" s="1179"/>
      <c r="MOJ7" s="1179" t="s">
        <v>10</v>
      </c>
      <c r="MOK7" s="1179"/>
      <c r="MOL7" s="1179"/>
      <c r="MOM7" s="1180"/>
      <c r="MON7" s="1178" t="s">
        <v>8</v>
      </c>
      <c r="MOO7" s="1179"/>
      <c r="MOP7" s="1179"/>
      <c r="MOQ7" s="1179"/>
      <c r="MOR7" s="1179" t="s">
        <v>10</v>
      </c>
      <c r="MOS7" s="1179"/>
      <c r="MOT7" s="1179"/>
      <c r="MOU7" s="1180"/>
      <c r="MOV7" s="1178" t="s">
        <v>8</v>
      </c>
      <c r="MOW7" s="1179"/>
      <c r="MOX7" s="1179"/>
      <c r="MOY7" s="1179"/>
      <c r="MOZ7" s="1179" t="s">
        <v>10</v>
      </c>
      <c r="MPA7" s="1179"/>
      <c r="MPB7" s="1179"/>
      <c r="MPC7" s="1180"/>
      <c r="MPD7" s="1178" t="s">
        <v>8</v>
      </c>
      <c r="MPE7" s="1179"/>
      <c r="MPF7" s="1179"/>
      <c r="MPG7" s="1179"/>
      <c r="MPH7" s="1179" t="s">
        <v>10</v>
      </c>
      <c r="MPI7" s="1179"/>
      <c r="MPJ7" s="1179"/>
      <c r="MPK7" s="1180"/>
      <c r="MPL7" s="1178" t="s">
        <v>8</v>
      </c>
      <c r="MPM7" s="1179"/>
      <c r="MPN7" s="1179"/>
      <c r="MPO7" s="1179"/>
      <c r="MPP7" s="1179" t="s">
        <v>10</v>
      </c>
      <c r="MPQ7" s="1179"/>
      <c r="MPR7" s="1179"/>
      <c r="MPS7" s="1180"/>
      <c r="MPT7" s="1178" t="s">
        <v>8</v>
      </c>
      <c r="MPU7" s="1179"/>
      <c r="MPV7" s="1179"/>
      <c r="MPW7" s="1179"/>
      <c r="MPX7" s="1179" t="s">
        <v>10</v>
      </c>
      <c r="MPY7" s="1179"/>
      <c r="MPZ7" s="1179"/>
      <c r="MQA7" s="1180"/>
      <c r="MQB7" s="1178" t="s">
        <v>8</v>
      </c>
      <c r="MQC7" s="1179"/>
      <c r="MQD7" s="1179"/>
      <c r="MQE7" s="1179"/>
      <c r="MQF7" s="1179" t="s">
        <v>10</v>
      </c>
      <c r="MQG7" s="1179"/>
      <c r="MQH7" s="1179"/>
      <c r="MQI7" s="1180"/>
      <c r="MQJ7" s="1178" t="s">
        <v>8</v>
      </c>
      <c r="MQK7" s="1179"/>
      <c r="MQL7" s="1179"/>
      <c r="MQM7" s="1179"/>
      <c r="MQN7" s="1179" t="s">
        <v>10</v>
      </c>
      <c r="MQO7" s="1179"/>
      <c r="MQP7" s="1179"/>
      <c r="MQQ7" s="1180"/>
      <c r="MQR7" s="1178" t="s">
        <v>8</v>
      </c>
      <c r="MQS7" s="1179"/>
      <c r="MQT7" s="1179"/>
      <c r="MQU7" s="1179"/>
      <c r="MQV7" s="1179" t="s">
        <v>10</v>
      </c>
      <c r="MQW7" s="1179"/>
      <c r="MQX7" s="1179"/>
      <c r="MQY7" s="1180"/>
      <c r="MQZ7" s="1178" t="s">
        <v>8</v>
      </c>
      <c r="MRA7" s="1179"/>
      <c r="MRB7" s="1179"/>
      <c r="MRC7" s="1179"/>
      <c r="MRD7" s="1179" t="s">
        <v>10</v>
      </c>
      <c r="MRE7" s="1179"/>
      <c r="MRF7" s="1179"/>
      <c r="MRG7" s="1180"/>
      <c r="MRH7" s="1178" t="s">
        <v>8</v>
      </c>
      <c r="MRI7" s="1179"/>
      <c r="MRJ7" s="1179"/>
      <c r="MRK7" s="1179"/>
      <c r="MRL7" s="1179" t="s">
        <v>10</v>
      </c>
      <c r="MRM7" s="1179"/>
      <c r="MRN7" s="1179"/>
      <c r="MRO7" s="1180"/>
      <c r="MRP7" s="1178" t="s">
        <v>8</v>
      </c>
      <c r="MRQ7" s="1179"/>
      <c r="MRR7" s="1179"/>
      <c r="MRS7" s="1179"/>
      <c r="MRT7" s="1179" t="s">
        <v>10</v>
      </c>
      <c r="MRU7" s="1179"/>
      <c r="MRV7" s="1179"/>
      <c r="MRW7" s="1180"/>
      <c r="MRX7" s="1178" t="s">
        <v>8</v>
      </c>
      <c r="MRY7" s="1179"/>
      <c r="MRZ7" s="1179"/>
      <c r="MSA7" s="1179"/>
      <c r="MSB7" s="1179" t="s">
        <v>10</v>
      </c>
      <c r="MSC7" s="1179"/>
      <c r="MSD7" s="1179"/>
      <c r="MSE7" s="1180"/>
      <c r="MSF7" s="1178" t="s">
        <v>8</v>
      </c>
      <c r="MSG7" s="1179"/>
      <c r="MSH7" s="1179"/>
      <c r="MSI7" s="1179"/>
      <c r="MSJ7" s="1179" t="s">
        <v>10</v>
      </c>
      <c r="MSK7" s="1179"/>
      <c r="MSL7" s="1179"/>
      <c r="MSM7" s="1180"/>
      <c r="MSN7" s="1178" t="s">
        <v>8</v>
      </c>
      <c r="MSO7" s="1179"/>
      <c r="MSP7" s="1179"/>
      <c r="MSQ7" s="1179"/>
      <c r="MSR7" s="1179" t="s">
        <v>10</v>
      </c>
      <c r="MSS7" s="1179"/>
      <c r="MST7" s="1179"/>
      <c r="MSU7" s="1180"/>
      <c r="MSV7" s="1178" t="s">
        <v>8</v>
      </c>
      <c r="MSW7" s="1179"/>
      <c r="MSX7" s="1179"/>
      <c r="MSY7" s="1179"/>
      <c r="MSZ7" s="1179" t="s">
        <v>10</v>
      </c>
      <c r="MTA7" s="1179"/>
      <c r="MTB7" s="1179"/>
      <c r="MTC7" s="1180"/>
      <c r="MTD7" s="1178" t="s">
        <v>8</v>
      </c>
      <c r="MTE7" s="1179"/>
      <c r="MTF7" s="1179"/>
      <c r="MTG7" s="1179"/>
      <c r="MTH7" s="1179" t="s">
        <v>10</v>
      </c>
      <c r="MTI7" s="1179"/>
      <c r="MTJ7" s="1179"/>
      <c r="MTK7" s="1180"/>
      <c r="MTL7" s="1178" t="s">
        <v>8</v>
      </c>
      <c r="MTM7" s="1179"/>
      <c r="MTN7" s="1179"/>
      <c r="MTO7" s="1179"/>
      <c r="MTP7" s="1179" t="s">
        <v>10</v>
      </c>
      <c r="MTQ7" s="1179"/>
      <c r="MTR7" s="1179"/>
      <c r="MTS7" s="1180"/>
      <c r="MTT7" s="1178" t="s">
        <v>8</v>
      </c>
      <c r="MTU7" s="1179"/>
      <c r="MTV7" s="1179"/>
      <c r="MTW7" s="1179"/>
      <c r="MTX7" s="1179" t="s">
        <v>10</v>
      </c>
      <c r="MTY7" s="1179"/>
      <c r="MTZ7" s="1179"/>
      <c r="MUA7" s="1180"/>
      <c r="MUB7" s="1178" t="s">
        <v>8</v>
      </c>
      <c r="MUC7" s="1179"/>
      <c r="MUD7" s="1179"/>
      <c r="MUE7" s="1179"/>
      <c r="MUF7" s="1179" t="s">
        <v>10</v>
      </c>
      <c r="MUG7" s="1179"/>
      <c r="MUH7" s="1179"/>
      <c r="MUI7" s="1180"/>
      <c r="MUJ7" s="1178" t="s">
        <v>8</v>
      </c>
      <c r="MUK7" s="1179"/>
      <c r="MUL7" s="1179"/>
      <c r="MUM7" s="1179"/>
      <c r="MUN7" s="1179" t="s">
        <v>10</v>
      </c>
      <c r="MUO7" s="1179"/>
      <c r="MUP7" s="1179"/>
      <c r="MUQ7" s="1180"/>
      <c r="MUR7" s="1178" t="s">
        <v>8</v>
      </c>
      <c r="MUS7" s="1179"/>
      <c r="MUT7" s="1179"/>
      <c r="MUU7" s="1179"/>
      <c r="MUV7" s="1179" t="s">
        <v>10</v>
      </c>
      <c r="MUW7" s="1179"/>
      <c r="MUX7" s="1179"/>
      <c r="MUY7" s="1180"/>
      <c r="MUZ7" s="1178" t="s">
        <v>8</v>
      </c>
      <c r="MVA7" s="1179"/>
      <c r="MVB7" s="1179"/>
      <c r="MVC7" s="1179"/>
      <c r="MVD7" s="1179" t="s">
        <v>10</v>
      </c>
      <c r="MVE7" s="1179"/>
      <c r="MVF7" s="1179"/>
      <c r="MVG7" s="1180"/>
      <c r="MVH7" s="1178" t="s">
        <v>8</v>
      </c>
      <c r="MVI7" s="1179"/>
      <c r="MVJ7" s="1179"/>
      <c r="MVK7" s="1179"/>
      <c r="MVL7" s="1179" t="s">
        <v>10</v>
      </c>
      <c r="MVM7" s="1179"/>
      <c r="MVN7" s="1179"/>
      <c r="MVO7" s="1180"/>
      <c r="MVP7" s="1178" t="s">
        <v>8</v>
      </c>
      <c r="MVQ7" s="1179"/>
      <c r="MVR7" s="1179"/>
      <c r="MVS7" s="1179"/>
      <c r="MVT7" s="1179" t="s">
        <v>10</v>
      </c>
      <c r="MVU7" s="1179"/>
      <c r="MVV7" s="1179"/>
      <c r="MVW7" s="1180"/>
      <c r="MVX7" s="1178" t="s">
        <v>8</v>
      </c>
      <c r="MVY7" s="1179"/>
      <c r="MVZ7" s="1179"/>
      <c r="MWA7" s="1179"/>
      <c r="MWB7" s="1179" t="s">
        <v>10</v>
      </c>
      <c r="MWC7" s="1179"/>
      <c r="MWD7" s="1179"/>
      <c r="MWE7" s="1180"/>
      <c r="MWF7" s="1178" t="s">
        <v>8</v>
      </c>
      <c r="MWG7" s="1179"/>
      <c r="MWH7" s="1179"/>
      <c r="MWI7" s="1179"/>
      <c r="MWJ7" s="1179" t="s">
        <v>10</v>
      </c>
      <c r="MWK7" s="1179"/>
      <c r="MWL7" s="1179"/>
      <c r="MWM7" s="1180"/>
      <c r="MWN7" s="1178" t="s">
        <v>8</v>
      </c>
      <c r="MWO7" s="1179"/>
      <c r="MWP7" s="1179"/>
      <c r="MWQ7" s="1179"/>
      <c r="MWR7" s="1179" t="s">
        <v>10</v>
      </c>
      <c r="MWS7" s="1179"/>
      <c r="MWT7" s="1179"/>
      <c r="MWU7" s="1180"/>
      <c r="MWV7" s="1178" t="s">
        <v>8</v>
      </c>
      <c r="MWW7" s="1179"/>
      <c r="MWX7" s="1179"/>
      <c r="MWY7" s="1179"/>
      <c r="MWZ7" s="1179" t="s">
        <v>10</v>
      </c>
      <c r="MXA7" s="1179"/>
      <c r="MXB7" s="1179"/>
      <c r="MXC7" s="1180"/>
      <c r="MXD7" s="1178" t="s">
        <v>8</v>
      </c>
      <c r="MXE7" s="1179"/>
      <c r="MXF7" s="1179"/>
      <c r="MXG7" s="1179"/>
      <c r="MXH7" s="1179" t="s">
        <v>10</v>
      </c>
      <c r="MXI7" s="1179"/>
      <c r="MXJ7" s="1179"/>
      <c r="MXK7" s="1180"/>
      <c r="MXL7" s="1178" t="s">
        <v>8</v>
      </c>
      <c r="MXM7" s="1179"/>
      <c r="MXN7" s="1179"/>
      <c r="MXO7" s="1179"/>
      <c r="MXP7" s="1179" t="s">
        <v>10</v>
      </c>
      <c r="MXQ7" s="1179"/>
      <c r="MXR7" s="1179"/>
      <c r="MXS7" s="1180"/>
      <c r="MXT7" s="1178" t="s">
        <v>8</v>
      </c>
      <c r="MXU7" s="1179"/>
      <c r="MXV7" s="1179"/>
      <c r="MXW7" s="1179"/>
      <c r="MXX7" s="1179" t="s">
        <v>10</v>
      </c>
      <c r="MXY7" s="1179"/>
      <c r="MXZ7" s="1179"/>
      <c r="MYA7" s="1180"/>
      <c r="MYB7" s="1178" t="s">
        <v>8</v>
      </c>
      <c r="MYC7" s="1179"/>
      <c r="MYD7" s="1179"/>
      <c r="MYE7" s="1179"/>
      <c r="MYF7" s="1179" t="s">
        <v>10</v>
      </c>
      <c r="MYG7" s="1179"/>
      <c r="MYH7" s="1179"/>
      <c r="MYI7" s="1180"/>
      <c r="MYJ7" s="1178" t="s">
        <v>8</v>
      </c>
      <c r="MYK7" s="1179"/>
      <c r="MYL7" s="1179"/>
      <c r="MYM7" s="1179"/>
      <c r="MYN7" s="1179" t="s">
        <v>10</v>
      </c>
      <c r="MYO7" s="1179"/>
      <c r="MYP7" s="1179"/>
      <c r="MYQ7" s="1180"/>
      <c r="MYR7" s="1178" t="s">
        <v>8</v>
      </c>
      <c r="MYS7" s="1179"/>
      <c r="MYT7" s="1179"/>
      <c r="MYU7" s="1179"/>
      <c r="MYV7" s="1179" t="s">
        <v>10</v>
      </c>
      <c r="MYW7" s="1179"/>
      <c r="MYX7" s="1179"/>
      <c r="MYY7" s="1180"/>
      <c r="MYZ7" s="1178" t="s">
        <v>8</v>
      </c>
      <c r="MZA7" s="1179"/>
      <c r="MZB7" s="1179"/>
      <c r="MZC7" s="1179"/>
      <c r="MZD7" s="1179" t="s">
        <v>10</v>
      </c>
      <c r="MZE7" s="1179"/>
      <c r="MZF7" s="1179"/>
      <c r="MZG7" s="1180"/>
      <c r="MZH7" s="1178" t="s">
        <v>8</v>
      </c>
      <c r="MZI7" s="1179"/>
      <c r="MZJ7" s="1179"/>
      <c r="MZK7" s="1179"/>
      <c r="MZL7" s="1179" t="s">
        <v>10</v>
      </c>
      <c r="MZM7" s="1179"/>
      <c r="MZN7" s="1179"/>
      <c r="MZO7" s="1180"/>
      <c r="MZP7" s="1178" t="s">
        <v>8</v>
      </c>
      <c r="MZQ7" s="1179"/>
      <c r="MZR7" s="1179"/>
      <c r="MZS7" s="1179"/>
      <c r="MZT7" s="1179" t="s">
        <v>10</v>
      </c>
      <c r="MZU7" s="1179"/>
      <c r="MZV7" s="1179"/>
      <c r="MZW7" s="1180"/>
      <c r="MZX7" s="1178" t="s">
        <v>8</v>
      </c>
      <c r="MZY7" s="1179"/>
      <c r="MZZ7" s="1179"/>
      <c r="NAA7" s="1179"/>
      <c r="NAB7" s="1179" t="s">
        <v>10</v>
      </c>
      <c r="NAC7" s="1179"/>
      <c r="NAD7" s="1179"/>
      <c r="NAE7" s="1180"/>
      <c r="NAF7" s="1178" t="s">
        <v>8</v>
      </c>
      <c r="NAG7" s="1179"/>
      <c r="NAH7" s="1179"/>
      <c r="NAI7" s="1179"/>
      <c r="NAJ7" s="1179" t="s">
        <v>10</v>
      </c>
      <c r="NAK7" s="1179"/>
      <c r="NAL7" s="1179"/>
      <c r="NAM7" s="1180"/>
      <c r="NAN7" s="1178" t="s">
        <v>8</v>
      </c>
      <c r="NAO7" s="1179"/>
      <c r="NAP7" s="1179"/>
      <c r="NAQ7" s="1179"/>
      <c r="NAR7" s="1179" t="s">
        <v>10</v>
      </c>
      <c r="NAS7" s="1179"/>
      <c r="NAT7" s="1179"/>
      <c r="NAU7" s="1180"/>
      <c r="NAV7" s="1178" t="s">
        <v>8</v>
      </c>
      <c r="NAW7" s="1179"/>
      <c r="NAX7" s="1179"/>
      <c r="NAY7" s="1179"/>
      <c r="NAZ7" s="1179" t="s">
        <v>10</v>
      </c>
      <c r="NBA7" s="1179"/>
      <c r="NBB7" s="1179"/>
      <c r="NBC7" s="1180"/>
      <c r="NBD7" s="1178" t="s">
        <v>8</v>
      </c>
      <c r="NBE7" s="1179"/>
      <c r="NBF7" s="1179"/>
      <c r="NBG7" s="1179"/>
      <c r="NBH7" s="1179" t="s">
        <v>10</v>
      </c>
      <c r="NBI7" s="1179"/>
      <c r="NBJ7" s="1179"/>
      <c r="NBK7" s="1180"/>
      <c r="NBL7" s="1178" t="s">
        <v>8</v>
      </c>
      <c r="NBM7" s="1179"/>
      <c r="NBN7" s="1179"/>
      <c r="NBO7" s="1179"/>
      <c r="NBP7" s="1179" t="s">
        <v>10</v>
      </c>
      <c r="NBQ7" s="1179"/>
      <c r="NBR7" s="1179"/>
      <c r="NBS7" s="1180"/>
      <c r="NBT7" s="1178" t="s">
        <v>8</v>
      </c>
      <c r="NBU7" s="1179"/>
      <c r="NBV7" s="1179"/>
      <c r="NBW7" s="1179"/>
      <c r="NBX7" s="1179" t="s">
        <v>10</v>
      </c>
      <c r="NBY7" s="1179"/>
      <c r="NBZ7" s="1179"/>
      <c r="NCA7" s="1180"/>
      <c r="NCB7" s="1178" t="s">
        <v>8</v>
      </c>
      <c r="NCC7" s="1179"/>
      <c r="NCD7" s="1179"/>
      <c r="NCE7" s="1179"/>
      <c r="NCF7" s="1179" t="s">
        <v>10</v>
      </c>
      <c r="NCG7" s="1179"/>
      <c r="NCH7" s="1179"/>
      <c r="NCI7" s="1180"/>
      <c r="NCJ7" s="1178" t="s">
        <v>8</v>
      </c>
      <c r="NCK7" s="1179"/>
      <c r="NCL7" s="1179"/>
      <c r="NCM7" s="1179"/>
      <c r="NCN7" s="1179" t="s">
        <v>10</v>
      </c>
      <c r="NCO7" s="1179"/>
      <c r="NCP7" s="1179"/>
      <c r="NCQ7" s="1180"/>
      <c r="NCR7" s="1178" t="s">
        <v>8</v>
      </c>
      <c r="NCS7" s="1179"/>
      <c r="NCT7" s="1179"/>
      <c r="NCU7" s="1179"/>
      <c r="NCV7" s="1179" t="s">
        <v>10</v>
      </c>
      <c r="NCW7" s="1179"/>
      <c r="NCX7" s="1179"/>
      <c r="NCY7" s="1180"/>
      <c r="NCZ7" s="1178" t="s">
        <v>8</v>
      </c>
      <c r="NDA7" s="1179"/>
      <c r="NDB7" s="1179"/>
      <c r="NDC7" s="1179"/>
      <c r="NDD7" s="1179" t="s">
        <v>10</v>
      </c>
      <c r="NDE7" s="1179"/>
      <c r="NDF7" s="1179"/>
      <c r="NDG7" s="1180"/>
      <c r="NDH7" s="1178" t="s">
        <v>8</v>
      </c>
      <c r="NDI7" s="1179"/>
      <c r="NDJ7" s="1179"/>
      <c r="NDK7" s="1179"/>
      <c r="NDL7" s="1179" t="s">
        <v>10</v>
      </c>
      <c r="NDM7" s="1179"/>
      <c r="NDN7" s="1179"/>
      <c r="NDO7" s="1180"/>
      <c r="NDP7" s="1178" t="s">
        <v>8</v>
      </c>
      <c r="NDQ7" s="1179"/>
      <c r="NDR7" s="1179"/>
      <c r="NDS7" s="1179"/>
      <c r="NDT7" s="1179" t="s">
        <v>10</v>
      </c>
      <c r="NDU7" s="1179"/>
      <c r="NDV7" s="1179"/>
      <c r="NDW7" s="1180"/>
      <c r="NDX7" s="1178" t="s">
        <v>8</v>
      </c>
      <c r="NDY7" s="1179"/>
      <c r="NDZ7" s="1179"/>
      <c r="NEA7" s="1179"/>
      <c r="NEB7" s="1179" t="s">
        <v>10</v>
      </c>
      <c r="NEC7" s="1179"/>
      <c r="NED7" s="1179"/>
      <c r="NEE7" s="1180"/>
      <c r="NEF7" s="1178" t="s">
        <v>8</v>
      </c>
      <c r="NEG7" s="1179"/>
      <c r="NEH7" s="1179"/>
      <c r="NEI7" s="1179"/>
      <c r="NEJ7" s="1179" t="s">
        <v>10</v>
      </c>
      <c r="NEK7" s="1179"/>
      <c r="NEL7" s="1179"/>
      <c r="NEM7" s="1180"/>
      <c r="NEN7" s="1178" t="s">
        <v>8</v>
      </c>
      <c r="NEO7" s="1179"/>
      <c r="NEP7" s="1179"/>
      <c r="NEQ7" s="1179"/>
      <c r="NER7" s="1179" t="s">
        <v>10</v>
      </c>
      <c r="NES7" s="1179"/>
      <c r="NET7" s="1179"/>
      <c r="NEU7" s="1180"/>
      <c r="NEV7" s="1178" t="s">
        <v>8</v>
      </c>
      <c r="NEW7" s="1179"/>
      <c r="NEX7" s="1179"/>
      <c r="NEY7" s="1179"/>
      <c r="NEZ7" s="1179" t="s">
        <v>10</v>
      </c>
      <c r="NFA7" s="1179"/>
      <c r="NFB7" s="1179"/>
      <c r="NFC7" s="1180"/>
      <c r="NFD7" s="1178" t="s">
        <v>8</v>
      </c>
      <c r="NFE7" s="1179"/>
      <c r="NFF7" s="1179"/>
      <c r="NFG7" s="1179"/>
      <c r="NFH7" s="1179" t="s">
        <v>10</v>
      </c>
      <c r="NFI7" s="1179"/>
      <c r="NFJ7" s="1179"/>
      <c r="NFK7" s="1180"/>
      <c r="NFL7" s="1178" t="s">
        <v>8</v>
      </c>
      <c r="NFM7" s="1179"/>
      <c r="NFN7" s="1179"/>
      <c r="NFO7" s="1179"/>
      <c r="NFP7" s="1179" t="s">
        <v>10</v>
      </c>
      <c r="NFQ7" s="1179"/>
      <c r="NFR7" s="1179"/>
      <c r="NFS7" s="1180"/>
      <c r="NFT7" s="1178" t="s">
        <v>8</v>
      </c>
      <c r="NFU7" s="1179"/>
      <c r="NFV7" s="1179"/>
      <c r="NFW7" s="1179"/>
      <c r="NFX7" s="1179" t="s">
        <v>10</v>
      </c>
      <c r="NFY7" s="1179"/>
      <c r="NFZ7" s="1179"/>
      <c r="NGA7" s="1180"/>
      <c r="NGB7" s="1178" t="s">
        <v>8</v>
      </c>
      <c r="NGC7" s="1179"/>
      <c r="NGD7" s="1179"/>
      <c r="NGE7" s="1179"/>
      <c r="NGF7" s="1179" t="s">
        <v>10</v>
      </c>
      <c r="NGG7" s="1179"/>
      <c r="NGH7" s="1179"/>
      <c r="NGI7" s="1180"/>
      <c r="NGJ7" s="1178" t="s">
        <v>8</v>
      </c>
      <c r="NGK7" s="1179"/>
      <c r="NGL7" s="1179"/>
      <c r="NGM7" s="1179"/>
      <c r="NGN7" s="1179" t="s">
        <v>10</v>
      </c>
      <c r="NGO7" s="1179"/>
      <c r="NGP7" s="1179"/>
      <c r="NGQ7" s="1180"/>
      <c r="NGR7" s="1178" t="s">
        <v>8</v>
      </c>
      <c r="NGS7" s="1179"/>
      <c r="NGT7" s="1179"/>
      <c r="NGU7" s="1179"/>
      <c r="NGV7" s="1179" t="s">
        <v>10</v>
      </c>
      <c r="NGW7" s="1179"/>
      <c r="NGX7" s="1179"/>
      <c r="NGY7" s="1180"/>
      <c r="NGZ7" s="1178" t="s">
        <v>8</v>
      </c>
      <c r="NHA7" s="1179"/>
      <c r="NHB7" s="1179"/>
      <c r="NHC7" s="1179"/>
      <c r="NHD7" s="1179" t="s">
        <v>10</v>
      </c>
      <c r="NHE7" s="1179"/>
      <c r="NHF7" s="1179"/>
      <c r="NHG7" s="1180"/>
      <c r="NHH7" s="1178" t="s">
        <v>8</v>
      </c>
      <c r="NHI7" s="1179"/>
      <c r="NHJ7" s="1179"/>
      <c r="NHK7" s="1179"/>
      <c r="NHL7" s="1179" t="s">
        <v>10</v>
      </c>
      <c r="NHM7" s="1179"/>
      <c r="NHN7" s="1179"/>
      <c r="NHO7" s="1180"/>
      <c r="NHP7" s="1178" t="s">
        <v>8</v>
      </c>
      <c r="NHQ7" s="1179"/>
      <c r="NHR7" s="1179"/>
      <c r="NHS7" s="1179"/>
      <c r="NHT7" s="1179" t="s">
        <v>10</v>
      </c>
      <c r="NHU7" s="1179"/>
      <c r="NHV7" s="1179"/>
      <c r="NHW7" s="1180"/>
      <c r="NHX7" s="1178" t="s">
        <v>8</v>
      </c>
      <c r="NHY7" s="1179"/>
      <c r="NHZ7" s="1179"/>
      <c r="NIA7" s="1179"/>
      <c r="NIB7" s="1179" t="s">
        <v>10</v>
      </c>
      <c r="NIC7" s="1179"/>
      <c r="NID7" s="1179"/>
      <c r="NIE7" s="1180"/>
      <c r="NIF7" s="1178" t="s">
        <v>8</v>
      </c>
      <c r="NIG7" s="1179"/>
      <c r="NIH7" s="1179"/>
      <c r="NII7" s="1179"/>
      <c r="NIJ7" s="1179" t="s">
        <v>10</v>
      </c>
      <c r="NIK7" s="1179"/>
      <c r="NIL7" s="1179"/>
      <c r="NIM7" s="1180"/>
      <c r="NIN7" s="1178" t="s">
        <v>8</v>
      </c>
      <c r="NIO7" s="1179"/>
      <c r="NIP7" s="1179"/>
      <c r="NIQ7" s="1179"/>
      <c r="NIR7" s="1179" t="s">
        <v>10</v>
      </c>
      <c r="NIS7" s="1179"/>
      <c r="NIT7" s="1179"/>
      <c r="NIU7" s="1180"/>
      <c r="NIV7" s="1178" t="s">
        <v>8</v>
      </c>
      <c r="NIW7" s="1179"/>
      <c r="NIX7" s="1179"/>
      <c r="NIY7" s="1179"/>
      <c r="NIZ7" s="1179" t="s">
        <v>10</v>
      </c>
      <c r="NJA7" s="1179"/>
      <c r="NJB7" s="1179"/>
      <c r="NJC7" s="1180"/>
      <c r="NJD7" s="1178" t="s">
        <v>8</v>
      </c>
      <c r="NJE7" s="1179"/>
      <c r="NJF7" s="1179"/>
      <c r="NJG7" s="1179"/>
      <c r="NJH7" s="1179" t="s">
        <v>10</v>
      </c>
      <c r="NJI7" s="1179"/>
      <c r="NJJ7" s="1179"/>
      <c r="NJK7" s="1180"/>
      <c r="NJL7" s="1178" t="s">
        <v>8</v>
      </c>
      <c r="NJM7" s="1179"/>
      <c r="NJN7" s="1179"/>
      <c r="NJO7" s="1179"/>
      <c r="NJP7" s="1179" t="s">
        <v>10</v>
      </c>
      <c r="NJQ7" s="1179"/>
      <c r="NJR7" s="1179"/>
      <c r="NJS7" s="1180"/>
      <c r="NJT7" s="1178" t="s">
        <v>8</v>
      </c>
      <c r="NJU7" s="1179"/>
      <c r="NJV7" s="1179"/>
      <c r="NJW7" s="1179"/>
      <c r="NJX7" s="1179" t="s">
        <v>10</v>
      </c>
      <c r="NJY7" s="1179"/>
      <c r="NJZ7" s="1179"/>
      <c r="NKA7" s="1180"/>
      <c r="NKB7" s="1178" t="s">
        <v>8</v>
      </c>
      <c r="NKC7" s="1179"/>
      <c r="NKD7" s="1179"/>
      <c r="NKE7" s="1179"/>
      <c r="NKF7" s="1179" t="s">
        <v>10</v>
      </c>
      <c r="NKG7" s="1179"/>
      <c r="NKH7" s="1179"/>
      <c r="NKI7" s="1180"/>
      <c r="NKJ7" s="1178" t="s">
        <v>8</v>
      </c>
      <c r="NKK7" s="1179"/>
      <c r="NKL7" s="1179"/>
      <c r="NKM7" s="1179"/>
      <c r="NKN7" s="1179" t="s">
        <v>10</v>
      </c>
      <c r="NKO7" s="1179"/>
      <c r="NKP7" s="1179"/>
      <c r="NKQ7" s="1180"/>
      <c r="NKR7" s="1178" t="s">
        <v>8</v>
      </c>
      <c r="NKS7" s="1179"/>
      <c r="NKT7" s="1179"/>
      <c r="NKU7" s="1179"/>
      <c r="NKV7" s="1179" t="s">
        <v>10</v>
      </c>
      <c r="NKW7" s="1179"/>
      <c r="NKX7" s="1179"/>
      <c r="NKY7" s="1180"/>
      <c r="NKZ7" s="1178" t="s">
        <v>8</v>
      </c>
      <c r="NLA7" s="1179"/>
      <c r="NLB7" s="1179"/>
      <c r="NLC7" s="1179"/>
      <c r="NLD7" s="1179" t="s">
        <v>10</v>
      </c>
      <c r="NLE7" s="1179"/>
      <c r="NLF7" s="1179"/>
      <c r="NLG7" s="1180"/>
      <c r="NLH7" s="1178" t="s">
        <v>8</v>
      </c>
      <c r="NLI7" s="1179"/>
      <c r="NLJ7" s="1179"/>
      <c r="NLK7" s="1179"/>
      <c r="NLL7" s="1179" t="s">
        <v>10</v>
      </c>
      <c r="NLM7" s="1179"/>
      <c r="NLN7" s="1179"/>
      <c r="NLO7" s="1180"/>
      <c r="NLP7" s="1178" t="s">
        <v>8</v>
      </c>
      <c r="NLQ7" s="1179"/>
      <c r="NLR7" s="1179"/>
      <c r="NLS7" s="1179"/>
      <c r="NLT7" s="1179" t="s">
        <v>10</v>
      </c>
      <c r="NLU7" s="1179"/>
      <c r="NLV7" s="1179"/>
      <c r="NLW7" s="1180"/>
      <c r="NLX7" s="1178" t="s">
        <v>8</v>
      </c>
      <c r="NLY7" s="1179"/>
      <c r="NLZ7" s="1179"/>
      <c r="NMA7" s="1179"/>
      <c r="NMB7" s="1179" t="s">
        <v>10</v>
      </c>
      <c r="NMC7" s="1179"/>
      <c r="NMD7" s="1179"/>
      <c r="NME7" s="1180"/>
      <c r="NMF7" s="1178" t="s">
        <v>8</v>
      </c>
      <c r="NMG7" s="1179"/>
      <c r="NMH7" s="1179"/>
      <c r="NMI7" s="1179"/>
      <c r="NMJ7" s="1179" t="s">
        <v>10</v>
      </c>
      <c r="NMK7" s="1179"/>
      <c r="NML7" s="1179"/>
      <c r="NMM7" s="1180"/>
      <c r="NMN7" s="1178" t="s">
        <v>8</v>
      </c>
      <c r="NMO7" s="1179"/>
      <c r="NMP7" s="1179"/>
      <c r="NMQ7" s="1179"/>
      <c r="NMR7" s="1179" t="s">
        <v>10</v>
      </c>
      <c r="NMS7" s="1179"/>
      <c r="NMT7" s="1179"/>
      <c r="NMU7" s="1180"/>
      <c r="NMV7" s="1178" t="s">
        <v>8</v>
      </c>
      <c r="NMW7" s="1179"/>
      <c r="NMX7" s="1179"/>
      <c r="NMY7" s="1179"/>
      <c r="NMZ7" s="1179" t="s">
        <v>10</v>
      </c>
      <c r="NNA7" s="1179"/>
      <c r="NNB7" s="1179"/>
      <c r="NNC7" s="1180"/>
      <c r="NND7" s="1178" t="s">
        <v>8</v>
      </c>
      <c r="NNE7" s="1179"/>
      <c r="NNF7" s="1179"/>
      <c r="NNG7" s="1179"/>
      <c r="NNH7" s="1179" t="s">
        <v>10</v>
      </c>
      <c r="NNI7" s="1179"/>
      <c r="NNJ7" s="1179"/>
      <c r="NNK7" s="1180"/>
      <c r="NNL7" s="1178" t="s">
        <v>8</v>
      </c>
      <c r="NNM7" s="1179"/>
      <c r="NNN7" s="1179"/>
      <c r="NNO7" s="1179"/>
      <c r="NNP7" s="1179" t="s">
        <v>10</v>
      </c>
      <c r="NNQ7" s="1179"/>
      <c r="NNR7" s="1179"/>
      <c r="NNS7" s="1180"/>
      <c r="NNT7" s="1178" t="s">
        <v>8</v>
      </c>
      <c r="NNU7" s="1179"/>
      <c r="NNV7" s="1179"/>
      <c r="NNW7" s="1179"/>
      <c r="NNX7" s="1179" t="s">
        <v>10</v>
      </c>
      <c r="NNY7" s="1179"/>
      <c r="NNZ7" s="1179"/>
      <c r="NOA7" s="1180"/>
      <c r="NOB7" s="1178" t="s">
        <v>8</v>
      </c>
      <c r="NOC7" s="1179"/>
      <c r="NOD7" s="1179"/>
      <c r="NOE7" s="1179"/>
      <c r="NOF7" s="1179" t="s">
        <v>10</v>
      </c>
      <c r="NOG7" s="1179"/>
      <c r="NOH7" s="1179"/>
      <c r="NOI7" s="1180"/>
      <c r="NOJ7" s="1178" t="s">
        <v>8</v>
      </c>
      <c r="NOK7" s="1179"/>
      <c r="NOL7" s="1179"/>
      <c r="NOM7" s="1179"/>
      <c r="NON7" s="1179" t="s">
        <v>10</v>
      </c>
      <c r="NOO7" s="1179"/>
      <c r="NOP7" s="1179"/>
      <c r="NOQ7" s="1180"/>
      <c r="NOR7" s="1178" t="s">
        <v>8</v>
      </c>
      <c r="NOS7" s="1179"/>
      <c r="NOT7" s="1179"/>
      <c r="NOU7" s="1179"/>
      <c r="NOV7" s="1179" t="s">
        <v>10</v>
      </c>
      <c r="NOW7" s="1179"/>
      <c r="NOX7" s="1179"/>
      <c r="NOY7" s="1180"/>
      <c r="NOZ7" s="1178" t="s">
        <v>8</v>
      </c>
      <c r="NPA7" s="1179"/>
      <c r="NPB7" s="1179"/>
      <c r="NPC7" s="1179"/>
      <c r="NPD7" s="1179" t="s">
        <v>10</v>
      </c>
      <c r="NPE7" s="1179"/>
      <c r="NPF7" s="1179"/>
      <c r="NPG7" s="1180"/>
      <c r="NPH7" s="1178" t="s">
        <v>8</v>
      </c>
      <c r="NPI7" s="1179"/>
      <c r="NPJ7" s="1179"/>
      <c r="NPK7" s="1179"/>
      <c r="NPL7" s="1179" t="s">
        <v>10</v>
      </c>
      <c r="NPM7" s="1179"/>
      <c r="NPN7" s="1179"/>
      <c r="NPO7" s="1180"/>
      <c r="NPP7" s="1178" t="s">
        <v>8</v>
      </c>
      <c r="NPQ7" s="1179"/>
      <c r="NPR7" s="1179"/>
      <c r="NPS7" s="1179"/>
      <c r="NPT7" s="1179" t="s">
        <v>10</v>
      </c>
      <c r="NPU7" s="1179"/>
      <c r="NPV7" s="1179"/>
      <c r="NPW7" s="1180"/>
      <c r="NPX7" s="1178" t="s">
        <v>8</v>
      </c>
      <c r="NPY7" s="1179"/>
      <c r="NPZ7" s="1179"/>
      <c r="NQA7" s="1179"/>
      <c r="NQB7" s="1179" t="s">
        <v>10</v>
      </c>
      <c r="NQC7" s="1179"/>
      <c r="NQD7" s="1179"/>
      <c r="NQE7" s="1180"/>
      <c r="NQF7" s="1178" t="s">
        <v>8</v>
      </c>
      <c r="NQG7" s="1179"/>
      <c r="NQH7" s="1179"/>
      <c r="NQI7" s="1179"/>
      <c r="NQJ7" s="1179" t="s">
        <v>10</v>
      </c>
      <c r="NQK7" s="1179"/>
      <c r="NQL7" s="1179"/>
      <c r="NQM7" s="1180"/>
      <c r="NQN7" s="1178" t="s">
        <v>8</v>
      </c>
      <c r="NQO7" s="1179"/>
      <c r="NQP7" s="1179"/>
      <c r="NQQ7" s="1179"/>
      <c r="NQR7" s="1179" t="s">
        <v>10</v>
      </c>
      <c r="NQS7" s="1179"/>
      <c r="NQT7" s="1179"/>
      <c r="NQU7" s="1180"/>
      <c r="NQV7" s="1178" t="s">
        <v>8</v>
      </c>
      <c r="NQW7" s="1179"/>
      <c r="NQX7" s="1179"/>
      <c r="NQY7" s="1179"/>
      <c r="NQZ7" s="1179" t="s">
        <v>10</v>
      </c>
      <c r="NRA7" s="1179"/>
      <c r="NRB7" s="1179"/>
      <c r="NRC7" s="1180"/>
      <c r="NRD7" s="1178" t="s">
        <v>8</v>
      </c>
      <c r="NRE7" s="1179"/>
      <c r="NRF7" s="1179"/>
      <c r="NRG7" s="1179"/>
      <c r="NRH7" s="1179" t="s">
        <v>10</v>
      </c>
      <c r="NRI7" s="1179"/>
      <c r="NRJ7" s="1179"/>
      <c r="NRK7" s="1180"/>
      <c r="NRL7" s="1178" t="s">
        <v>8</v>
      </c>
      <c r="NRM7" s="1179"/>
      <c r="NRN7" s="1179"/>
      <c r="NRO7" s="1179"/>
      <c r="NRP7" s="1179" t="s">
        <v>10</v>
      </c>
      <c r="NRQ7" s="1179"/>
      <c r="NRR7" s="1179"/>
      <c r="NRS7" s="1180"/>
      <c r="NRT7" s="1178" t="s">
        <v>8</v>
      </c>
      <c r="NRU7" s="1179"/>
      <c r="NRV7" s="1179"/>
      <c r="NRW7" s="1179"/>
      <c r="NRX7" s="1179" t="s">
        <v>10</v>
      </c>
      <c r="NRY7" s="1179"/>
      <c r="NRZ7" s="1179"/>
      <c r="NSA7" s="1180"/>
      <c r="NSB7" s="1178" t="s">
        <v>8</v>
      </c>
      <c r="NSC7" s="1179"/>
      <c r="NSD7" s="1179"/>
      <c r="NSE7" s="1179"/>
      <c r="NSF7" s="1179" t="s">
        <v>10</v>
      </c>
      <c r="NSG7" s="1179"/>
      <c r="NSH7" s="1179"/>
      <c r="NSI7" s="1180"/>
      <c r="NSJ7" s="1178" t="s">
        <v>8</v>
      </c>
      <c r="NSK7" s="1179"/>
      <c r="NSL7" s="1179"/>
      <c r="NSM7" s="1179"/>
      <c r="NSN7" s="1179" t="s">
        <v>10</v>
      </c>
      <c r="NSO7" s="1179"/>
      <c r="NSP7" s="1179"/>
      <c r="NSQ7" s="1180"/>
      <c r="NSR7" s="1178" t="s">
        <v>8</v>
      </c>
      <c r="NSS7" s="1179"/>
      <c r="NST7" s="1179"/>
      <c r="NSU7" s="1179"/>
      <c r="NSV7" s="1179" t="s">
        <v>10</v>
      </c>
      <c r="NSW7" s="1179"/>
      <c r="NSX7" s="1179"/>
      <c r="NSY7" s="1180"/>
      <c r="NSZ7" s="1178" t="s">
        <v>8</v>
      </c>
      <c r="NTA7" s="1179"/>
      <c r="NTB7" s="1179"/>
      <c r="NTC7" s="1179"/>
      <c r="NTD7" s="1179" t="s">
        <v>10</v>
      </c>
      <c r="NTE7" s="1179"/>
      <c r="NTF7" s="1179"/>
      <c r="NTG7" s="1180"/>
      <c r="NTH7" s="1178" t="s">
        <v>8</v>
      </c>
      <c r="NTI7" s="1179"/>
      <c r="NTJ7" s="1179"/>
      <c r="NTK7" s="1179"/>
      <c r="NTL7" s="1179" t="s">
        <v>10</v>
      </c>
      <c r="NTM7" s="1179"/>
      <c r="NTN7" s="1179"/>
      <c r="NTO7" s="1180"/>
      <c r="NTP7" s="1178" t="s">
        <v>8</v>
      </c>
      <c r="NTQ7" s="1179"/>
      <c r="NTR7" s="1179"/>
      <c r="NTS7" s="1179"/>
      <c r="NTT7" s="1179" t="s">
        <v>10</v>
      </c>
      <c r="NTU7" s="1179"/>
      <c r="NTV7" s="1179"/>
      <c r="NTW7" s="1180"/>
      <c r="NTX7" s="1178" t="s">
        <v>8</v>
      </c>
      <c r="NTY7" s="1179"/>
      <c r="NTZ7" s="1179"/>
      <c r="NUA7" s="1179"/>
      <c r="NUB7" s="1179" t="s">
        <v>10</v>
      </c>
      <c r="NUC7" s="1179"/>
      <c r="NUD7" s="1179"/>
      <c r="NUE7" s="1180"/>
      <c r="NUF7" s="1178" t="s">
        <v>8</v>
      </c>
      <c r="NUG7" s="1179"/>
      <c r="NUH7" s="1179"/>
      <c r="NUI7" s="1179"/>
      <c r="NUJ7" s="1179" t="s">
        <v>10</v>
      </c>
      <c r="NUK7" s="1179"/>
      <c r="NUL7" s="1179"/>
      <c r="NUM7" s="1180"/>
      <c r="NUN7" s="1178" t="s">
        <v>8</v>
      </c>
      <c r="NUO7" s="1179"/>
      <c r="NUP7" s="1179"/>
      <c r="NUQ7" s="1179"/>
      <c r="NUR7" s="1179" t="s">
        <v>10</v>
      </c>
      <c r="NUS7" s="1179"/>
      <c r="NUT7" s="1179"/>
      <c r="NUU7" s="1180"/>
      <c r="NUV7" s="1178" t="s">
        <v>8</v>
      </c>
      <c r="NUW7" s="1179"/>
      <c r="NUX7" s="1179"/>
      <c r="NUY7" s="1179"/>
      <c r="NUZ7" s="1179" t="s">
        <v>10</v>
      </c>
      <c r="NVA7" s="1179"/>
      <c r="NVB7" s="1179"/>
      <c r="NVC7" s="1180"/>
      <c r="NVD7" s="1178" t="s">
        <v>8</v>
      </c>
      <c r="NVE7" s="1179"/>
      <c r="NVF7" s="1179"/>
      <c r="NVG7" s="1179"/>
      <c r="NVH7" s="1179" t="s">
        <v>10</v>
      </c>
      <c r="NVI7" s="1179"/>
      <c r="NVJ7" s="1179"/>
      <c r="NVK7" s="1180"/>
      <c r="NVL7" s="1178" t="s">
        <v>8</v>
      </c>
      <c r="NVM7" s="1179"/>
      <c r="NVN7" s="1179"/>
      <c r="NVO7" s="1179"/>
      <c r="NVP7" s="1179" t="s">
        <v>10</v>
      </c>
      <c r="NVQ7" s="1179"/>
      <c r="NVR7" s="1179"/>
      <c r="NVS7" s="1180"/>
      <c r="NVT7" s="1178" t="s">
        <v>8</v>
      </c>
      <c r="NVU7" s="1179"/>
      <c r="NVV7" s="1179"/>
      <c r="NVW7" s="1179"/>
      <c r="NVX7" s="1179" t="s">
        <v>10</v>
      </c>
      <c r="NVY7" s="1179"/>
      <c r="NVZ7" s="1179"/>
      <c r="NWA7" s="1180"/>
      <c r="NWB7" s="1178" t="s">
        <v>8</v>
      </c>
      <c r="NWC7" s="1179"/>
      <c r="NWD7" s="1179"/>
      <c r="NWE7" s="1179"/>
      <c r="NWF7" s="1179" t="s">
        <v>10</v>
      </c>
      <c r="NWG7" s="1179"/>
      <c r="NWH7" s="1179"/>
      <c r="NWI7" s="1180"/>
      <c r="NWJ7" s="1178" t="s">
        <v>8</v>
      </c>
      <c r="NWK7" s="1179"/>
      <c r="NWL7" s="1179"/>
      <c r="NWM7" s="1179"/>
      <c r="NWN7" s="1179" t="s">
        <v>10</v>
      </c>
      <c r="NWO7" s="1179"/>
      <c r="NWP7" s="1179"/>
      <c r="NWQ7" s="1180"/>
      <c r="NWR7" s="1178" t="s">
        <v>8</v>
      </c>
      <c r="NWS7" s="1179"/>
      <c r="NWT7" s="1179"/>
      <c r="NWU7" s="1179"/>
      <c r="NWV7" s="1179" t="s">
        <v>10</v>
      </c>
      <c r="NWW7" s="1179"/>
      <c r="NWX7" s="1179"/>
      <c r="NWY7" s="1180"/>
      <c r="NWZ7" s="1178" t="s">
        <v>8</v>
      </c>
      <c r="NXA7" s="1179"/>
      <c r="NXB7" s="1179"/>
      <c r="NXC7" s="1179"/>
      <c r="NXD7" s="1179" t="s">
        <v>10</v>
      </c>
      <c r="NXE7" s="1179"/>
      <c r="NXF7" s="1179"/>
      <c r="NXG7" s="1180"/>
      <c r="NXH7" s="1178" t="s">
        <v>8</v>
      </c>
      <c r="NXI7" s="1179"/>
      <c r="NXJ7" s="1179"/>
      <c r="NXK7" s="1179"/>
      <c r="NXL7" s="1179" t="s">
        <v>10</v>
      </c>
      <c r="NXM7" s="1179"/>
      <c r="NXN7" s="1179"/>
      <c r="NXO7" s="1180"/>
      <c r="NXP7" s="1178" t="s">
        <v>8</v>
      </c>
      <c r="NXQ7" s="1179"/>
      <c r="NXR7" s="1179"/>
      <c r="NXS7" s="1179"/>
      <c r="NXT7" s="1179" t="s">
        <v>10</v>
      </c>
      <c r="NXU7" s="1179"/>
      <c r="NXV7" s="1179"/>
      <c r="NXW7" s="1180"/>
      <c r="NXX7" s="1178" t="s">
        <v>8</v>
      </c>
      <c r="NXY7" s="1179"/>
      <c r="NXZ7" s="1179"/>
      <c r="NYA7" s="1179"/>
      <c r="NYB7" s="1179" t="s">
        <v>10</v>
      </c>
      <c r="NYC7" s="1179"/>
      <c r="NYD7" s="1179"/>
      <c r="NYE7" s="1180"/>
      <c r="NYF7" s="1178" t="s">
        <v>8</v>
      </c>
      <c r="NYG7" s="1179"/>
      <c r="NYH7" s="1179"/>
      <c r="NYI7" s="1179"/>
      <c r="NYJ7" s="1179" t="s">
        <v>10</v>
      </c>
      <c r="NYK7" s="1179"/>
      <c r="NYL7" s="1179"/>
      <c r="NYM7" s="1180"/>
      <c r="NYN7" s="1178" t="s">
        <v>8</v>
      </c>
      <c r="NYO7" s="1179"/>
      <c r="NYP7" s="1179"/>
      <c r="NYQ7" s="1179"/>
      <c r="NYR7" s="1179" t="s">
        <v>10</v>
      </c>
      <c r="NYS7" s="1179"/>
      <c r="NYT7" s="1179"/>
      <c r="NYU7" s="1180"/>
      <c r="NYV7" s="1178" t="s">
        <v>8</v>
      </c>
      <c r="NYW7" s="1179"/>
      <c r="NYX7" s="1179"/>
      <c r="NYY7" s="1179"/>
      <c r="NYZ7" s="1179" t="s">
        <v>10</v>
      </c>
      <c r="NZA7" s="1179"/>
      <c r="NZB7" s="1179"/>
      <c r="NZC7" s="1180"/>
      <c r="NZD7" s="1178" t="s">
        <v>8</v>
      </c>
      <c r="NZE7" s="1179"/>
      <c r="NZF7" s="1179"/>
      <c r="NZG7" s="1179"/>
      <c r="NZH7" s="1179" t="s">
        <v>10</v>
      </c>
      <c r="NZI7" s="1179"/>
      <c r="NZJ7" s="1179"/>
      <c r="NZK7" s="1180"/>
      <c r="NZL7" s="1178" t="s">
        <v>8</v>
      </c>
      <c r="NZM7" s="1179"/>
      <c r="NZN7" s="1179"/>
      <c r="NZO7" s="1179"/>
      <c r="NZP7" s="1179" t="s">
        <v>10</v>
      </c>
      <c r="NZQ7" s="1179"/>
      <c r="NZR7" s="1179"/>
      <c r="NZS7" s="1180"/>
      <c r="NZT7" s="1178" t="s">
        <v>8</v>
      </c>
      <c r="NZU7" s="1179"/>
      <c r="NZV7" s="1179"/>
      <c r="NZW7" s="1179"/>
      <c r="NZX7" s="1179" t="s">
        <v>10</v>
      </c>
      <c r="NZY7" s="1179"/>
      <c r="NZZ7" s="1179"/>
      <c r="OAA7" s="1180"/>
      <c r="OAB7" s="1178" t="s">
        <v>8</v>
      </c>
      <c r="OAC7" s="1179"/>
      <c r="OAD7" s="1179"/>
      <c r="OAE7" s="1179"/>
      <c r="OAF7" s="1179" t="s">
        <v>10</v>
      </c>
      <c r="OAG7" s="1179"/>
      <c r="OAH7" s="1179"/>
      <c r="OAI7" s="1180"/>
      <c r="OAJ7" s="1178" t="s">
        <v>8</v>
      </c>
      <c r="OAK7" s="1179"/>
      <c r="OAL7" s="1179"/>
      <c r="OAM7" s="1179"/>
      <c r="OAN7" s="1179" t="s">
        <v>10</v>
      </c>
      <c r="OAO7" s="1179"/>
      <c r="OAP7" s="1179"/>
      <c r="OAQ7" s="1180"/>
      <c r="OAR7" s="1178" t="s">
        <v>8</v>
      </c>
      <c r="OAS7" s="1179"/>
      <c r="OAT7" s="1179"/>
      <c r="OAU7" s="1179"/>
      <c r="OAV7" s="1179" t="s">
        <v>10</v>
      </c>
      <c r="OAW7" s="1179"/>
      <c r="OAX7" s="1179"/>
      <c r="OAY7" s="1180"/>
      <c r="OAZ7" s="1178" t="s">
        <v>8</v>
      </c>
      <c r="OBA7" s="1179"/>
      <c r="OBB7" s="1179"/>
      <c r="OBC7" s="1179"/>
      <c r="OBD7" s="1179" t="s">
        <v>10</v>
      </c>
      <c r="OBE7" s="1179"/>
      <c r="OBF7" s="1179"/>
      <c r="OBG7" s="1180"/>
      <c r="OBH7" s="1178" t="s">
        <v>8</v>
      </c>
      <c r="OBI7" s="1179"/>
      <c r="OBJ7" s="1179"/>
      <c r="OBK7" s="1179"/>
      <c r="OBL7" s="1179" t="s">
        <v>10</v>
      </c>
      <c r="OBM7" s="1179"/>
      <c r="OBN7" s="1179"/>
      <c r="OBO7" s="1180"/>
      <c r="OBP7" s="1178" t="s">
        <v>8</v>
      </c>
      <c r="OBQ7" s="1179"/>
      <c r="OBR7" s="1179"/>
      <c r="OBS7" s="1179"/>
      <c r="OBT7" s="1179" t="s">
        <v>10</v>
      </c>
      <c r="OBU7" s="1179"/>
      <c r="OBV7" s="1179"/>
      <c r="OBW7" s="1180"/>
      <c r="OBX7" s="1178" t="s">
        <v>8</v>
      </c>
      <c r="OBY7" s="1179"/>
      <c r="OBZ7" s="1179"/>
      <c r="OCA7" s="1179"/>
      <c r="OCB7" s="1179" t="s">
        <v>10</v>
      </c>
      <c r="OCC7" s="1179"/>
      <c r="OCD7" s="1179"/>
      <c r="OCE7" s="1180"/>
      <c r="OCF7" s="1178" t="s">
        <v>8</v>
      </c>
      <c r="OCG7" s="1179"/>
      <c r="OCH7" s="1179"/>
      <c r="OCI7" s="1179"/>
      <c r="OCJ7" s="1179" t="s">
        <v>10</v>
      </c>
      <c r="OCK7" s="1179"/>
      <c r="OCL7" s="1179"/>
      <c r="OCM7" s="1180"/>
      <c r="OCN7" s="1178" t="s">
        <v>8</v>
      </c>
      <c r="OCO7" s="1179"/>
      <c r="OCP7" s="1179"/>
      <c r="OCQ7" s="1179"/>
      <c r="OCR7" s="1179" t="s">
        <v>10</v>
      </c>
      <c r="OCS7" s="1179"/>
      <c r="OCT7" s="1179"/>
      <c r="OCU7" s="1180"/>
      <c r="OCV7" s="1178" t="s">
        <v>8</v>
      </c>
      <c r="OCW7" s="1179"/>
      <c r="OCX7" s="1179"/>
      <c r="OCY7" s="1179"/>
      <c r="OCZ7" s="1179" t="s">
        <v>10</v>
      </c>
      <c r="ODA7" s="1179"/>
      <c r="ODB7" s="1179"/>
      <c r="ODC7" s="1180"/>
      <c r="ODD7" s="1178" t="s">
        <v>8</v>
      </c>
      <c r="ODE7" s="1179"/>
      <c r="ODF7" s="1179"/>
      <c r="ODG7" s="1179"/>
      <c r="ODH7" s="1179" t="s">
        <v>10</v>
      </c>
      <c r="ODI7" s="1179"/>
      <c r="ODJ7" s="1179"/>
      <c r="ODK7" s="1180"/>
      <c r="ODL7" s="1178" t="s">
        <v>8</v>
      </c>
      <c r="ODM7" s="1179"/>
      <c r="ODN7" s="1179"/>
      <c r="ODO7" s="1179"/>
      <c r="ODP7" s="1179" t="s">
        <v>10</v>
      </c>
      <c r="ODQ7" s="1179"/>
      <c r="ODR7" s="1179"/>
      <c r="ODS7" s="1180"/>
      <c r="ODT7" s="1178" t="s">
        <v>8</v>
      </c>
      <c r="ODU7" s="1179"/>
      <c r="ODV7" s="1179"/>
      <c r="ODW7" s="1179"/>
      <c r="ODX7" s="1179" t="s">
        <v>10</v>
      </c>
      <c r="ODY7" s="1179"/>
      <c r="ODZ7" s="1179"/>
      <c r="OEA7" s="1180"/>
      <c r="OEB7" s="1178" t="s">
        <v>8</v>
      </c>
      <c r="OEC7" s="1179"/>
      <c r="OED7" s="1179"/>
      <c r="OEE7" s="1179"/>
      <c r="OEF7" s="1179" t="s">
        <v>10</v>
      </c>
      <c r="OEG7" s="1179"/>
      <c r="OEH7" s="1179"/>
      <c r="OEI7" s="1180"/>
      <c r="OEJ7" s="1178" t="s">
        <v>8</v>
      </c>
      <c r="OEK7" s="1179"/>
      <c r="OEL7" s="1179"/>
      <c r="OEM7" s="1179"/>
      <c r="OEN7" s="1179" t="s">
        <v>10</v>
      </c>
      <c r="OEO7" s="1179"/>
      <c r="OEP7" s="1179"/>
      <c r="OEQ7" s="1180"/>
      <c r="OER7" s="1178" t="s">
        <v>8</v>
      </c>
      <c r="OES7" s="1179"/>
      <c r="OET7" s="1179"/>
      <c r="OEU7" s="1179"/>
      <c r="OEV7" s="1179" t="s">
        <v>10</v>
      </c>
      <c r="OEW7" s="1179"/>
      <c r="OEX7" s="1179"/>
      <c r="OEY7" s="1180"/>
      <c r="OEZ7" s="1178" t="s">
        <v>8</v>
      </c>
      <c r="OFA7" s="1179"/>
      <c r="OFB7" s="1179"/>
      <c r="OFC7" s="1179"/>
      <c r="OFD7" s="1179" t="s">
        <v>10</v>
      </c>
      <c r="OFE7" s="1179"/>
      <c r="OFF7" s="1179"/>
      <c r="OFG7" s="1180"/>
      <c r="OFH7" s="1178" t="s">
        <v>8</v>
      </c>
      <c r="OFI7" s="1179"/>
      <c r="OFJ7" s="1179"/>
      <c r="OFK7" s="1179"/>
      <c r="OFL7" s="1179" t="s">
        <v>10</v>
      </c>
      <c r="OFM7" s="1179"/>
      <c r="OFN7" s="1179"/>
      <c r="OFO7" s="1180"/>
      <c r="OFP7" s="1178" t="s">
        <v>8</v>
      </c>
      <c r="OFQ7" s="1179"/>
      <c r="OFR7" s="1179"/>
      <c r="OFS7" s="1179"/>
      <c r="OFT7" s="1179" t="s">
        <v>10</v>
      </c>
      <c r="OFU7" s="1179"/>
      <c r="OFV7" s="1179"/>
      <c r="OFW7" s="1180"/>
      <c r="OFX7" s="1178" t="s">
        <v>8</v>
      </c>
      <c r="OFY7" s="1179"/>
      <c r="OFZ7" s="1179"/>
      <c r="OGA7" s="1179"/>
      <c r="OGB7" s="1179" t="s">
        <v>10</v>
      </c>
      <c r="OGC7" s="1179"/>
      <c r="OGD7" s="1179"/>
      <c r="OGE7" s="1180"/>
      <c r="OGF7" s="1178" t="s">
        <v>8</v>
      </c>
      <c r="OGG7" s="1179"/>
      <c r="OGH7" s="1179"/>
      <c r="OGI7" s="1179"/>
      <c r="OGJ7" s="1179" t="s">
        <v>10</v>
      </c>
      <c r="OGK7" s="1179"/>
      <c r="OGL7" s="1179"/>
      <c r="OGM7" s="1180"/>
      <c r="OGN7" s="1178" t="s">
        <v>8</v>
      </c>
      <c r="OGO7" s="1179"/>
      <c r="OGP7" s="1179"/>
      <c r="OGQ7" s="1179"/>
      <c r="OGR7" s="1179" t="s">
        <v>10</v>
      </c>
      <c r="OGS7" s="1179"/>
      <c r="OGT7" s="1179"/>
      <c r="OGU7" s="1180"/>
      <c r="OGV7" s="1178" t="s">
        <v>8</v>
      </c>
      <c r="OGW7" s="1179"/>
      <c r="OGX7" s="1179"/>
      <c r="OGY7" s="1179"/>
      <c r="OGZ7" s="1179" t="s">
        <v>10</v>
      </c>
      <c r="OHA7" s="1179"/>
      <c r="OHB7" s="1179"/>
      <c r="OHC7" s="1180"/>
      <c r="OHD7" s="1178" t="s">
        <v>8</v>
      </c>
      <c r="OHE7" s="1179"/>
      <c r="OHF7" s="1179"/>
      <c r="OHG7" s="1179"/>
      <c r="OHH7" s="1179" t="s">
        <v>10</v>
      </c>
      <c r="OHI7" s="1179"/>
      <c r="OHJ7" s="1179"/>
      <c r="OHK7" s="1180"/>
      <c r="OHL7" s="1178" t="s">
        <v>8</v>
      </c>
      <c r="OHM7" s="1179"/>
      <c r="OHN7" s="1179"/>
      <c r="OHO7" s="1179"/>
      <c r="OHP7" s="1179" t="s">
        <v>10</v>
      </c>
      <c r="OHQ7" s="1179"/>
      <c r="OHR7" s="1179"/>
      <c r="OHS7" s="1180"/>
      <c r="OHT7" s="1178" t="s">
        <v>8</v>
      </c>
      <c r="OHU7" s="1179"/>
      <c r="OHV7" s="1179"/>
      <c r="OHW7" s="1179"/>
      <c r="OHX7" s="1179" t="s">
        <v>10</v>
      </c>
      <c r="OHY7" s="1179"/>
      <c r="OHZ7" s="1179"/>
      <c r="OIA7" s="1180"/>
      <c r="OIB7" s="1178" t="s">
        <v>8</v>
      </c>
      <c r="OIC7" s="1179"/>
      <c r="OID7" s="1179"/>
      <c r="OIE7" s="1179"/>
      <c r="OIF7" s="1179" t="s">
        <v>10</v>
      </c>
      <c r="OIG7" s="1179"/>
      <c r="OIH7" s="1179"/>
      <c r="OII7" s="1180"/>
      <c r="OIJ7" s="1178" t="s">
        <v>8</v>
      </c>
      <c r="OIK7" s="1179"/>
      <c r="OIL7" s="1179"/>
      <c r="OIM7" s="1179"/>
      <c r="OIN7" s="1179" t="s">
        <v>10</v>
      </c>
      <c r="OIO7" s="1179"/>
      <c r="OIP7" s="1179"/>
      <c r="OIQ7" s="1180"/>
      <c r="OIR7" s="1178" t="s">
        <v>8</v>
      </c>
      <c r="OIS7" s="1179"/>
      <c r="OIT7" s="1179"/>
      <c r="OIU7" s="1179"/>
      <c r="OIV7" s="1179" t="s">
        <v>10</v>
      </c>
      <c r="OIW7" s="1179"/>
      <c r="OIX7" s="1179"/>
      <c r="OIY7" s="1180"/>
      <c r="OIZ7" s="1178" t="s">
        <v>8</v>
      </c>
      <c r="OJA7" s="1179"/>
      <c r="OJB7" s="1179"/>
      <c r="OJC7" s="1179"/>
      <c r="OJD7" s="1179" t="s">
        <v>10</v>
      </c>
      <c r="OJE7" s="1179"/>
      <c r="OJF7" s="1179"/>
      <c r="OJG7" s="1180"/>
      <c r="OJH7" s="1178" t="s">
        <v>8</v>
      </c>
      <c r="OJI7" s="1179"/>
      <c r="OJJ7" s="1179"/>
      <c r="OJK7" s="1179"/>
      <c r="OJL7" s="1179" t="s">
        <v>10</v>
      </c>
      <c r="OJM7" s="1179"/>
      <c r="OJN7" s="1179"/>
      <c r="OJO7" s="1180"/>
      <c r="OJP7" s="1178" t="s">
        <v>8</v>
      </c>
      <c r="OJQ7" s="1179"/>
      <c r="OJR7" s="1179"/>
      <c r="OJS7" s="1179"/>
      <c r="OJT7" s="1179" t="s">
        <v>10</v>
      </c>
      <c r="OJU7" s="1179"/>
      <c r="OJV7" s="1179"/>
      <c r="OJW7" s="1180"/>
      <c r="OJX7" s="1178" t="s">
        <v>8</v>
      </c>
      <c r="OJY7" s="1179"/>
      <c r="OJZ7" s="1179"/>
      <c r="OKA7" s="1179"/>
      <c r="OKB7" s="1179" t="s">
        <v>10</v>
      </c>
      <c r="OKC7" s="1179"/>
      <c r="OKD7" s="1179"/>
      <c r="OKE7" s="1180"/>
      <c r="OKF7" s="1178" t="s">
        <v>8</v>
      </c>
      <c r="OKG7" s="1179"/>
      <c r="OKH7" s="1179"/>
      <c r="OKI7" s="1179"/>
      <c r="OKJ7" s="1179" t="s">
        <v>10</v>
      </c>
      <c r="OKK7" s="1179"/>
      <c r="OKL7" s="1179"/>
      <c r="OKM7" s="1180"/>
      <c r="OKN7" s="1178" t="s">
        <v>8</v>
      </c>
      <c r="OKO7" s="1179"/>
      <c r="OKP7" s="1179"/>
      <c r="OKQ7" s="1179"/>
      <c r="OKR7" s="1179" t="s">
        <v>10</v>
      </c>
      <c r="OKS7" s="1179"/>
      <c r="OKT7" s="1179"/>
      <c r="OKU7" s="1180"/>
      <c r="OKV7" s="1178" t="s">
        <v>8</v>
      </c>
      <c r="OKW7" s="1179"/>
      <c r="OKX7" s="1179"/>
      <c r="OKY7" s="1179"/>
      <c r="OKZ7" s="1179" t="s">
        <v>10</v>
      </c>
      <c r="OLA7" s="1179"/>
      <c r="OLB7" s="1179"/>
      <c r="OLC7" s="1180"/>
      <c r="OLD7" s="1178" t="s">
        <v>8</v>
      </c>
      <c r="OLE7" s="1179"/>
      <c r="OLF7" s="1179"/>
      <c r="OLG7" s="1179"/>
      <c r="OLH7" s="1179" t="s">
        <v>10</v>
      </c>
      <c r="OLI7" s="1179"/>
      <c r="OLJ7" s="1179"/>
      <c r="OLK7" s="1180"/>
      <c r="OLL7" s="1178" t="s">
        <v>8</v>
      </c>
      <c r="OLM7" s="1179"/>
      <c r="OLN7" s="1179"/>
      <c r="OLO7" s="1179"/>
      <c r="OLP7" s="1179" t="s">
        <v>10</v>
      </c>
      <c r="OLQ7" s="1179"/>
      <c r="OLR7" s="1179"/>
      <c r="OLS7" s="1180"/>
      <c r="OLT7" s="1178" t="s">
        <v>8</v>
      </c>
      <c r="OLU7" s="1179"/>
      <c r="OLV7" s="1179"/>
      <c r="OLW7" s="1179"/>
      <c r="OLX7" s="1179" t="s">
        <v>10</v>
      </c>
      <c r="OLY7" s="1179"/>
      <c r="OLZ7" s="1179"/>
      <c r="OMA7" s="1180"/>
      <c r="OMB7" s="1178" t="s">
        <v>8</v>
      </c>
      <c r="OMC7" s="1179"/>
      <c r="OMD7" s="1179"/>
      <c r="OME7" s="1179"/>
      <c r="OMF7" s="1179" t="s">
        <v>10</v>
      </c>
      <c r="OMG7" s="1179"/>
      <c r="OMH7" s="1179"/>
      <c r="OMI7" s="1180"/>
      <c r="OMJ7" s="1178" t="s">
        <v>8</v>
      </c>
      <c r="OMK7" s="1179"/>
      <c r="OML7" s="1179"/>
      <c r="OMM7" s="1179"/>
      <c r="OMN7" s="1179" t="s">
        <v>10</v>
      </c>
      <c r="OMO7" s="1179"/>
      <c r="OMP7" s="1179"/>
      <c r="OMQ7" s="1180"/>
      <c r="OMR7" s="1178" t="s">
        <v>8</v>
      </c>
      <c r="OMS7" s="1179"/>
      <c r="OMT7" s="1179"/>
      <c r="OMU7" s="1179"/>
      <c r="OMV7" s="1179" t="s">
        <v>10</v>
      </c>
      <c r="OMW7" s="1179"/>
      <c r="OMX7" s="1179"/>
      <c r="OMY7" s="1180"/>
      <c r="OMZ7" s="1178" t="s">
        <v>8</v>
      </c>
      <c r="ONA7" s="1179"/>
      <c r="ONB7" s="1179"/>
      <c r="ONC7" s="1179"/>
      <c r="OND7" s="1179" t="s">
        <v>10</v>
      </c>
      <c r="ONE7" s="1179"/>
      <c r="ONF7" s="1179"/>
      <c r="ONG7" s="1180"/>
      <c r="ONH7" s="1178" t="s">
        <v>8</v>
      </c>
      <c r="ONI7" s="1179"/>
      <c r="ONJ7" s="1179"/>
      <c r="ONK7" s="1179"/>
      <c r="ONL7" s="1179" t="s">
        <v>10</v>
      </c>
      <c r="ONM7" s="1179"/>
      <c r="ONN7" s="1179"/>
      <c r="ONO7" s="1180"/>
      <c r="ONP7" s="1178" t="s">
        <v>8</v>
      </c>
      <c r="ONQ7" s="1179"/>
      <c r="ONR7" s="1179"/>
      <c r="ONS7" s="1179"/>
      <c r="ONT7" s="1179" t="s">
        <v>10</v>
      </c>
      <c r="ONU7" s="1179"/>
      <c r="ONV7" s="1179"/>
      <c r="ONW7" s="1180"/>
      <c r="ONX7" s="1178" t="s">
        <v>8</v>
      </c>
      <c r="ONY7" s="1179"/>
      <c r="ONZ7" s="1179"/>
      <c r="OOA7" s="1179"/>
      <c r="OOB7" s="1179" t="s">
        <v>10</v>
      </c>
      <c r="OOC7" s="1179"/>
      <c r="OOD7" s="1179"/>
      <c r="OOE7" s="1180"/>
      <c r="OOF7" s="1178" t="s">
        <v>8</v>
      </c>
      <c r="OOG7" s="1179"/>
      <c r="OOH7" s="1179"/>
      <c r="OOI7" s="1179"/>
      <c r="OOJ7" s="1179" t="s">
        <v>10</v>
      </c>
      <c r="OOK7" s="1179"/>
      <c r="OOL7" s="1179"/>
      <c r="OOM7" s="1180"/>
      <c r="OON7" s="1178" t="s">
        <v>8</v>
      </c>
      <c r="OOO7" s="1179"/>
      <c r="OOP7" s="1179"/>
      <c r="OOQ7" s="1179"/>
      <c r="OOR7" s="1179" t="s">
        <v>10</v>
      </c>
      <c r="OOS7" s="1179"/>
      <c r="OOT7" s="1179"/>
      <c r="OOU7" s="1180"/>
      <c r="OOV7" s="1178" t="s">
        <v>8</v>
      </c>
      <c r="OOW7" s="1179"/>
      <c r="OOX7" s="1179"/>
      <c r="OOY7" s="1179"/>
      <c r="OOZ7" s="1179" t="s">
        <v>10</v>
      </c>
      <c r="OPA7" s="1179"/>
      <c r="OPB7" s="1179"/>
      <c r="OPC7" s="1180"/>
      <c r="OPD7" s="1178" t="s">
        <v>8</v>
      </c>
      <c r="OPE7" s="1179"/>
      <c r="OPF7" s="1179"/>
      <c r="OPG7" s="1179"/>
      <c r="OPH7" s="1179" t="s">
        <v>10</v>
      </c>
      <c r="OPI7" s="1179"/>
      <c r="OPJ7" s="1179"/>
      <c r="OPK7" s="1180"/>
      <c r="OPL7" s="1178" t="s">
        <v>8</v>
      </c>
      <c r="OPM7" s="1179"/>
      <c r="OPN7" s="1179"/>
      <c r="OPO7" s="1179"/>
      <c r="OPP7" s="1179" t="s">
        <v>10</v>
      </c>
      <c r="OPQ7" s="1179"/>
      <c r="OPR7" s="1179"/>
      <c r="OPS7" s="1180"/>
      <c r="OPT7" s="1178" t="s">
        <v>8</v>
      </c>
      <c r="OPU7" s="1179"/>
      <c r="OPV7" s="1179"/>
      <c r="OPW7" s="1179"/>
      <c r="OPX7" s="1179" t="s">
        <v>10</v>
      </c>
      <c r="OPY7" s="1179"/>
      <c r="OPZ7" s="1179"/>
      <c r="OQA7" s="1180"/>
      <c r="OQB7" s="1178" t="s">
        <v>8</v>
      </c>
      <c r="OQC7" s="1179"/>
      <c r="OQD7" s="1179"/>
      <c r="OQE7" s="1179"/>
      <c r="OQF7" s="1179" t="s">
        <v>10</v>
      </c>
      <c r="OQG7" s="1179"/>
      <c r="OQH7" s="1179"/>
      <c r="OQI7" s="1180"/>
      <c r="OQJ7" s="1178" t="s">
        <v>8</v>
      </c>
      <c r="OQK7" s="1179"/>
      <c r="OQL7" s="1179"/>
      <c r="OQM7" s="1179"/>
      <c r="OQN7" s="1179" t="s">
        <v>10</v>
      </c>
      <c r="OQO7" s="1179"/>
      <c r="OQP7" s="1179"/>
      <c r="OQQ7" s="1180"/>
      <c r="OQR7" s="1178" t="s">
        <v>8</v>
      </c>
      <c r="OQS7" s="1179"/>
      <c r="OQT7" s="1179"/>
      <c r="OQU7" s="1179"/>
      <c r="OQV7" s="1179" t="s">
        <v>10</v>
      </c>
      <c r="OQW7" s="1179"/>
      <c r="OQX7" s="1179"/>
      <c r="OQY7" s="1180"/>
      <c r="OQZ7" s="1178" t="s">
        <v>8</v>
      </c>
      <c r="ORA7" s="1179"/>
      <c r="ORB7" s="1179"/>
      <c r="ORC7" s="1179"/>
      <c r="ORD7" s="1179" t="s">
        <v>10</v>
      </c>
      <c r="ORE7" s="1179"/>
      <c r="ORF7" s="1179"/>
      <c r="ORG7" s="1180"/>
      <c r="ORH7" s="1178" t="s">
        <v>8</v>
      </c>
      <c r="ORI7" s="1179"/>
      <c r="ORJ7" s="1179"/>
      <c r="ORK7" s="1179"/>
      <c r="ORL7" s="1179" t="s">
        <v>10</v>
      </c>
      <c r="ORM7" s="1179"/>
      <c r="ORN7" s="1179"/>
      <c r="ORO7" s="1180"/>
      <c r="ORP7" s="1178" t="s">
        <v>8</v>
      </c>
      <c r="ORQ7" s="1179"/>
      <c r="ORR7" s="1179"/>
      <c r="ORS7" s="1179"/>
      <c r="ORT7" s="1179" t="s">
        <v>10</v>
      </c>
      <c r="ORU7" s="1179"/>
      <c r="ORV7" s="1179"/>
      <c r="ORW7" s="1180"/>
      <c r="ORX7" s="1178" t="s">
        <v>8</v>
      </c>
      <c r="ORY7" s="1179"/>
      <c r="ORZ7" s="1179"/>
      <c r="OSA7" s="1179"/>
      <c r="OSB7" s="1179" t="s">
        <v>10</v>
      </c>
      <c r="OSC7" s="1179"/>
      <c r="OSD7" s="1179"/>
      <c r="OSE7" s="1180"/>
      <c r="OSF7" s="1178" t="s">
        <v>8</v>
      </c>
      <c r="OSG7" s="1179"/>
      <c r="OSH7" s="1179"/>
      <c r="OSI7" s="1179"/>
      <c r="OSJ7" s="1179" t="s">
        <v>10</v>
      </c>
      <c r="OSK7" s="1179"/>
      <c r="OSL7" s="1179"/>
      <c r="OSM7" s="1180"/>
      <c r="OSN7" s="1178" t="s">
        <v>8</v>
      </c>
      <c r="OSO7" s="1179"/>
      <c r="OSP7" s="1179"/>
      <c r="OSQ7" s="1179"/>
      <c r="OSR7" s="1179" t="s">
        <v>10</v>
      </c>
      <c r="OSS7" s="1179"/>
      <c r="OST7" s="1179"/>
      <c r="OSU7" s="1180"/>
      <c r="OSV7" s="1178" t="s">
        <v>8</v>
      </c>
      <c r="OSW7" s="1179"/>
      <c r="OSX7" s="1179"/>
      <c r="OSY7" s="1179"/>
      <c r="OSZ7" s="1179" t="s">
        <v>10</v>
      </c>
      <c r="OTA7" s="1179"/>
      <c r="OTB7" s="1179"/>
      <c r="OTC7" s="1180"/>
      <c r="OTD7" s="1178" t="s">
        <v>8</v>
      </c>
      <c r="OTE7" s="1179"/>
      <c r="OTF7" s="1179"/>
      <c r="OTG7" s="1179"/>
      <c r="OTH7" s="1179" t="s">
        <v>10</v>
      </c>
      <c r="OTI7" s="1179"/>
      <c r="OTJ7" s="1179"/>
      <c r="OTK7" s="1180"/>
      <c r="OTL7" s="1178" t="s">
        <v>8</v>
      </c>
      <c r="OTM7" s="1179"/>
      <c r="OTN7" s="1179"/>
      <c r="OTO7" s="1179"/>
      <c r="OTP7" s="1179" t="s">
        <v>10</v>
      </c>
      <c r="OTQ7" s="1179"/>
      <c r="OTR7" s="1179"/>
      <c r="OTS7" s="1180"/>
      <c r="OTT7" s="1178" t="s">
        <v>8</v>
      </c>
      <c r="OTU7" s="1179"/>
      <c r="OTV7" s="1179"/>
      <c r="OTW7" s="1179"/>
      <c r="OTX7" s="1179" t="s">
        <v>10</v>
      </c>
      <c r="OTY7" s="1179"/>
      <c r="OTZ7" s="1179"/>
      <c r="OUA7" s="1180"/>
      <c r="OUB7" s="1178" t="s">
        <v>8</v>
      </c>
      <c r="OUC7" s="1179"/>
      <c r="OUD7" s="1179"/>
      <c r="OUE7" s="1179"/>
      <c r="OUF7" s="1179" t="s">
        <v>10</v>
      </c>
      <c r="OUG7" s="1179"/>
      <c r="OUH7" s="1179"/>
      <c r="OUI7" s="1180"/>
      <c r="OUJ7" s="1178" t="s">
        <v>8</v>
      </c>
      <c r="OUK7" s="1179"/>
      <c r="OUL7" s="1179"/>
      <c r="OUM7" s="1179"/>
      <c r="OUN7" s="1179" t="s">
        <v>10</v>
      </c>
      <c r="OUO7" s="1179"/>
      <c r="OUP7" s="1179"/>
      <c r="OUQ7" s="1180"/>
      <c r="OUR7" s="1178" t="s">
        <v>8</v>
      </c>
      <c r="OUS7" s="1179"/>
      <c r="OUT7" s="1179"/>
      <c r="OUU7" s="1179"/>
      <c r="OUV7" s="1179" t="s">
        <v>10</v>
      </c>
      <c r="OUW7" s="1179"/>
      <c r="OUX7" s="1179"/>
      <c r="OUY7" s="1180"/>
      <c r="OUZ7" s="1178" t="s">
        <v>8</v>
      </c>
      <c r="OVA7" s="1179"/>
      <c r="OVB7" s="1179"/>
      <c r="OVC7" s="1179"/>
      <c r="OVD7" s="1179" t="s">
        <v>10</v>
      </c>
      <c r="OVE7" s="1179"/>
      <c r="OVF7" s="1179"/>
      <c r="OVG7" s="1180"/>
      <c r="OVH7" s="1178" t="s">
        <v>8</v>
      </c>
      <c r="OVI7" s="1179"/>
      <c r="OVJ7" s="1179"/>
      <c r="OVK7" s="1179"/>
      <c r="OVL7" s="1179" t="s">
        <v>10</v>
      </c>
      <c r="OVM7" s="1179"/>
      <c r="OVN7" s="1179"/>
      <c r="OVO7" s="1180"/>
      <c r="OVP7" s="1178" t="s">
        <v>8</v>
      </c>
      <c r="OVQ7" s="1179"/>
      <c r="OVR7" s="1179"/>
      <c r="OVS7" s="1179"/>
      <c r="OVT7" s="1179" t="s">
        <v>10</v>
      </c>
      <c r="OVU7" s="1179"/>
      <c r="OVV7" s="1179"/>
      <c r="OVW7" s="1180"/>
      <c r="OVX7" s="1178" t="s">
        <v>8</v>
      </c>
      <c r="OVY7" s="1179"/>
      <c r="OVZ7" s="1179"/>
      <c r="OWA7" s="1179"/>
      <c r="OWB7" s="1179" t="s">
        <v>10</v>
      </c>
      <c r="OWC7" s="1179"/>
      <c r="OWD7" s="1179"/>
      <c r="OWE7" s="1180"/>
      <c r="OWF7" s="1178" t="s">
        <v>8</v>
      </c>
      <c r="OWG7" s="1179"/>
      <c r="OWH7" s="1179"/>
      <c r="OWI7" s="1179"/>
      <c r="OWJ7" s="1179" t="s">
        <v>10</v>
      </c>
      <c r="OWK7" s="1179"/>
      <c r="OWL7" s="1179"/>
      <c r="OWM7" s="1180"/>
      <c r="OWN7" s="1178" t="s">
        <v>8</v>
      </c>
      <c r="OWO7" s="1179"/>
      <c r="OWP7" s="1179"/>
      <c r="OWQ7" s="1179"/>
      <c r="OWR7" s="1179" t="s">
        <v>10</v>
      </c>
      <c r="OWS7" s="1179"/>
      <c r="OWT7" s="1179"/>
      <c r="OWU7" s="1180"/>
      <c r="OWV7" s="1178" t="s">
        <v>8</v>
      </c>
      <c r="OWW7" s="1179"/>
      <c r="OWX7" s="1179"/>
      <c r="OWY7" s="1179"/>
      <c r="OWZ7" s="1179" t="s">
        <v>10</v>
      </c>
      <c r="OXA7" s="1179"/>
      <c r="OXB7" s="1179"/>
      <c r="OXC7" s="1180"/>
      <c r="OXD7" s="1178" t="s">
        <v>8</v>
      </c>
      <c r="OXE7" s="1179"/>
      <c r="OXF7" s="1179"/>
      <c r="OXG7" s="1179"/>
      <c r="OXH7" s="1179" t="s">
        <v>10</v>
      </c>
      <c r="OXI7" s="1179"/>
      <c r="OXJ7" s="1179"/>
      <c r="OXK7" s="1180"/>
      <c r="OXL7" s="1178" t="s">
        <v>8</v>
      </c>
      <c r="OXM7" s="1179"/>
      <c r="OXN7" s="1179"/>
      <c r="OXO7" s="1179"/>
      <c r="OXP7" s="1179" t="s">
        <v>10</v>
      </c>
      <c r="OXQ7" s="1179"/>
      <c r="OXR7" s="1179"/>
      <c r="OXS7" s="1180"/>
      <c r="OXT7" s="1178" t="s">
        <v>8</v>
      </c>
      <c r="OXU7" s="1179"/>
      <c r="OXV7" s="1179"/>
      <c r="OXW7" s="1179"/>
      <c r="OXX7" s="1179" t="s">
        <v>10</v>
      </c>
      <c r="OXY7" s="1179"/>
      <c r="OXZ7" s="1179"/>
      <c r="OYA7" s="1180"/>
      <c r="OYB7" s="1178" t="s">
        <v>8</v>
      </c>
      <c r="OYC7" s="1179"/>
      <c r="OYD7" s="1179"/>
      <c r="OYE7" s="1179"/>
      <c r="OYF7" s="1179" t="s">
        <v>10</v>
      </c>
      <c r="OYG7" s="1179"/>
      <c r="OYH7" s="1179"/>
      <c r="OYI7" s="1180"/>
      <c r="OYJ7" s="1178" t="s">
        <v>8</v>
      </c>
      <c r="OYK7" s="1179"/>
      <c r="OYL7" s="1179"/>
      <c r="OYM7" s="1179"/>
      <c r="OYN7" s="1179" t="s">
        <v>10</v>
      </c>
      <c r="OYO7" s="1179"/>
      <c r="OYP7" s="1179"/>
      <c r="OYQ7" s="1180"/>
      <c r="OYR7" s="1178" t="s">
        <v>8</v>
      </c>
      <c r="OYS7" s="1179"/>
      <c r="OYT7" s="1179"/>
      <c r="OYU7" s="1179"/>
      <c r="OYV7" s="1179" t="s">
        <v>10</v>
      </c>
      <c r="OYW7" s="1179"/>
      <c r="OYX7" s="1179"/>
      <c r="OYY7" s="1180"/>
      <c r="OYZ7" s="1178" t="s">
        <v>8</v>
      </c>
      <c r="OZA7" s="1179"/>
      <c r="OZB7" s="1179"/>
      <c r="OZC7" s="1179"/>
      <c r="OZD7" s="1179" t="s">
        <v>10</v>
      </c>
      <c r="OZE7" s="1179"/>
      <c r="OZF7" s="1179"/>
      <c r="OZG7" s="1180"/>
      <c r="OZH7" s="1178" t="s">
        <v>8</v>
      </c>
      <c r="OZI7" s="1179"/>
      <c r="OZJ7" s="1179"/>
      <c r="OZK7" s="1179"/>
      <c r="OZL7" s="1179" t="s">
        <v>10</v>
      </c>
      <c r="OZM7" s="1179"/>
      <c r="OZN7" s="1179"/>
      <c r="OZO7" s="1180"/>
      <c r="OZP7" s="1178" t="s">
        <v>8</v>
      </c>
      <c r="OZQ7" s="1179"/>
      <c r="OZR7" s="1179"/>
      <c r="OZS7" s="1179"/>
      <c r="OZT7" s="1179" t="s">
        <v>10</v>
      </c>
      <c r="OZU7" s="1179"/>
      <c r="OZV7" s="1179"/>
      <c r="OZW7" s="1180"/>
      <c r="OZX7" s="1178" t="s">
        <v>8</v>
      </c>
      <c r="OZY7" s="1179"/>
      <c r="OZZ7" s="1179"/>
      <c r="PAA7" s="1179"/>
      <c r="PAB7" s="1179" t="s">
        <v>10</v>
      </c>
      <c r="PAC7" s="1179"/>
      <c r="PAD7" s="1179"/>
      <c r="PAE7" s="1180"/>
      <c r="PAF7" s="1178" t="s">
        <v>8</v>
      </c>
      <c r="PAG7" s="1179"/>
      <c r="PAH7" s="1179"/>
      <c r="PAI7" s="1179"/>
      <c r="PAJ7" s="1179" t="s">
        <v>10</v>
      </c>
      <c r="PAK7" s="1179"/>
      <c r="PAL7" s="1179"/>
      <c r="PAM7" s="1180"/>
      <c r="PAN7" s="1178" t="s">
        <v>8</v>
      </c>
      <c r="PAO7" s="1179"/>
      <c r="PAP7" s="1179"/>
      <c r="PAQ7" s="1179"/>
      <c r="PAR7" s="1179" t="s">
        <v>10</v>
      </c>
      <c r="PAS7" s="1179"/>
      <c r="PAT7" s="1179"/>
      <c r="PAU7" s="1180"/>
      <c r="PAV7" s="1178" t="s">
        <v>8</v>
      </c>
      <c r="PAW7" s="1179"/>
      <c r="PAX7" s="1179"/>
      <c r="PAY7" s="1179"/>
      <c r="PAZ7" s="1179" t="s">
        <v>10</v>
      </c>
      <c r="PBA7" s="1179"/>
      <c r="PBB7" s="1179"/>
      <c r="PBC7" s="1180"/>
      <c r="PBD7" s="1178" t="s">
        <v>8</v>
      </c>
      <c r="PBE7" s="1179"/>
      <c r="PBF7" s="1179"/>
      <c r="PBG7" s="1179"/>
      <c r="PBH7" s="1179" t="s">
        <v>10</v>
      </c>
      <c r="PBI7" s="1179"/>
      <c r="PBJ7" s="1179"/>
      <c r="PBK7" s="1180"/>
      <c r="PBL7" s="1178" t="s">
        <v>8</v>
      </c>
      <c r="PBM7" s="1179"/>
      <c r="PBN7" s="1179"/>
      <c r="PBO7" s="1179"/>
      <c r="PBP7" s="1179" t="s">
        <v>10</v>
      </c>
      <c r="PBQ7" s="1179"/>
      <c r="PBR7" s="1179"/>
      <c r="PBS7" s="1180"/>
      <c r="PBT7" s="1178" t="s">
        <v>8</v>
      </c>
      <c r="PBU7" s="1179"/>
      <c r="PBV7" s="1179"/>
      <c r="PBW7" s="1179"/>
      <c r="PBX7" s="1179" t="s">
        <v>10</v>
      </c>
      <c r="PBY7" s="1179"/>
      <c r="PBZ7" s="1179"/>
      <c r="PCA7" s="1180"/>
      <c r="PCB7" s="1178" t="s">
        <v>8</v>
      </c>
      <c r="PCC7" s="1179"/>
      <c r="PCD7" s="1179"/>
      <c r="PCE7" s="1179"/>
      <c r="PCF7" s="1179" t="s">
        <v>10</v>
      </c>
      <c r="PCG7" s="1179"/>
      <c r="PCH7" s="1179"/>
      <c r="PCI7" s="1180"/>
      <c r="PCJ7" s="1178" t="s">
        <v>8</v>
      </c>
      <c r="PCK7" s="1179"/>
      <c r="PCL7" s="1179"/>
      <c r="PCM7" s="1179"/>
      <c r="PCN7" s="1179" t="s">
        <v>10</v>
      </c>
      <c r="PCO7" s="1179"/>
      <c r="PCP7" s="1179"/>
      <c r="PCQ7" s="1180"/>
      <c r="PCR7" s="1178" t="s">
        <v>8</v>
      </c>
      <c r="PCS7" s="1179"/>
      <c r="PCT7" s="1179"/>
      <c r="PCU7" s="1179"/>
      <c r="PCV7" s="1179" t="s">
        <v>10</v>
      </c>
      <c r="PCW7" s="1179"/>
      <c r="PCX7" s="1179"/>
      <c r="PCY7" s="1180"/>
      <c r="PCZ7" s="1178" t="s">
        <v>8</v>
      </c>
      <c r="PDA7" s="1179"/>
      <c r="PDB7" s="1179"/>
      <c r="PDC7" s="1179"/>
      <c r="PDD7" s="1179" t="s">
        <v>10</v>
      </c>
      <c r="PDE7" s="1179"/>
      <c r="PDF7" s="1179"/>
      <c r="PDG7" s="1180"/>
      <c r="PDH7" s="1178" t="s">
        <v>8</v>
      </c>
      <c r="PDI7" s="1179"/>
      <c r="PDJ7" s="1179"/>
      <c r="PDK7" s="1179"/>
      <c r="PDL7" s="1179" t="s">
        <v>10</v>
      </c>
      <c r="PDM7" s="1179"/>
      <c r="PDN7" s="1179"/>
      <c r="PDO7" s="1180"/>
      <c r="PDP7" s="1178" t="s">
        <v>8</v>
      </c>
      <c r="PDQ7" s="1179"/>
      <c r="PDR7" s="1179"/>
      <c r="PDS7" s="1179"/>
      <c r="PDT7" s="1179" t="s">
        <v>10</v>
      </c>
      <c r="PDU7" s="1179"/>
      <c r="PDV7" s="1179"/>
      <c r="PDW7" s="1180"/>
      <c r="PDX7" s="1178" t="s">
        <v>8</v>
      </c>
      <c r="PDY7" s="1179"/>
      <c r="PDZ7" s="1179"/>
      <c r="PEA7" s="1179"/>
      <c r="PEB7" s="1179" t="s">
        <v>10</v>
      </c>
      <c r="PEC7" s="1179"/>
      <c r="PED7" s="1179"/>
      <c r="PEE7" s="1180"/>
      <c r="PEF7" s="1178" t="s">
        <v>8</v>
      </c>
      <c r="PEG7" s="1179"/>
      <c r="PEH7" s="1179"/>
      <c r="PEI7" s="1179"/>
      <c r="PEJ7" s="1179" t="s">
        <v>10</v>
      </c>
      <c r="PEK7" s="1179"/>
      <c r="PEL7" s="1179"/>
      <c r="PEM7" s="1180"/>
      <c r="PEN7" s="1178" t="s">
        <v>8</v>
      </c>
      <c r="PEO7" s="1179"/>
      <c r="PEP7" s="1179"/>
      <c r="PEQ7" s="1179"/>
      <c r="PER7" s="1179" t="s">
        <v>10</v>
      </c>
      <c r="PES7" s="1179"/>
      <c r="PET7" s="1179"/>
      <c r="PEU7" s="1180"/>
      <c r="PEV7" s="1178" t="s">
        <v>8</v>
      </c>
      <c r="PEW7" s="1179"/>
      <c r="PEX7" s="1179"/>
      <c r="PEY7" s="1179"/>
      <c r="PEZ7" s="1179" t="s">
        <v>10</v>
      </c>
      <c r="PFA7" s="1179"/>
      <c r="PFB7" s="1179"/>
      <c r="PFC7" s="1180"/>
      <c r="PFD7" s="1178" t="s">
        <v>8</v>
      </c>
      <c r="PFE7" s="1179"/>
      <c r="PFF7" s="1179"/>
      <c r="PFG7" s="1179"/>
      <c r="PFH7" s="1179" t="s">
        <v>10</v>
      </c>
      <c r="PFI7" s="1179"/>
      <c r="PFJ7" s="1179"/>
      <c r="PFK7" s="1180"/>
      <c r="PFL7" s="1178" t="s">
        <v>8</v>
      </c>
      <c r="PFM7" s="1179"/>
      <c r="PFN7" s="1179"/>
      <c r="PFO7" s="1179"/>
      <c r="PFP7" s="1179" t="s">
        <v>10</v>
      </c>
      <c r="PFQ7" s="1179"/>
      <c r="PFR7" s="1179"/>
      <c r="PFS7" s="1180"/>
      <c r="PFT7" s="1178" t="s">
        <v>8</v>
      </c>
      <c r="PFU7" s="1179"/>
      <c r="PFV7" s="1179"/>
      <c r="PFW7" s="1179"/>
      <c r="PFX7" s="1179" t="s">
        <v>10</v>
      </c>
      <c r="PFY7" s="1179"/>
      <c r="PFZ7" s="1179"/>
      <c r="PGA7" s="1180"/>
      <c r="PGB7" s="1178" t="s">
        <v>8</v>
      </c>
      <c r="PGC7" s="1179"/>
      <c r="PGD7" s="1179"/>
      <c r="PGE7" s="1179"/>
      <c r="PGF7" s="1179" t="s">
        <v>10</v>
      </c>
      <c r="PGG7" s="1179"/>
      <c r="PGH7" s="1179"/>
      <c r="PGI7" s="1180"/>
      <c r="PGJ7" s="1178" t="s">
        <v>8</v>
      </c>
      <c r="PGK7" s="1179"/>
      <c r="PGL7" s="1179"/>
      <c r="PGM7" s="1179"/>
      <c r="PGN7" s="1179" t="s">
        <v>10</v>
      </c>
      <c r="PGO7" s="1179"/>
      <c r="PGP7" s="1179"/>
      <c r="PGQ7" s="1180"/>
      <c r="PGR7" s="1178" t="s">
        <v>8</v>
      </c>
      <c r="PGS7" s="1179"/>
      <c r="PGT7" s="1179"/>
      <c r="PGU7" s="1179"/>
      <c r="PGV7" s="1179" t="s">
        <v>10</v>
      </c>
      <c r="PGW7" s="1179"/>
      <c r="PGX7" s="1179"/>
      <c r="PGY7" s="1180"/>
      <c r="PGZ7" s="1178" t="s">
        <v>8</v>
      </c>
      <c r="PHA7" s="1179"/>
      <c r="PHB7" s="1179"/>
      <c r="PHC7" s="1179"/>
      <c r="PHD7" s="1179" t="s">
        <v>10</v>
      </c>
      <c r="PHE7" s="1179"/>
      <c r="PHF7" s="1179"/>
      <c r="PHG7" s="1180"/>
      <c r="PHH7" s="1178" t="s">
        <v>8</v>
      </c>
      <c r="PHI7" s="1179"/>
      <c r="PHJ7" s="1179"/>
      <c r="PHK7" s="1179"/>
      <c r="PHL7" s="1179" t="s">
        <v>10</v>
      </c>
      <c r="PHM7" s="1179"/>
      <c r="PHN7" s="1179"/>
      <c r="PHO7" s="1180"/>
      <c r="PHP7" s="1178" t="s">
        <v>8</v>
      </c>
      <c r="PHQ7" s="1179"/>
      <c r="PHR7" s="1179"/>
      <c r="PHS7" s="1179"/>
      <c r="PHT7" s="1179" t="s">
        <v>10</v>
      </c>
      <c r="PHU7" s="1179"/>
      <c r="PHV7" s="1179"/>
      <c r="PHW7" s="1180"/>
      <c r="PHX7" s="1178" t="s">
        <v>8</v>
      </c>
      <c r="PHY7" s="1179"/>
      <c r="PHZ7" s="1179"/>
      <c r="PIA7" s="1179"/>
      <c r="PIB7" s="1179" t="s">
        <v>10</v>
      </c>
      <c r="PIC7" s="1179"/>
      <c r="PID7" s="1179"/>
      <c r="PIE7" s="1180"/>
      <c r="PIF7" s="1178" t="s">
        <v>8</v>
      </c>
      <c r="PIG7" s="1179"/>
      <c r="PIH7" s="1179"/>
      <c r="PII7" s="1179"/>
      <c r="PIJ7" s="1179" t="s">
        <v>10</v>
      </c>
      <c r="PIK7" s="1179"/>
      <c r="PIL7" s="1179"/>
      <c r="PIM7" s="1180"/>
      <c r="PIN7" s="1178" t="s">
        <v>8</v>
      </c>
      <c r="PIO7" s="1179"/>
      <c r="PIP7" s="1179"/>
      <c r="PIQ7" s="1179"/>
      <c r="PIR7" s="1179" t="s">
        <v>10</v>
      </c>
      <c r="PIS7" s="1179"/>
      <c r="PIT7" s="1179"/>
      <c r="PIU7" s="1180"/>
      <c r="PIV7" s="1178" t="s">
        <v>8</v>
      </c>
      <c r="PIW7" s="1179"/>
      <c r="PIX7" s="1179"/>
      <c r="PIY7" s="1179"/>
      <c r="PIZ7" s="1179" t="s">
        <v>10</v>
      </c>
      <c r="PJA7" s="1179"/>
      <c r="PJB7" s="1179"/>
      <c r="PJC7" s="1180"/>
      <c r="PJD7" s="1178" t="s">
        <v>8</v>
      </c>
      <c r="PJE7" s="1179"/>
      <c r="PJF7" s="1179"/>
      <c r="PJG7" s="1179"/>
      <c r="PJH7" s="1179" t="s">
        <v>10</v>
      </c>
      <c r="PJI7" s="1179"/>
      <c r="PJJ7" s="1179"/>
      <c r="PJK7" s="1180"/>
      <c r="PJL7" s="1178" t="s">
        <v>8</v>
      </c>
      <c r="PJM7" s="1179"/>
      <c r="PJN7" s="1179"/>
      <c r="PJO7" s="1179"/>
      <c r="PJP7" s="1179" t="s">
        <v>10</v>
      </c>
      <c r="PJQ7" s="1179"/>
      <c r="PJR7" s="1179"/>
      <c r="PJS7" s="1180"/>
      <c r="PJT7" s="1178" t="s">
        <v>8</v>
      </c>
      <c r="PJU7" s="1179"/>
      <c r="PJV7" s="1179"/>
      <c r="PJW7" s="1179"/>
      <c r="PJX7" s="1179" t="s">
        <v>10</v>
      </c>
      <c r="PJY7" s="1179"/>
      <c r="PJZ7" s="1179"/>
      <c r="PKA7" s="1180"/>
      <c r="PKB7" s="1178" t="s">
        <v>8</v>
      </c>
      <c r="PKC7" s="1179"/>
      <c r="PKD7" s="1179"/>
      <c r="PKE7" s="1179"/>
      <c r="PKF7" s="1179" t="s">
        <v>10</v>
      </c>
      <c r="PKG7" s="1179"/>
      <c r="PKH7" s="1179"/>
      <c r="PKI7" s="1180"/>
      <c r="PKJ7" s="1178" t="s">
        <v>8</v>
      </c>
      <c r="PKK7" s="1179"/>
      <c r="PKL7" s="1179"/>
      <c r="PKM7" s="1179"/>
      <c r="PKN7" s="1179" t="s">
        <v>10</v>
      </c>
      <c r="PKO7" s="1179"/>
      <c r="PKP7" s="1179"/>
      <c r="PKQ7" s="1180"/>
      <c r="PKR7" s="1178" t="s">
        <v>8</v>
      </c>
      <c r="PKS7" s="1179"/>
      <c r="PKT7" s="1179"/>
      <c r="PKU7" s="1179"/>
      <c r="PKV7" s="1179" t="s">
        <v>10</v>
      </c>
      <c r="PKW7" s="1179"/>
      <c r="PKX7" s="1179"/>
      <c r="PKY7" s="1180"/>
      <c r="PKZ7" s="1178" t="s">
        <v>8</v>
      </c>
      <c r="PLA7" s="1179"/>
      <c r="PLB7" s="1179"/>
      <c r="PLC7" s="1179"/>
      <c r="PLD7" s="1179" t="s">
        <v>10</v>
      </c>
      <c r="PLE7" s="1179"/>
      <c r="PLF7" s="1179"/>
      <c r="PLG7" s="1180"/>
      <c r="PLH7" s="1178" t="s">
        <v>8</v>
      </c>
      <c r="PLI7" s="1179"/>
      <c r="PLJ7" s="1179"/>
      <c r="PLK7" s="1179"/>
      <c r="PLL7" s="1179" t="s">
        <v>10</v>
      </c>
      <c r="PLM7" s="1179"/>
      <c r="PLN7" s="1179"/>
      <c r="PLO7" s="1180"/>
      <c r="PLP7" s="1178" t="s">
        <v>8</v>
      </c>
      <c r="PLQ7" s="1179"/>
      <c r="PLR7" s="1179"/>
      <c r="PLS7" s="1179"/>
      <c r="PLT7" s="1179" t="s">
        <v>10</v>
      </c>
      <c r="PLU7" s="1179"/>
      <c r="PLV7" s="1179"/>
      <c r="PLW7" s="1180"/>
      <c r="PLX7" s="1178" t="s">
        <v>8</v>
      </c>
      <c r="PLY7" s="1179"/>
      <c r="PLZ7" s="1179"/>
      <c r="PMA7" s="1179"/>
      <c r="PMB7" s="1179" t="s">
        <v>10</v>
      </c>
      <c r="PMC7" s="1179"/>
      <c r="PMD7" s="1179"/>
      <c r="PME7" s="1180"/>
      <c r="PMF7" s="1178" t="s">
        <v>8</v>
      </c>
      <c r="PMG7" s="1179"/>
      <c r="PMH7" s="1179"/>
      <c r="PMI7" s="1179"/>
      <c r="PMJ7" s="1179" t="s">
        <v>10</v>
      </c>
      <c r="PMK7" s="1179"/>
      <c r="PML7" s="1179"/>
      <c r="PMM7" s="1180"/>
      <c r="PMN7" s="1178" t="s">
        <v>8</v>
      </c>
      <c r="PMO7" s="1179"/>
      <c r="PMP7" s="1179"/>
      <c r="PMQ7" s="1179"/>
      <c r="PMR7" s="1179" t="s">
        <v>10</v>
      </c>
      <c r="PMS7" s="1179"/>
      <c r="PMT7" s="1179"/>
      <c r="PMU7" s="1180"/>
      <c r="PMV7" s="1178" t="s">
        <v>8</v>
      </c>
      <c r="PMW7" s="1179"/>
      <c r="PMX7" s="1179"/>
      <c r="PMY7" s="1179"/>
      <c r="PMZ7" s="1179" t="s">
        <v>10</v>
      </c>
      <c r="PNA7" s="1179"/>
      <c r="PNB7" s="1179"/>
      <c r="PNC7" s="1180"/>
      <c r="PND7" s="1178" t="s">
        <v>8</v>
      </c>
      <c r="PNE7" s="1179"/>
      <c r="PNF7" s="1179"/>
      <c r="PNG7" s="1179"/>
      <c r="PNH7" s="1179" t="s">
        <v>10</v>
      </c>
      <c r="PNI7" s="1179"/>
      <c r="PNJ7" s="1179"/>
      <c r="PNK7" s="1180"/>
      <c r="PNL7" s="1178" t="s">
        <v>8</v>
      </c>
      <c r="PNM7" s="1179"/>
      <c r="PNN7" s="1179"/>
      <c r="PNO7" s="1179"/>
      <c r="PNP7" s="1179" t="s">
        <v>10</v>
      </c>
      <c r="PNQ7" s="1179"/>
      <c r="PNR7" s="1179"/>
      <c r="PNS7" s="1180"/>
      <c r="PNT7" s="1178" t="s">
        <v>8</v>
      </c>
      <c r="PNU7" s="1179"/>
      <c r="PNV7" s="1179"/>
      <c r="PNW7" s="1179"/>
      <c r="PNX7" s="1179" t="s">
        <v>10</v>
      </c>
      <c r="PNY7" s="1179"/>
      <c r="PNZ7" s="1179"/>
      <c r="POA7" s="1180"/>
      <c r="POB7" s="1178" t="s">
        <v>8</v>
      </c>
      <c r="POC7" s="1179"/>
      <c r="POD7" s="1179"/>
      <c r="POE7" s="1179"/>
      <c r="POF7" s="1179" t="s">
        <v>10</v>
      </c>
      <c r="POG7" s="1179"/>
      <c r="POH7" s="1179"/>
      <c r="POI7" s="1180"/>
      <c r="POJ7" s="1178" t="s">
        <v>8</v>
      </c>
      <c r="POK7" s="1179"/>
      <c r="POL7" s="1179"/>
      <c r="POM7" s="1179"/>
      <c r="PON7" s="1179" t="s">
        <v>10</v>
      </c>
      <c r="POO7" s="1179"/>
      <c r="POP7" s="1179"/>
      <c r="POQ7" s="1180"/>
      <c r="POR7" s="1178" t="s">
        <v>8</v>
      </c>
      <c r="POS7" s="1179"/>
      <c r="POT7" s="1179"/>
      <c r="POU7" s="1179"/>
      <c r="POV7" s="1179" t="s">
        <v>10</v>
      </c>
      <c r="POW7" s="1179"/>
      <c r="POX7" s="1179"/>
      <c r="POY7" s="1180"/>
      <c r="POZ7" s="1178" t="s">
        <v>8</v>
      </c>
      <c r="PPA7" s="1179"/>
      <c r="PPB7" s="1179"/>
      <c r="PPC7" s="1179"/>
      <c r="PPD7" s="1179" t="s">
        <v>10</v>
      </c>
      <c r="PPE7" s="1179"/>
      <c r="PPF7" s="1179"/>
      <c r="PPG7" s="1180"/>
      <c r="PPH7" s="1178" t="s">
        <v>8</v>
      </c>
      <c r="PPI7" s="1179"/>
      <c r="PPJ7" s="1179"/>
      <c r="PPK7" s="1179"/>
      <c r="PPL7" s="1179" t="s">
        <v>10</v>
      </c>
      <c r="PPM7" s="1179"/>
      <c r="PPN7" s="1179"/>
      <c r="PPO7" s="1180"/>
      <c r="PPP7" s="1178" t="s">
        <v>8</v>
      </c>
      <c r="PPQ7" s="1179"/>
      <c r="PPR7" s="1179"/>
      <c r="PPS7" s="1179"/>
      <c r="PPT7" s="1179" t="s">
        <v>10</v>
      </c>
      <c r="PPU7" s="1179"/>
      <c r="PPV7" s="1179"/>
      <c r="PPW7" s="1180"/>
      <c r="PPX7" s="1178" t="s">
        <v>8</v>
      </c>
      <c r="PPY7" s="1179"/>
      <c r="PPZ7" s="1179"/>
      <c r="PQA7" s="1179"/>
      <c r="PQB7" s="1179" t="s">
        <v>10</v>
      </c>
      <c r="PQC7" s="1179"/>
      <c r="PQD7" s="1179"/>
      <c r="PQE7" s="1180"/>
      <c r="PQF7" s="1178" t="s">
        <v>8</v>
      </c>
      <c r="PQG7" s="1179"/>
      <c r="PQH7" s="1179"/>
      <c r="PQI7" s="1179"/>
      <c r="PQJ7" s="1179" t="s">
        <v>10</v>
      </c>
      <c r="PQK7" s="1179"/>
      <c r="PQL7" s="1179"/>
      <c r="PQM7" s="1180"/>
      <c r="PQN7" s="1178" t="s">
        <v>8</v>
      </c>
      <c r="PQO7" s="1179"/>
      <c r="PQP7" s="1179"/>
      <c r="PQQ7" s="1179"/>
      <c r="PQR7" s="1179" t="s">
        <v>10</v>
      </c>
      <c r="PQS7" s="1179"/>
      <c r="PQT7" s="1179"/>
      <c r="PQU7" s="1180"/>
      <c r="PQV7" s="1178" t="s">
        <v>8</v>
      </c>
      <c r="PQW7" s="1179"/>
      <c r="PQX7" s="1179"/>
      <c r="PQY7" s="1179"/>
      <c r="PQZ7" s="1179" t="s">
        <v>10</v>
      </c>
      <c r="PRA7" s="1179"/>
      <c r="PRB7" s="1179"/>
      <c r="PRC7" s="1180"/>
      <c r="PRD7" s="1178" t="s">
        <v>8</v>
      </c>
      <c r="PRE7" s="1179"/>
      <c r="PRF7" s="1179"/>
      <c r="PRG7" s="1179"/>
      <c r="PRH7" s="1179" t="s">
        <v>10</v>
      </c>
      <c r="PRI7" s="1179"/>
      <c r="PRJ7" s="1179"/>
      <c r="PRK7" s="1180"/>
      <c r="PRL7" s="1178" t="s">
        <v>8</v>
      </c>
      <c r="PRM7" s="1179"/>
      <c r="PRN7" s="1179"/>
      <c r="PRO7" s="1179"/>
      <c r="PRP7" s="1179" t="s">
        <v>10</v>
      </c>
      <c r="PRQ7" s="1179"/>
      <c r="PRR7" s="1179"/>
      <c r="PRS7" s="1180"/>
      <c r="PRT7" s="1178" t="s">
        <v>8</v>
      </c>
      <c r="PRU7" s="1179"/>
      <c r="PRV7" s="1179"/>
      <c r="PRW7" s="1179"/>
      <c r="PRX7" s="1179" t="s">
        <v>10</v>
      </c>
      <c r="PRY7" s="1179"/>
      <c r="PRZ7" s="1179"/>
      <c r="PSA7" s="1180"/>
      <c r="PSB7" s="1178" t="s">
        <v>8</v>
      </c>
      <c r="PSC7" s="1179"/>
      <c r="PSD7" s="1179"/>
      <c r="PSE7" s="1179"/>
      <c r="PSF7" s="1179" t="s">
        <v>10</v>
      </c>
      <c r="PSG7" s="1179"/>
      <c r="PSH7" s="1179"/>
      <c r="PSI7" s="1180"/>
      <c r="PSJ7" s="1178" t="s">
        <v>8</v>
      </c>
      <c r="PSK7" s="1179"/>
      <c r="PSL7" s="1179"/>
      <c r="PSM7" s="1179"/>
      <c r="PSN7" s="1179" t="s">
        <v>10</v>
      </c>
      <c r="PSO7" s="1179"/>
      <c r="PSP7" s="1179"/>
      <c r="PSQ7" s="1180"/>
      <c r="PSR7" s="1178" t="s">
        <v>8</v>
      </c>
      <c r="PSS7" s="1179"/>
      <c r="PST7" s="1179"/>
      <c r="PSU7" s="1179"/>
      <c r="PSV7" s="1179" t="s">
        <v>10</v>
      </c>
      <c r="PSW7" s="1179"/>
      <c r="PSX7" s="1179"/>
      <c r="PSY7" s="1180"/>
      <c r="PSZ7" s="1178" t="s">
        <v>8</v>
      </c>
      <c r="PTA7" s="1179"/>
      <c r="PTB7" s="1179"/>
      <c r="PTC7" s="1179"/>
      <c r="PTD7" s="1179" t="s">
        <v>10</v>
      </c>
      <c r="PTE7" s="1179"/>
      <c r="PTF7" s="1179"/>
      <c r="PTG7" s="1180"/>
      <c r="PTH7" s="1178" t="s">
        <v>8</v>
      </c>
      <c r="PTI7" s="1179"/>
      <c r="PTJ7" s="1179"/>
      <c r="PTK7" s="1179"/>
      <c r="PTL7" s="1179" t="s">
        <v>10</v>
      </c>
      <c r="PTM7" s="1179"/>
      <c r="PTN7" s="1179"/>
      <c r="PTO7" s="1180"/>
      <c r="PTP7" s="1178" t="s">
        <v>8</v>
      </c>
      <c r="PTQ7" s="1179"/>
      <c r="PTR7" s="1179"/>
      <c r="PTS7" s="1179"/>
      <c r="PTT7" s="1179" t="s">
        <v>10</v>
      </c>
      <c r="PTU7" s="1179"/>
      <c r="PTV7" s="1179"/>
      <c r="PTW7" s="1180"/>
      <c r="PTX7" s="1178" t="s">
        <v>8</v>
      </c>
      <c r="PTY7" s="1179"/>
      <c r="PTZ7" s="1179"/>
      <c r="PUA7" s="1179"/>
      <c r="PUB7" s="1179" t="s">
        <v>10</v>
      </c>
      <c r="PUC7" s="1179"/>
      <c r="PUD7" s="1179"/>
      <c r="PUE7" s="1180"/>
      <c r="PUF7" s="1178" t="s">
        <v>8</v>
      </c>
      <c r="PUG7" s="1179"/>
      <c r="PUH7" s="1179"/>
      <c r="PUI7" s="1179"/>
      <c r="PUJ7" s="1179" t="s">
        <v>10</v>
      </c>
      <c r="PUK7" s="1179"/>
      <c r="PUL7" s="1179"/>
      <c r="PUM7" s="1180"/>
      <c r="PUN7" s="1178" t="s">
        <v>8</v>
      </c>
      <c r="PUO7" s="1179"/>
      <c r="PUP7" s="1179"/>
      <c r="PUQ7" s="1179"/>
      <c r="PUR7" s="1179" t="s">
        <v>10</v>
      </c>
      <c r="PUS7" s="1179"/>
      <c r="PUT7" s="1179"/>
      <c r="PUU7" s="1180"/>
      <c r="PUV7" s="1178" t="s">
        <v>8</v>
      </c>
      <c r="PUW7" s="1179"/>
      <c r="PUX7" s="1179"/>
      <c r="PUY7" s="1179"/>
      <c r="PUZ7" s="1179" t="s">
        <v>10</v>
      </c>
      <c r="PVA7" s="1179"/>
      <c r="PVB7" s="1179"/>
      <c r="PVC7" s="1180"/>
      <c r="PVD7" s="1178" t="s">
        <v>8</v>
      </c>
      <c r="PVE7" s="1179"/>
      <c r="PVF7" s="1179"/>
      <c r="PVG7" s="1179"/>
      <c r="PVH7" s="1179" t="s">
        <v>10</v>
      </c>
      <c r="PVI7" s="1179"/>
      <c r="PVJ7" s="1179"/>
      <c r="PVK7" s="1180"/>
      <c r="PVL7" s="1178" t="s">
        <v>8</v>
      </c>
      <c r="PVM7" s="1179"/>
      <c r="PVN7" s="1179"/>
      <c r="PVO7" s="1179"/>
      <c r="PVP7" s="1179" t="s">
        <v>10</v>
      </c>
      <c r="PVQ7" s="1179"/>
      <c r="PVR7" s="1179"/>
      <c r="PVS7" s="1180"/>
      <c r="PVT7" s="1178" t="s">
        <v>8</v>
      </c>
      <c r="PVU7" s="1179"/>
      <c r="PVV7" s="1179"/>
      <c r="PVW7" s="1179"/>
      <c r="PVX7" s="1179" t="s">
        <v>10</v>
      </c>
      <c r="PVY7" s="1179"/>
      <c r="PVZ7" s="1179"/>
      <c r="PWA7" s="1180"/>
      <c r="PWB7" s="1178" t="s">
        <v>8</v>
      </c>
      <c r="PWC7" s="1179"/>
      <c r="PWD7" s="1179"/>
      <c r="PWE7" s="1179"/>
      <c r="PWF7" s="1179" t="s">
        <v>10</v>
      </c>
      <c r="PWG7" s="1179"/>
      <c r="PWH7" s="1179"/>
      <c r="PWI7" s="1180"/>
      <c r="PWJ7" s="1178" t="s">
        <v>8</v>
      </c>
      <c r="PWK7" s="1179"/>
      <c r="PWL7" s="1179"/>
      <c r="PWM7" s="1179"/>
      <c r="PWN7" s="1179" t="s">
        <v>10</v>
      </c>
      <c r="PWO7" s="1179"/>
      <c r="PWP7" s="1179"/>
      <c r="PWQ7" s="1180"/>
      <c r="PWR7" s="1178" t="s">
        <v>8</v>
      </c>
      <c r="PWS7" s="1179"/>
      <c r="PWT7" s="1179"/>
      <c r="PWU7" s="1179"/>
      <c r="PWV7" s="1179" t="s">
        <v>10</v>
      </c>
      <c r="PWW7" s="1179"/>
      <c r="PWX7" s="1179"/>
      <c r="PWY7" s="1180"/>
      <c r="PWZ7" s="1178" t="s">
        <v>8</v>
      </c>
      <c r="PXA7" s="1179"/>
      <c r="PXB7" s="1179"/>
      <c r="PXC7" s="1179"/>
      <c r="PXD7" s="1179" t="s">
        <v>10</v>
      </c>
      <c r="PXE7" s="1179"/>
      <c r="PXF7" s="1179"/>
      <c r="PXG7" s="1180"/>
      <c r="PXH7" s="1178" t="s">
        <v>8</v>
      </c>
      <c r="PXI7" s="1179"/>
      <c r="PXJ7" s="1179"/>
      <c r="PXK7" s="1179"/>
      <c r="PXL7" s="1179" t="s">
        <v>10</v>
      </c>
      <c r="PXM7" s="1179"/>
      <c r="PXN7" s="1179"/>
      <c r="PXO7" s="1180"/>
      <c r="PXP7" s="1178" t="s">
        <v>8</v>
      </c>
      <c r="PXQ7" s="1179"/>
      <c r="PXR7" s="1179"/>
      <c r="PXS7" s="1179"/>
      <c r="PXT7" s="1179" t="s">
        <v>10</v>
      </c>
      <c r="PXU7" s="1179"/>
      <c r="PXV7" s="1179"/>
      <c r="PXW7" s="1180"/>
      <c r="PXX7" s="1178" t="s">
        <v>8</v>
      </c>
      <c r="PXY7" s="1179"/>
      <c r="PXZ7" s="1179"/>
      <c r="PYA7" s="1179"/>
      <c r="PYB7" s="1179" t="s">
        <v>10</v>
      </c>
      <c r="PYC7" s="1179"/>
      <c r="PYD7" s="1179"/>
      <c r="PYE7" s="1180"/>
      <c r="PYF7" s="1178" t="s">
        <v>8</v>
      </c>
      <c r="PYG7" s="1179"/>
      <c r="PYH7" s="1179"/>
      <c r="PYI7" s="1179"/>
      <c r="PYJ7" s="1179" t="s">
        <v>10</v>
      </c>
      <c r="PYK7" s="1179"/>
      <c r="PYL7" s="1179"/>
      <c r="PYM7" s="1180"/>
      <c r="PYN7" s="1178" t="s">
        <v>8</v>
      </c>
      <c r="PYO7" s="1179"/>
      <c r="PYP7" s="1179"/>
      <c r="PYQ7" s="1179"/>
      <c r="PYR7" s="1179" t="s">
        <v>10</v>
      </c>
      <c r="PYS7" s="1179"/>
      <c r="PYT7" s="1179"/>
      <c r="PYU7" s="1180"/>
      <c r="PYV7" s="1178" t="s">
        <v>8</v>
      </c>
      <c r="PYW7" s="1179"/>
      <c r="PYX7" s="1179"/>
      <c r="PYY7" s="1179"/>
      <c r="PYZ7" s="1179" t="s">
        <v>10</v>
      </c>
      <c r="PZA7" s="1179"/>
      <c r="PZB7" s="1179"/>
      <c r="PZC7" s="1180"/>
      <c r="PZD7" s="1178" t="s">
        <v>8</v>
      </c>
      <c r="PZE7" s="1179"/>
      <c r="PZF7" s="1179"/>
      <c r="PZG7" s="1179"/>
      <c r="PZH7" s="1179" t="s">
        <v>10</v>
      </c>
      <c r="PZI7" s="1179"/>
      <c r="PZJ7" s="1179"/>
      <c r="PZK7" s="1180"/>
      <c r="PZL7" s="1178" t="s">
        <v>8</v>
      </c>
      <c r="PZM7" s="1179"/>
      <c r="PZN7" s="1179"/>
      <c r="PZO7" s="1179"/>
      <c r="PZP7" s="1179" t="s">
        <v>10</v>
      </c>
      <c r="PZQ7" s="1179"/>
      <c r="PZR7" s="1179"/>
      <c r="PZS7" s="1180"/>
      <c r="PZT7" s="1178" t="s">
        <v>8</v>
      </c>
      <c r="PZU7" s="1179"/>
      <c r="PZV7" s="1179"/>
      <c r="PZW7" s="1179"/>
      <c r="PZX7" s="1179" t="s">
        <v>10</v>
      </c>
      <c r="PZY7" s="1179"/>
      <c r="PZZ7" s="1179"/>
      <c r="QAA7" s="1180"/>
      <c r="QAB7" s="1178" t="s">
        <v>8</v>
      </c>
      <c r="QAC7" s="1179"/>
      <c r="QAD7" s="1179"/>
      <c r="QAE7" s="1179"/>
      <c r="QAF7" s="1179" t="s">
        <v>10</v>
      </c>
      <c r="QAG7" s="1179"/>
      <c r="QAH7" s="1179"/>
      <c r="QAI7" s="1180"/>
      <c r="QAJ7" s="1178" t="s">
        <v>8</v>
      </c>
      <c r="QAK7" s="1179"/>
      <c r="QAL7" s="1179"/>
      <c r="QAM7" s="1179"/>
      <c r="QAN7" s="1179" t="s">
        <v>10</v>
      </c>
      <c r="QAO7" s="1179"/>
      <c r="QAP7" s="1179"/>
      <c r="QAQ7" s="1180"/>
      <c r="QAR7" s="1178" t="s">
        <v>8</v>
      </c>
      <c r="QAS7" s="1179"/>
      <c r="QAT7" s="1179"/>
      <c r="QAU7" s="1179"/>
      <c r="QAV7" s="1179" t="s">
        <v>10</v>
      </c>
      <c r="QAW7" s="1179"/>
      <c r="QAX7" s="1179"/>
      <c r="QAY7" s="1180"/>
      <c r="QAZ7" s="1178" t="s">
        <v>8</v>
      </c>
      <c r="QBA7" s="1179"/>
      <c r="QBB7" s="1179"/>
      <c r="QBC7" s="1179"/>
      <c r="QBD7" s="1179" t="s">
        <v>10</v>
      </c>
      <c r="QBE7" s="1179"/>
      <c r="QBF7" s="1179"/>
      <c r="QBG7" s="1180"/>
      <c r="QBH7" s="1178" t="s">
        <v>8</v>
      </c>
      <c r="QBI7" s="1179"/>
      <c r="QBJ7" s="1179"/>
      <c r="QBK7" s="1179"/>
      <c r="QBL7" s="1179" t="s">
        <v>10</v>
      </c>
      <c r="QBM7" s="1179"/>
      <c r="QBN7" s="1179"/>
      <c r="QBO7" s="1180"/>
      <c r="QBP7" s="1178" t="s">
        <v>8</v>
      </c>
      <c r="QBQ7" s="1179"/>
      <c r="QBR7" s="1179"/>
      <c r="QBS7" s="1179"/>
      <c r="QBT7" s="1179" t="s">
        <v>10</v>
      </c>
      <c r="QBU7" s="1179"/>
      <c r="QBV7" s="1179"/>
      <c r="QBW7" s="1180"/>
      <c r="QBX7" s="1178" t="s">
        <v>8</v>
      </c>
      <c r="QBY7" s="1179"/>
      <c r="QBZ7" s="1179"/>
      <c r="QCA7" s="1179"/>
      <c r="QCB7" s="1179" t="s">
        <v>10</v>
      </c>
      <c r="QCC7" s="1179"/>
      <c r="QCD7" s="1179"/>
      <c r="QCE7" s="1180"/>
      <c r="QCF7" s="1178" t="s">
        <v>8</v>
      </c>
      <c r="QCG7" s="1179"/>
      <c r="QCH7" s="1179"/>
      <c r="QCI7" s="1179"/>
      <c r="QCJ7" s="1179" t="s">
        <v>10</v>
      </c>
      <c r="QCK7" s="1179"/>
      <c r="QCL7" s="1179"/>
      <c r="QCM7" s="1180"/>
      <c r="QCN7" s="1178" t="s">
        <v>8</v>
      </c>
      <c r="QCO7" s="1179"/>
      <c r="QCP7" s="1179"/>
      <c r="QCQ7" s="1179"/>
      <c r="QCR7" s="1179" t="s">
        <v>10</v>
      </c>
      <c r="QCS7" s="1179"/>
      <c r="QCT7" s="1179"/>
      <c r="QCU7" s="1180"/>
      <c r="QCV7" s="1178" t="s">
        <v>8</v>
      </c>
      <c r="QCW7" s="1179"/>
      <c r="QCX7" s="1179"/>
      <c r="QCY7" s="1179"/>
      <c r="QCZ7" s="1179" t="s">
        <v>10</v>
      </c>
      <c r="QDA7" s="1179"/>
      <c r="QDB7" s="1179"/>
      <c r="QDC7" s="1180"/>
      <c r="QDD7" s="1178" t="s">
        <v>8</v>
      </c>
      <c r="QDE7" s="1179"/>
      <c r="QDF7" s="1179"/>
      <c r="QDG7" s="1179"/>
      <c r="QDH7" s="1179" t="s">
        <v>10</v>
      </c>
      <c r="QDI7" s="1179"/>
      <c r="QDJ7" s="1179"/>
      <c r="QDK7" s="1180"/>
      <c r="QDL7" s="1178" t="s">
        <v>8</v>
      </c>
      <c r="QDM7" s="1179"/>
      <c r="QDN7" s="1179"/>
      <c r="QDO7" s="1179"/>
      <c r="QDP7" s="1179" t="s">
        <v>10</v>
      </c>
      <c r="QDQ7" s="1179"/>
      <c r="QDR7" s="1179"/>
      <c r="QDS7" s="1180"/>
      <c r="QDT7" s="1178" t="s">
        <v>8</v>
      </c>
      <c r="QDU7" s="1179"/>
      <c r="QDV7" s="1179"/>
      <c r="QDW7" s="1179"/>
      <c r="QDX7" s="1179" t="s">
        <v>10</v>
      </c>
      <c r="QDY7" s="1179"/>
      <c r="QDZ7" s="1179"/>
      <c r="QEA7" s="1180"/>
      <c r="QEB7" s="1178" t="s">
        <v>8</v>
      </c>
      <c r="QEC7" s="1179"/>
      <c r="QED7" s="1179"/>
      <c r="QEE7" s="1179"/>
      <c r="QEF7" s="1179" t="s">
        <v>10</v>
      </c>
      <c r="QEG7" s="1179"/>
      <c r="QEH7" s="1179"/>
      <c r="QEI7" s="1180"/>
      <c r="QEJ7" s="1178" t="s">
        <v>8</v>
      </c>
      <c r="QEK7" s="1179"/>
      <c r="QEL7" s="1179"/>
      <c r="QEM7" s="1179"/>
      <c r="QEN7" s="1179" t="s">
        <v>10</v>
      </c>
      <c r="QEO7" s="1179"/>
      <c r="QEP7" s="1179"/>
      <c r="QEQ7" s="1180"/>
      <c r="QER7" s="1178" t="s">
        <v>8</v>
      </c>
      <c r="QES7" s="1179"/>
      <c r="QET7" s="1179"/>
      <c r="QEU7" s="1179"/>
      <c r="QEV7" s="1179" t="s">
        <v>10</v>
      </c>
      <c r="QEW7" s="1179"/>
      <c r="QEX7" s="1179"/>
      <c r="QEY7" s="1180"/>
      <c r="QEZ7" s="1178" t="s">
        <v>8</v>
      </c>
      <c r="QFA7" s="1179"/>
      <c r="QFB7" s="1179"/>
      <c r="QFC7" s="1179"/>
      <c r="QFD7" s="1179" t="s">
        <v>10</v>
      </c>
      <c r="QFE7" s="1179"/>
      <c r="QFF7" s="1179"/>
      <c r="QFG7" s="1180"/>
      <c r="QFH7" s="1178" t="s">
        <v>8</v>
      </c>
      <c r="QFI7" s="1179"/>
      <c r="QFJ7" s="1179"/>
      <c r="QFK7" s="1179"/>
      <c r="QFL7" s="1179" t="s">
        <v>10</v>
      </c>
      <c r="QFM7" s="1179"/>
      <c r="QFN7" s="1179"/>
      <c r="QFO7" s="1180"/>
      <c r="QFP7" s="1178" t="s">
        <v>8</v>
      </c>
      <c r="QFQ7" s="1179"/>
      <c r="QFR7" s="1179"/>
      <c r="QFS7" s="1179"/>
      <c r="QFT7" s="1179" t="s">
        <v>10</v>
      </c>
      <c r="QFU7" s="1179"/>
      <c r="QFV7" s="1179"/>
      <c r="QFW7" s="1180"/>
      <c r="QFX7" s="1178" t="s">
        <v>8</v>
      </c>
      <c r="QFY7" s="1179"/>
      <c r="QFZ7" s="1179"/>
      <c r="QGA7" s="1179"/>
      <c r="QGB7" s="1179" t="s">
        <v>10</v>
      </c>
      <c r="QGC7" s="1179"/>
      <c r="QGD7" s="1179"/>
      <c r="QGE7" s="1180"/>
      <c r="QGF7" s="1178" t="s">
        <v>8</v>
      </c>
      <c r="QGG7" s="1179"/>
      <c r="QGH7" s="1179"/>
      <c r="QGI7" s="1179"/>
      <c r="QGJ7" s="1179" t="s">
        <v>10</v>
      </c>
      <c r="QGK7" s="1179"/>
      <c r="QGL7" s="1179"/>
      <c r="QGM7" s="1180"/>
      <c r="QGN7" s="1178" t="s">
        <v>8</v>
      </c>
      <c r="QGO7" s="1179"/>
      <c r="QGP7" s="1179"/>
      <c r="QGQ7" s="1179"/>
      <c r="QGR7" s="1179" t="s">
        <v>10</v>
      </c>
      <c r="QGS7" s="1179"/>
      <c r="QGT7" s="1179"/>
      <c r="QGU7" s="1180"/>
      <c r="QGV7" s="1178" t="s">
        <v>8</v>
      </c>
      <c r="QGW7" s="1179"/>
      <c r="QGX7" s="1179"/>
      <c r="QGY7" s="1179"/>
      <c r="QGZ7" s="1179" t="s">
        <v>10</v>
      </c>
      <c r="QHA7" s="1179"/>
      <c r="QHB7" s="1179"/>
      <c r="QHC7" s="1180"/>
      <c r="QHD7" s="1178" t="s">
        <v>8</v>
      </c>
      <c r="QHE7" s="1179"/>
      <c r="QHF7" s="1179"/>
      <c r="QHG7" s="1179"/>
      <c r="QHH7" s="1179" t="s">
        <v>10</v>
      </c>
      <c r="QHI7" s="1179"/>
      <c r="QHJ7" s="1179"/>
      <c r="QHK7" s="1180"/>
      <c r="QHL7" s="1178" t="s">
        <v>8</v>
      </c>
      <c r="QHM7" s="1179"/>
      <c r="QHN7" s="1179"/>
      <c r="QHO7" s="1179"/>
      <c r="QHP7" s="1179" t="s">
        <v>10</v>
      </c>
      <c r="QHQ7" s="1179"/>
      <c r="QHR7" s="1179"/>
      <c r="QHS7" s="1180"/>
      <c r="QHT7" s="1178" t="s">
        <v>8</v>
      </c>
      <c r="QHU7" s="1179"/>
      <c r="QHV7" s="1179"/>
      <c r="QHW7" s="1179"/>
      <c r="QHX7" s="1179" t="s">
        <v>10</v>
      </c>
      <c r="QHY7" s="1179"/>
      <c r="QHZ7" s="1179"/>
      <c r="QIA7" s="1180"/>
      <c r="QIB7" s="1178" t="s">
        <v>8</v>
      </c>
      <c r="QIC7" s="1179"/>
      <c r="QID7" s="1179"/>
      <c r="QIE7" s="1179"/>
      <c r="QIF7" s="1179" t="s">
        <v>10</v>
      </c>
      <c r="QIG7" s="1179"/>
      <c r="QIH7" s="1179"/>
      <c r="QII7" s="1180"/>
      <c r="QIJ7" s="1178" t="s">
        <v>8</v>
      </c>
      <c r="QIK7" s="1179"/>
      <c r="QIL7" s="1179"/>
      <c r="QIM7" s="1179"/>
      <c r="QIN7" s="1179" t="s">
        <v>10</v>
      </c>
      <c r="QIO7" s="1179"/>
      <c r="QIP7" s="1179"/>
      <c r="QIQ7" s="1180"/>
      <c r="QIR7" s="1178" t="s">
        <v>8</v>
      </c>
      <c r="QIS7" s="1179"/>
      <c r="QIT7" s="1179"/>
      <c r="QIU7" s="1179"/>
      <c r="QIV7" s="1179" t="s">
        <v>10</v>
      </c>
      <c r="QIW7" s="1179"/>
      <c r="QIX7" s="1179"/>
      <c r="QIY7" s="1180"/>
      <c r="QIZ7" s="1178" t="s">
        <v>8</v>
      </c>
      <c r="QJA7" s="1179"/>
      <c r="QJB7" s="1179"/>
      <c r="QJC7" s="1179"/>
      <c r="QJD7" s="1179" t="s">
        <v>10</v>
      </c>
      <c r="QJE7" s="1179"/>
      <c r="QJF7" s="1179"/>
      <c r="QJG7" s="1180"/>
      <c r="QJH7" s="1178" t="s">
        <v>8</v>
      </c>
      <c r="QJI7" s="1179"/>
      <c r="QJJ7" s="1179"/>
      <c r="QJK7" s="1179"/>
      <c r="QJL7" s="1179" t="s">
        <v>10</v>
      </c>
      <c r="QJM7" s="1179"/>
      <c r="QJN7" s="1179"/>
      <c r="QJO7" s="1180"/>
      <c r="QJP7" s="1178" t="s">
        <v>8</v>
      </c>
      <c r="QJQ7" s="1179"/>
      <c r="QJR7" s="1179"/>
      <c r="QJS7" s="1179"/>
      <c r="QJT7" s="1179" t="s">
        <v>10</v>
      </c>
      <c r="QJU7" s="1179"/>
      <c r="QJV7" s="1179"/>
      <c r="QJW7" s="1180"/>
      <c r="QJX7" s="1178" t="s">
        <v>8</v>
      </c>
      <c r="QJY7" s="1179"/>
      <c r="QJZ7" s="1179"/>
      <c r="QKA7" s="1179"/>
      <c r="QKB7" s="1179" t="s">
        <v>10</v>
      </c>
      <c r="QKC7" s="1179"/>
      <c r="QKD7" s="1179"/>
      <c r="QKE7" s="1180"/>
      <c r="QKF7" s="1178" t="s">
        <v>8</v>
      </c>
      <c r="QKG7" s="1179"/>
      <c r="QKH7" s="1179"/>
      <c r="QKI7" s="1179"/>
      <c r="QKJ7" s="1179" t="s">
        <v>10</v>
      </c>
      <c r="QKK7" s="1179"/>
      <c r="QKL7" s="1179"/>
      <c r="QKM7" s="1180"/>
      <c r="QKN7" s="1178" t="s">
        <v>8</v>
      </c>
      <c r="QKO7" s="1179"/>
      <c r="QKP7" s="1179"/>
      <c r="QKQ7" s="1179"/>
      <c r="QKR7" s="1179" t="s">
        <v>10</v>
      </c>
      <c r="QKS7" s="1179"/>
      <c r="QKT7" s="1179"/>
      <c r="QKU7" s="1180"/>
      <c r="QKV7" s="1178" t="s">
        <v>8</v>
      </c>
      <c r="QKW7" s="1179"/>
      <c r="QKX7" s="1179"/>
      <c r="QKY7" s="1179"/>
      <c r="QKZ7" s="1179" t="s">
        <v>10</v>
      </c>
      <c r="QLA7" s="1179"/>
      <c r="QLB7" s="1179"/>
      <c r="QLC7" s="1180"/>
      <c r="QLD7" s="1178" t="s">
        <v>8</v>
      </c>
      <c r="QLE7" s="1179"/>
      <c r="QLF7" s="1179"/>
      <c r="QLG7" s="1179"/>
      <c r="QLH7" s="1179" t="s">
        <v>10</v>
      </c>
      <c r="QLI7" s="1179"/>
      <c r="QLJ7" s="1179"/>
      <c r="QLK7" s="1180"/>
      <c r="QLL7" s="1178" t="s">
        <v>8</v>
      </c>
      <c r="QLM7" s="1179"/>
      <c r="QLN7" s="1179"/>
      <c r="QLO7" s="1179"/>
      <c r="QLP7" s="1179" t="s">
        <v>10</v>
      </c>
      <c r="QLQ7" s="1179"/>
      <c r="QLR7" s="1179"/>
      <c r="QLS7" s="1180"/>
      <c r="QLT7" s="1178" t="s">
        <v>8</v>
      </c>
      <c r="QLU7" s="1179"/>
      <c r="QLV7" s="1179"/>
      <c r="QLW7" s="1179"/>
      <c r="QLX7" s="1179" t="s">
        <v>10</v>
      </c>
      <c r="QLY7" s="1179"/>
      <c r="QLZ7" s="1179"/>
      <c r="QMA7" s="1180"/>
      <c r="QMB7" s="1178" t="s">
        <v>8</v>
      </c>
      <c r="QMC7" s="1179"/>
      <c r="QMD7" s="1179"/>
      <c r="QME7" s="1179"/>
      <c r="QMF7" s="1179" t="s">
        <v>10</v>
      </c>
      <c r="QMG7" s="1179"/>
      <c r="QMH7" s="1179"/>
      <c r="QMI7" s="1180"/>
      <c r="QMJ7" s="1178" t="s">
        <v>8</v>
      </c>
      <c r="QMK7" s="1179"/>
      <c r="QML7" s="1179"/>
      <c r="QMM7" s="1179"/>
      <c r="QMN7" s="1179" t="s">
        <v>10</v>
      </c>
      <c r="QMO7" s="1179"/>
      <c r="QMP7" s="1179"/>
      <c r="QMQ7" s="1180"/>
      <c r="QMR7" s="1178" t="s">
        <v>8</v>
      </c>
      <c r="QMS7" s="1179"/>
      <c r="QMT7" s="1179"/>
      <c r="QMU7" s="1179"/>
      <c r="QMV7" s="1179" t="s">
        <v>10</v>
      </c>
      <c r="QMW7" s="1179"/>
      <c r="QMX7" s="1179"/>
      <c r="QMY7" s="1180"/>
      <c r="QMZ7" s="1178" t="s">
        <v>8</v>
      </c>
      <c r="QNA7" s="1179"/>
      <c r="QNB7" s="1179"/>
      <c r="QNC7" s="1179"/>
      <c r="QND7" s="1179" t="s">
        <v>10</v>
      </c>
      <c r="QNE7" s="1179"/>
      <c r="QNF7" s="1179"/>
      <c r="QNG7" s="1180"/>
      <c r="QNH7" s="1178" t="s">
        <v>8</v>
      </c>
      <c r="QNI7" s="1179"/>
      <c r="QNJ7" s="1179"/>
      <c r="QNK7" s="1179"/>
      <c r="QNL7" s="1179" t="s">
        <v>10</v>
      </c>
      <c r="QNM7" s="1179"/>
      <c r="QNN7" s="1179"/>
      <c r="QNO7" s="1180"/>
      <c r="QNP7" s="1178" t="s">
        <v>8</v>
      </c>
      <c r="QNQ7" s="1179"/>
      <c r="QNR7" s="1179"/>
      <c r="QNS7" s="1179"/>
      <c r="QNT7" s="1179" t="s">
        <v>10</v>
      </c>
      <c r="QNU7" s="1179"/>
      <c r="QNV7" s="1179"/>
      <c r="QNW7" s="1180"/>
      <c r="QNX7" s="1178" t="s">
        <v>8</v>
      </c>
      <c r="QNY7" s="1179"/>
      <c r="QNZ7" s="1179"/>
      <c r="QOA7" s="1179"/>
      <c r="QOB7" s="1179" t="s">
        <v>10</v>
      </c>
      <c r="QOC7" s="1179"/>
      <c r="QOD7" s="1179"/>
      <c r="QOE7" s="1180"/>
      <c r="QOF7" s="1178" t="s">
        <v>8</v>
      </c>
      <c r="QOG7" s="1179"/>
      <c r="QOH7" s="1179"/>
      <c r="QOI7" s="1179"/>
      <c r="QOJ7" s="1179" t="s">
        <v>10</v>
      </c>
      <c r="QOK7" s="1179"/>
      <c r="QOL7" s="1179"/>
      <c r="QOM7" s="1180"/>
      <c r="QON7" s="1178" t="s">
        <v>8</v>
      </c>
      <c r="QOO7" s="1179"/>
      <c r="QOP7" s="1179"/>
      <c r="QOQ7" s="1179"/>
      <c r="QOR7" s="1179" t="s">
        <v>10</v>
      </c>
      <c r="QOS7" s="1179"/>
      <c r="QOT7" s="1179"/>
      <c r="QOU7" s="1180"/>
      <c r="QOV7" s="1178" t="s">
        <v>8</v>
      </c>
      <c r="QOW7" s="1179"/>
      <c r="QOX7" s="1179"/>
      <c r="QOY7" s="1179"/>
      <c r="QOZ7" s="1179" t="s">
        <v>10</v>
      </c>
      <c r="QPA7" s="1179"/>
      <c r="QPB7" s="1179"/>
      <c r="QPC7" s="1180"/>
      <c r="QPD7" s="1178" t="s">
        <v>8</v>
      </c>
      <c r="QPE7" s="1179"/>
      <c r="QPF7" s="1179"/>
      <c r="QPG7" s="1179"/>
      <c r="QPH7" s="1179" t="s">
        <v>10</v>
      </c>
      <c r="QPI7" s="1179"/>
      <c r="QPJ7" s="1179"/>
      <c r="QPK7" s="1180"/>
      <c r="QPL7" s="1178" t="s">
        <v>8</v>
      </c>
      <c r="QPM7" s="1179"/>
      <c r="QPN7" s="1179"/>
      <c r="QPO7" s="1179"/>
      <c r="QPP7" s="1179" t="s">
        <v>10</v>
      </c>
      <c r="QPQ7" s="1179"/>
      <c r="QPR7" s="1179"/>
      <c r="QPS7" s="1180"/>
      <c r="QPT7" s="1178" t="s">
        <v>8</v>
      </c>
      <c r="QPU7" s="1179"/>
      <c r="QPV7" s="1179"/>
      <c r="QPW7" s="1179"/>
      <c r="QPX7" s="1179" t="s">
        <v>10</v>
      </c>
      <c r="QPY7" s="1179"/>
      <c r="QPZ7" s="1179"/>
      <c r="QQA7" s="1180"/>
      <c r="QQB7" s="1178" t="s">
        <v>8</v>
      </c>
      <c r="QQC7" s="1179"/>
      <c r="QQD7" s="1179"/>
      <c r="QQE7" s="1179"/>
      <c r="QQF7" s="1179" t="s">
        <v>10</v>
      </c>
      <c r="QQG7" s="1179"/>
      <c r="QQH7" s="1179"/>
      <c r="QQI7" s="1180"/>
      <c r="QQJ7" s="1178" t="s">
        <v>8</v>
      </c>
      <c r="QQK7" s="1179"/>
      <c r="QQL7" s="1179"/>
      <c r="QQM7" s="1179"/>
      <c r="QQN7" s="1179" t="s">
        <v>10</v>
      </c>
      <c r="QQO7" s="1179"/>
      <c r="QQP7" s="1179"/>
      <c r="QQQ7" s="1180"/>
      <c r="QQR7" s="1178" t="s">
        <v>8</v>
      </c>
      <c r="QQS7" s="1179"/>
      <c r="QQT7" s="1179"/>
      <c r="QQU7" s="1179"/>
      <c r="QQV7" s="1179" t="s">
        <v>10</v>
      </c>
      <c r="QQW7" s="1179"/>
      <c r="QQX7" s="1179"/>
      <c r="QQY7" s="1180"/>
      <c r="QQZ7" s="1178" t="s">
        <v>8</v>
      </c>
      <c r="QRA7" s="1179"/>
      <c r="QRB7" s="1179"/>
      <c r="QRC7" s="1179"/>
      <c r="QRD7" s="1179" t="s">
        <v>10</v>
      </c>
      <c r="QRE7" s="1179"/>
      <c r="QRF7" s="1179"/>
      <c r="QRG7" s="1180"/>
      <c r="QRH7" s="1178" t="s">
        <v>8</v>
      </c>
      <c r="QRI7" s="1179"/>
      <c r="QRJ7" s="1179"/>
      <c r="QRK7" s="1179"/>
      <c r="QRL7" s="1179" t="s">
        <v>10</v>
      </c>
      <c r="QRM7" s="1179"/>
      <c r="QRN7" s="1179"/>
      <c r="QRO7" s="1180"/>
      <c r="QRP7" s="1178" t="s">
        <v>8</v>
      </c>
      <c r="QRQ7" s="1179"/>
      <c r="QRR7" s="1179"/>
      <c r="QRS7" s="1179"/>
      <c r="QRT7" s="1179" t="s">
        <v>10</v>
      </c>
      <c r="QRU7" s="1179"/>
      <c r="QRV7" s="1179"/>
      <c r="QRW7" s="1180"/>
      <c r="QRX7" s="1178" t="s">
        <v>8</v>
      </c>
      <c r="QRY7" s="1179"/>
      <c r="QRZ7" s="1179"/>
      <c r="QSA7" s="1179"/>
      <c r="QSB7" s="1179" t="s">
        <v>10</v>
      </c>
      <c r="QSC7" s="1179"/>
      <c r="QSD7" s="1179"/>
      <c r="QSE7" s="1180"/>
      <c r="QSF7" s="1178" t="s">
        <v>8</v>
      </c>
      <c r="QSG7" s="1179"/>
      <c r="QSH7" s="1179"/>
      <c r="QSI7" s="1179"/>
      <c r="QSJ7" s="1179" t="s">
        <v>10</v>
      </c>
      <c r="QSK7" s="1179"/>
      <c r="QSL7" s="1179"/>
      <c r="QSM7" s="1180"/>
      <c r="QSN7" s="1178" t="s">
        <v>8</v>
      </c>
      <c r="QSO7" s="1179"/>
      <c r="QSP7" s="1179"/>
      <c r="QSQ7" s="1179"/>
      <c r="QSR7" s="1179" t="s">
        <v>10</v>
      </c>
      <c r="QSS7" s="1179"/>
      <c r="QST7" s="1179"/>
      <c r="QSU7" s="1180"/>
      <c r="QSV7" s="1178" t="s">
        <v>8</v>
      </c>
      <c r="QSW7" s="1179"/>
      <c r="QSX7" s="1179"/>
      <c r="QSY7" s="1179"/>
      <c r="QSZ7" s="1179" t="s">
        <v>10</v>
      </c>
      <c r="QTA7" s="1179"/>
      <c r="QTB7" s="1179"/>
      <c r="QTC7" s="1180"/>
      <c r="QTD7" s="1178" t="s">
        <v>8</v>
      </c>
      <c r="QTE7" s="1179"/>
      <c r="QTF7" s="1179"/>
      <c r="QTG7" s="1179"/>
      <c r="QTH7" s="1179" t="s">
        <v>10</v>
      </c>
      <c r="QTI7" s="1179"/>
      <c r="QTJ7" s="1179"/>
      <c r="QTK7" s="1180"/>
      <c r="QTL7" s="1178" t="s">
        <v>8</v>
      </c>
      <c r="QTM7" s="1179"/>
      <c r="QTN7" s="1179"/>
      <c r="QTO7" s="1179"/>
      <c r="QTP7" s="1179" t="s">
        <v>10</v>
      </c>
      <c r="QTQ7" s="1179"/>
      <c r="QTR7" s="1179"/>
      <c r="QTS7" s="1180"/>
      <c r="QTT7" s="1178" t="s">
        <v>8</v>
      </c>
      <c r="QTU7" s="1179"/>
      <c r="QTV7" s="1179"/>
      <c r="QTW7" s="1179"/>
      <c r="QTX7" s="1179" t="s">
        <v>10</v>
      </c>
      <c r="QTY7" s="1179"/>
      <c r="QTZ7" s="1179"/>
      <c r="QUA7" s="1180"/>
      <c r="QUB7" s="1178" t="s">
        <v>8</v>
      </c>
      <c r="QUC7" s="1179"/>
      <c r="QUD7" s="1179"/>
      <c r="QUE7" s="1179"/>
      <c r="QUF7" s="1179" t="s">
        <v>10</v>
      </c>
      <c r="QUG7" s="1179"/>
      <c r="QUH7" s="1179"/>
      <c r="QUI7" s="1180"/>
      <c r="QUJ7" s="1178" t="s">
        <v>8</v>
      </c>
      <c r="QUK7" s="1179"/>
      <c r="QUL7" s="1179"/>
      <c r="QUM7" s="1179"/>
      <c r="QUN7" s="1179" t="s">
        <v>10</v>
      </c>
      <c r="QUO7" s="1179"/>
      <c r="QUP7" s="1179"/>
      <c r="QUQ7" s="1180"/>
      <c r="QUR7" s="1178" t="s">
        <v>8</v>
      </c>
      <c r="QUS7" s="1179"/>
      <c r="QUT7" s="1179"/>
      <c r="QUU7" s="1179"/>
      <c r="QUV7" s="1179" t="s">
        <v>10</v>
      </c>
      <c r="QUW7" s="1179"/>
      <c r="QUX7" s="1179"/>
      <c r="QUY7" s="1180"/>
      <c r="QUZ7" s="1178" t="s">
        <v>8</v>
      </c>
      <c r="QVA7" s="1179"/>
      <c r="QVB7" s="1179"/>
      <c r="QVC7" s="1179"/>
      <c r="QVD7" s="1179" t="s">
        <v>10</v>
      </c>
      <c r="QVE7" s="1179"/>
      <c r="QVF7" s="1179"/>
      <c r="QVG7" s="1180"/>
      <c r="QVH7" s="1178" t="s">
        <v>8</v>
      </c>
      <c r="QVI7" s="1179"/>
      <c r="QVJ7" s="1179"/>
      <c r="QVK7" s="1179"/>
      <c r="QVL7" s="1179" t="s">
        <v>10</v>
      </c>
      <c r="QVM7" s="1179"/>
      <c r="QVN7" s="1179"/>
      <c r="QVO7" s="1180"/>
      <c r="QVP7" s="1178" t="s">
        <v>8</v>
      </c>
      <c r="QVQ7" s="1179"/>
      <c r="QVR7" s="1179"/>
      <c r="QVS7" s="1179"/>
      <c r="QVT7" s="1179" t="s">
        <v>10</v>
      </c>
      <c r="QVU7" s="1179"/>
      <c r="QVV7" s="1179"/>
      <c r="QVW7" s="1180"/>
      <c r="QVX7" s="1178" t="s">
        <v>8</v>
      </c>
      <c r="QVY7" s="1179"/>
      <c r="QVZ7" s="1179"/>
      <c r="QWA7" s="1179"/>
      <c r="QWB7" s="1179" t="s">
        <v>10</v>
      </c>
      <c r="QWC7" s="1179"/>
      <c r="QWD7" s="1179"/>
      <c r="QWE7" s="1180"/>
      <c r="QWF7" s="1178" t="s">
        <v>8</v>
      </c>
      <c r="QWG7" s="1179"/>
      <c r="QWH7" s="1179"/>
      <c r="QWI7" s="1179"/>
      <c r="QWJ7" s="1179" t="s">
        <v>10</v>
      </c>
      <c r="QWK7" s="1179"/>
      <c r="QWL7" s="1179"/>
      <c r="QWM7" s="1180"/>
      <c r="QWN7" s="1178" t="s">
        <v>8</v>
      </c>
      <c r="QWO7" s="1179"/>
      <c r="QWP7" s="1179"/>
      <c r="QWQ7" s="1179"/>
      <c r="QWR7" s="1179" t="s">
        <v>10</v>
      </c>
      <c r="QWS7" s="1179"/>
      <c r="QWT7" s="1179"/>
      <c r="QWU7" s="1180"/>
      <c r="QWV7" s="1178" t="s">
        <v>8</v>
      </c>
      <c r="QWW7" s="1179"/>
      <c r="QWX7" s="1179"/>
      <c r="QWY7" s="1179"/>
      <c r="QWZ7" s="1179" t="s">
        <v>10</v>
      </c>
      <c r="QXA7" s="1179"/>
      <c r="QXB7" s="1179"/>
      <c r="QXC7" s="1180"/>
      <c r="QXD7" s="1178" t="s">
        <v>8</v>
      </c>
      <c r="QXE7" s="1179"/>
      <c r="QXF7" s="1179"/>
      <c r="QXG7" s="1179"/>
      <c r="QXH7" s="1179" t="s">
        <v>10</v>
      </c>
      <c r="QXI7" s="1179"/>
      <c r="QXJ7" s="1179"/>
      <c r="QXK7" s="1180"/>
      <c r="QXL7" s="1178" t="s">
        <v>8</v>
      </c>
      <c r="QXM7" s="1179"/>
      <c r="QXN7" s="1179"/>
      <c r="QXO7" s="1179"/>
      <c r="QXP7" s="1179" t="s">
        <v>10</v>
      </c>
      <c r="QXQ7" s="1179"/>
      <c r="QXR7" s="1179"/>
      <c r="QXS7" s="1180"/>
      <c r="QXT7" s="1178" t="s">
        <v>8</v>
      </c>
      <c r="QXU7" s="1179"/>
      <c r="QXV7" s="1179"/>
      <c r="QXW7" s="1179"/>
      <c r="QXX7" s="1179" t="s">
        <v>10</v>
      </c>
      <c r="QXY7" s="1179"/>
      <c r="QXZ7" s="1179"/>
      <c r="QYA7" s="1180"/>
      <c r="QYB7" s="1178" t="s">
        <v>8</v>
      </c>
      <c r="QYC7" s="1179"/>
      <c r="QYD7" s="1179"/>
      <c r="QYE7" s="1179"/>
      <c r="QYF7" s="1179" t="s">
        <v>10</v>
      </c>
      <c r="QYG7" s="1179"/>
      <c r="QYH7" s="1179"/>
      <c r="QYI7" s="1180"/>
      <c r="QYJ7" s="1178" t="s">
        <v>8</v>
      </c>
      <c r="QYK7" s="1179"/>
      <c r="QYL7" s="1179"/>
      <c r="QYM7" s="1179"/>
      <c r="QYN7" s="1179" t="s">
        <v>10</v>
      </c>
      <c r="QYO7" s="1179"/>
      <c r="QYP7" s="1179"/>
      <c r="QYQ7" s="1180"/>
      <c r="QYR7" s="1178" t="s">
        <v>8</v>
      </c>
      <c r="QYS7" s="1179"/>
      <c r="QYT7" s="1179"/>
      <c r="QYU7" s="1179"/>
      <c r="QYV7" s="1179" t="s">
        <v>10</v>
      </c>
      <c r="QYW7" s="1179"/>
      <c r="QYX7" s="1179"/>
      <c r="QYY7" s="1180"/>
      <c r="QYZ7" s="1178" t="s">
        <v>8</v>
      </c>
      <c r="QZA7" s="1179"/>
      <c r="QZB7" s="1179"/>
      <c r="QZC7" s="1179"/>
      <c r="QZD7" s="1179" t="s">
        <v>10</v>
      </c>
      <c r="QZE7" s="1179"/>
      <c r="QZF7" s="1179"/>
      <c r="QZG7" s="1180"/>
      <c r="QZH7" s="1178" t="s">
        <v>8</v>
      </c>
      <c r="QZI7" s="1179"/>
      <c r="QZJ7" s="1179"/>
      <c r="QZK7" s="1179"/>
      <c r="QZL7" s="1179" t="s">
        <v>10</v>
      </c>
      <c r="QZM7" s="1179"/>
      <c r="QZN7" s="1179"/>
      <c r="QZO7" s="1180"/>
      <c r="QZP7" s="1178" t="s">
        <v>8</v>
      </c>
      <c r="QZQ7" s="1179"/>
      <c r="QZR7" s="1179"/>
      <c r="QZS7" s="1179"/>
      <c r="QZT7" s="1179" t="s">
        <v>10</v>
      </c>
      <c r="QZU7" s="1179"/>
      <c r="QZV7" s="1179"/>
      <c r="QZW7" s="1180"/>
      <c r="QZX7" s="1178" t="s">
        <v>8</v>
      </c>
      <c r="QZY7" s="1179"/>
      <c r="QZZ7" s="1179"/>
      <c r="RAA7" s="1179"/>
      <c r="RAB7" s="1179" t="s">
        <v>10</v>
      </c>
      <c r="RAC7" s="1179"/>
      <c r="RAD7" s="1179"/>
      <c r="RAE7" s="1180"/>
      <c r="RAF7" s="1178" t="s">
        <v>8</v>
      </c>
      <c r="RAG7" s="1179"/>
      <c r="RAH7" s="1179"/>
      <c r="RAI7" s="1179"/>
      <c r="RAJ7" s="1179" t="s">
        <v>10</v>
      </c>
      <c r="RAK7" s="1179"/>
      <c r="RAL7" s="1179"/>
      <c r="RAM7" s="1180"/>
      <c r="RAN7" s="1178" t="s">
        <v>8</v>
      </c>
      <c r="RAO7" s="1179"/>
      <c r="RAP7" s="1179"/>
      <c r="RAQ7" s="1179"/>
      <c r="RAR7" s="1179" t="s">
        <v>10</v>
      </c>
      <c r="RAS7" s="1179"/>
      <c r="RAT7" s="1179"/>
      <c r="RAU7" s="1180"/>
      <c r="RAV7" s="1178" t="s">
        <v>8</v>
      </c>
      <c r="RAW7" s="1179"/>
      <c r="RAX7" s="1179"/>
      <c r="RAY7" s="1179"/>
      <c r="RAZ7" s="1179" t="s">
        <v>10</v>
      </c>
      <c r="RBA7" s="1179"/>
      <c r="RBB7" s="1179"/>
      <c r="RBC7" s="1180"/>
      <c r="RBD7" s="1178" t="s">
        <v>8</v>
      </c>
      <c r="RBE7" s="1179"/>
      <c r="RBF7" s="1179"/>
      <c r="RBG7" s="1179"/>
      <c r="RBH7" s="1179" t="s">
        <v>10</v>
      </c>
      <c r="RBI7" s="1179"/>
      <c r="RBJ7" s="1179"/>
      <c r="RBK7" s="1180"/>
      <c r="RBL7" s="1178" t="s">
        <v>8</v>
      </c>
      <c r="RBM7" s="1179"/>
      <c r="RBN7" s="1179"/>
      <c r="RBO7" s="1179"/>
      <c r="RBP7" s="1179" t="s">
        <v>10</v>
      </c>
      <c r="RBQ7" s="1179"/>
      <c r="RBR7" s="1179"/>
      <c r="RBS7" s="1180"/>
      <c r="RBT7" s="1178" t="s">
        <v>8</v>
      </c>
      <c r="RBU7" s="1179"/>
      <c r="RBV7" s="1179"/>
      <c r="RBW7" s="1179"/>
      <c r="RBX7" s="1179" t="s">
        <v>10</v>
      </c>
      <c r="RBY7" s="1179"/>
      <c r="RBZ7" s="1179"/>
      <c r="RCA7" s="1180"/>
      <c r="RCB7" s="1178" t="s">
        <v>8</v>
      </c>
      <c r="RCC7" s="1179"/>
      <c r="RCD7" s="1179"/>
      <c r="RCE7" s="1179"/>
      <c r="RCF7" s="1179" t="s">
        <v>10</v>
      </c>
      <c r="RCG7" s="1179"/>
      <c r="RCH7" s="1179"/>
      <c r="RCI7" s="1180"/>
      <c r="RCJ7" s="1178" t="s">
        <v>8</v>
      </c>
      <c r="RCK7" s="1179"/>
      <c r="RCL7" s="1179"/>
      <c r="RCM7" s="1179"/>
      <c r="RCN7" s="1179" t="s">
        <v>10</v>
      </c>
      <c r="RCO7" s="1179"/>
      <c r="RCP7" s="1179"/>
      <c r="RCQ7" s="1180"/>
      <c r="RCR7" s="1178" t="s">
        <v>8</v>
      </c>
      <c r="RCS7" s="1179"/>
      <c r="RCT7" s="1179"/>
      <c r="RCU7" s="1179"/>
      <c r="RCV7" s="1179" t="s">
        <v>10</v>
      </c>
      <c r="RCW7" s="1179"/>
      <c r="RCX7" s="1179"/>
      <c r="RCY7" s="1180"/>
      <c r="RCZ7" s="1178" t="s">
        <v>8</v>
      </c>
      <c r="RDA7" s="1179"/>
      <c r="RDB7" s="1179"/>
      <c r="RDC7" s="1179"/>
      <c r="RDD7" s="1179" t="s">
        <v>10</v>
      </c>
      <c r="RDE7" s="1179"/>
      <c r="RDF7" s="1179"/>
      <c r="RDG7" s="1180"/>
      <c r="RDH7" s="1178" t="s">
        <v>8</v>
      </c>
      <c r="RDI7" s="1179"/>
      <c r="RDJ7" s="1179"/>
      <c r="RDK7" s="1179"/>
      <c r="RDL7" s="1179" t="s">
        <v>10</v>
      </c>
      <c r="RDM7" s="1179"/>
      <c r="RDN7" s="1179"/>
      <c r="RDO7" s="1180"/>
      <c r="RDP7" s="1178" t="s">
        <v>8</v>
      </c>
      <c r="RDQ7" s="1179"/>
      <c r="RDR7" s="1179"/>
      <c r="RDS7" s="1179"/>
      <c r="RDT7" s="1179" t="s">
        <v>10</v>
      </c>
      <c r="RDU7" s="1179"/>
      <c r="RDV7" s="1179"/>
      <c r="RDW7" s="1180"/>
      <c r="RDX7" s="1178" t="s">
        <v>8</v>
      </c>
      <c r="RDY7" s="1179"/>
      <c r="RDZ7" s="1179"/>
      <c r="REA7" s="1179"/>
      <c r="REB7" s="1179" t="s">
        <v>10</v>
      </c>
      <c r="REC7" s="1179"/>
      <c r="RED7" s="1179"/>
      <c r="REE7" s="1180"/>
      <c r="REF7" s="1178" t="s">
        <v>8</v>
      </c>
      <c r="REG7" s="1179"/>
      <c r="REH7" s="1179"/>
      <c r="REI7" s="1179"/>
      <c r="REJ7" s="1179" t="s">
        <v>10</v>
      </c>
      <c r="REK7" s="1179"/>
      <c r="REL7" s="1179"/>
      <c r="REM7" s="1180"/>
      <c r="REN7" s="1178" t="s">
        <v>8</v>
      </c>
      <c r="REO7" s="1179"/>
      <c r="REP7" s="1179"/>
      <c r="REQ7" s="1179"/>
      <c r="RER7" s="1179" t="s">
        <v>10</v>
      </c>
      <c r="RES7" s="1179"/>
      <c r="RET7" s="1179"/>
      <c r="REU7" s="1180"/>
      <c r="REV7" s="1178" t="s">
        <v>8</v>
      </c>
      <c r="REW7" s="1179"/>
      <c r="REX7" s="1179"/>
      <c r="REY7" s="1179"/>
      <c r="REZ7" s="1179" t="s">
        <v>10</v>
      </c>
      <c r="RFA7" s="1179"/>
      <c r="RFB7" s="1179"/>
      <c r="RFC7" s="1180"/>
      <c r="RFD7" s="1178" t="s">
        <v>8</v>
      </c>
      <c r="RFE7" s="1179"/>
      <c r="RFF7" s="1179"/>
      <c r="RFG7" s="1179"/>
      <c r="RFH7" s="1179" t="s">
        <v>10</v>
      </c>
      <c r="RFI7" s="1179"/>
      <c r="RFJ7" s="1179"/>
      <c r="RFK7" s="1180"/>
      <c r="RFL7" s="1178" t="s">
        <v>8</v>
      </c>
      <c r="RFM7" s="1179"/>
      <c r="RFN7" s="1179"/>
      <c r="RFO7" s="1179"/>
      <c r="RFP7" s="1179" t="s">
        <v>10</v>
      </c>
      <c r="RFQ7" s="1179"/>
      <c r="RFR7" s="1179"/>
      <c r="RFS7" s="1180"/>
      <c r="RFT7" s="1178" t="s">
        <v>8</v>
      </c>
      <c r="RFU7" s="1179"/>
      <c r="RFV7" s="1179"/>
      <c r="RFW7" s="1179"/>
      <c r="RFX7" s="1179" t="s">
        <v>10</v>
      </c>
      <c r="RFY7" s="1179"/>
      <c r="RFZ7" s="1179"/>
      <c r="RGA7" s="1180"/>
      <c r="RGB7" s="1178" t="s">
        <v>8</v>
      </c>
      <c r="RGC7" s="1179"/>
      <c r="RGD7" s="1179"/>
      <c r="RGE7" s="1179"/>
      <c r="RGF7" s="1179" t="s">
        <v>10</v>
      </c>
      <c r="RGG7" s="1179"/>
      <c r="RGH7" s="1179"/>
      <c r="RGI7" s="1180"/>
      <c r="RGJ7" s="1178" t="s">
        <v>8</v>
      </c>
      <c r="RGK7" s="1179"/>
      <c r="RGL7" s="1179"/>
      <c r="RGM7" s="1179"/>
      <c r="RGN7" s="1179" t="s">
        <v>10</v>
      </c>
      <c r="RGO7" s="1179"/>
      <c r="RGP7" s="1179"/>
      <c r="RGQ7" s="1180"/>
      <c r="RGR7" s="1178" t="s">
        <v>8</v>
      </c>
      <c r="RGS7" s="1179"/>
      <c r="RGT7" s="1179"/>
      <c r="RGU7" s="1179"/>
      <c r="RGV7" s="1179" t="s">
        <v>10</v>
      </c>
      <c r="RGW7" s="1179"/>
      <c r="RGX7" s="1179"/>
      <c r="RGY7" s="1180"/>
      <c r="RGZ7" s="1178" t="s">
        <v>8</v>
      </c>
      <c r="RHA7" s="1179"/>
      <c r="RHB7" s="1179"/>
      <c r="RHC7" s="1179"/>
      <c r="RHD7" s="1179" t="s">
        <v>10</v>
      </c>
      <c r="RHE7" s="1179"/>
      <c r="RHF7" s="1179"/>
      <c r="RHG7" s="1180"/>
      <c r="RHH7" s="1178" t="s">
        <v>8</v>
      </c>
      <c r="RHI7" s="1179"/>
      <c r="RHJ7" s="1179"/>
      <c r="RHK7" s="1179"/>
      <c r="RHL7" s="1179" t="s">
        <v>10</v>
      </c>
      <c r="RHM7" s="1179"/>
      <c r="RHN7" s="1179"/>
      <c r="RHO7" s="1180"/>
      <c r="RHP7" s="1178" t="s">
        <v>8</v>
      </c>
      <c r="RHQ7" s="1179"/>
      <c r="RHR7" s="1179"/>
      <c r="RHS7" s="1179"/>
      <c r="RHT7" s="1179" t="s">
        <v>10</v>
      </c>
      <c r="RHU7" s="1179"/>
      <c r="RHV7" s="1179"/>
      <c r="RHW7" s="1180"/>
      <c r="RHX7" s="1178" t="s">
        <v>8</v>
      </c>
      <c r="RHY7" s="1179"/>
      <c r="RHZ7" s="1179"/>
      <c r="RIA7" s="1179"/>
      <c r="RIB7" s="1179" t="s">
        <v>10</v>
      </c>
      <c r="RIC7" s="1179"/>
      <c r="RID7" s="1179"/>
      <c r="RIE7" s="1180"/>
      <c r="RIF7" s="1178" t="s">
        <v>8</v>
      </c>
      <c r="RIG7" s="1179"/>
      <c r="RIH7" s="1179"/>
      <c r="RII7" s="1179"/>
      <c r="RIJ7" s="1179" t="s">
        <v>10</v>
      </c>
      <c r="RIK7" s="1179"/>
      <c r="RIL7" s="1179"/>
      <c r="RIM7" s="1180"/>
      <c r="RIN7" s="1178" t="s">
        <v>8</v>
      </c>
      <c r="RIO7" s="1179"/>
      <c r="RIP7" s="1179"/>
      <c r="RIQ7" s="1179"/>
      <c r="RIR7" s="1179" t="s">
        <v>10</v>
      </c>
      <c r="RIS7" s="1179"/>
      <c r="RIT7" s="1179"/>
      <c r="RIU7" s="1180"/>
      <c r="RIV7" s="1178" t="s">
        <v>8</v>
      </c>
      <c r="RIW7" s="1179"/>
      <c r="RIX7" s="1179"/>
      <c r="RIY7" s="1179"/>
      <c r="RIZ7" s="1179" t="s">
        <v>10</v>
      </c>
      <c r="RJA7" s="1179"/>
      <c r="RJB7" s="1179"/>
      <c r="RJC7" s="1180"/>
      <c r="RJD7" s="1178" t="s">
        <v>8</v>
      </c>
      <c r="RJE7" s="1179"/>
      <c r="RJF7" s="1179"/>
      <c r="RJG7" s="1179"/>
      <c r="RJH7" s="1179" t="s">
        <v>10</v>
      </c>
      <c r="RJI7" s="1179"/>
      <c r="RJJ7" s="1179"/>
      <c r="RJK7" s="1180"/>
      <c r="RJL7" s="1178" t="s">
        <v>8</v>
      </c>
      <c r="RJM7" s="1179"/>
      <c r="RJN7" s="1179"/>
      <c r="RJO7" s="1179"/>
      <c r="RJP7" s="1179" t="s">
        <v>10</v>
      </c>
      <c r="RJQ7" s="1179"/>
      <c r="RJR7" s="1179"/>
      <c r="RJS7" s="1180"/>
      <c r="RJT7" s="1178" t="s">
        <v>8</v>
      </c>
      <c r="RJU7" s="1179"/>
      <c r="RJV7" s="1179"/>
      <c r="RJW7" s="1179"/>
      <c r="RJX7" s="1179" t="s">
        <v>10</v>
      </c>
      <c r="RJY7" s="1179"/>
      <c r="RJZ7" s="1179"/>
      <c r="RKA7" s="1180"/>
      <c r="RKB7" s="1178" t="s">
        <v>8</v>
      </c>
      <c r="RKC7" s="1179"/>
      <c r="RKD7" s="1179"/>
      <c r="RKE7" s="1179"/>
      <c r="RKF7" s="1179" t="s">
        <v>10</v>
      </c>
      <c r="RKG7" s="1179"/>
      <c r="RKH7" s="1179"/>
      <c r="RKI7" s="1180"/>
      <c r="RKJ7" s="1178" t="s">
        <v>8</v>
      </c>
      <c r="RKK7" s="1179"/>
      <c r="RKL7" s="1179"/>
      <c r="RKM7" s="1179"/>
      <c r="RKN7" s="1179" t="s">
        <v>10</v>
      </c>
      <c r="RKO7" s="1179"/>
      <c r="RKP7" s="1179"/>
      <c r="RKQ7" s="1180"/>
      <c r="RKR7" s="1178" t="s">
        <v>8</v>
      </c>
      <c r="RKS7" s="1179"/>
      <c r="RKT7" s="1179"/>
      <c r="RKU7" s="1179"/>
      <c r="RKV7" s="1179" t="s">
        <v>10</v>
      </c>
      <c r="RKW7" s="1179"/>
      <c r="RKX7" s="1179"/>
      <c r="RKY7" s="1180"/>
      <c r="RKZ7" s="1178" t="s">
        <v>8</v>
      </c>
      <c r="RLA7" s="1179"/>
      <c r="RLB7" s="1179"/>
      <c r="RLC7" s="1179"/>
      <c r="RLD7" s="1179" t="s">
        <v>10</v>
      </c>
      <c r="RLE7" s="1179"/>
      <c r="RLF7" s="1179"/>
      <c r="RLG7" s="1180"/>
      <c r="RLH7" s="1178" t="s">
        <v>8</v>
      </c>
      <c r="RLI7" s="1179"/>
      <c r="RLJ7" s="1179"/>
      <c r="RLK7" s="1179"/>
      <c r="RLL7" s="1179" t="s">
        <v>10</v>
      </c>
      <c r="RLM7" s="1179"/>
      <c r="RLN7" s="1179"/>
      <c r="RLO7" s="1180"/>
      <c r="RLP7" s="1178" t="s">
        <v>8</v>
      </c>
      <c r="RLQ7" s="1179"/>
      <c r="RLR7" s="1179"/>
      <c r="RLS7" s="1179"/>
      <c r="RLT7" s="1179" t="s">
        <v>10</v>
      </c>
      <c r="RLU7" s="1179"/>
      <c r="RLV7" s="1179"/>
      <c r="RLW7" s="1180"/>
      <c r="RLX7" s="1178" t="s">
        <v>8</v>
      </c>
      <c r="RLY7" s="1179"/>
      <c r="RLZ7" s="1179"/>
      <c r="RMA7" s="1179"/>
      <c r="RMB7" s="1179" t="s">
        <v>10</v>
      </c>
      <c r="RMC7" s="1179"/>
      <c r="RMD7" s="1179"/>
      <c r="RME7" s="1180"/>
      <c r="RMF7" s="1178" t="s">
        <v>8</v>
      </c>
      <c r="RMG7" s="1179"/>
      <c r="RMH7" s="1179"/>
      <c r="RMI7" s="1179"/>
      <c r="RMJ7" s="1179" t="s">
        <v>10</v>
      </c>
      <c r="RMK7" s="1179"/>
      <c r="RML7" s="1179"/>
      <c r="RMM7" s="1180"/>
      <c r="RMN7" s="1178" t="s">
        <v>8</v>
      </c>
      <c r="RMO7" s="1179"/>
      <c r="RMP7" s="1179"/>
      <c r="RMQ7" s="1179"/>
      <c r="RMR7" s="1179" t="s">
        <v>10</v>
      </c>
      <c r="RMS7" s="1179"/>
      <c r="RMT7" s="1179"/>
      <c r="RMU7" s="1180"/>
      <c r="RMV7" s="1178" t="s">
        <v>8</v>
      </c>
      <c r="RMW7" s="1179"/>
      <c r="RMX7" s="1179"/>
      <c r="RMY7" s="1179"/>
      <c r="RMZ7" s="1179" t="s">
        <v>10</v>
      </c>
      <c r="RNA7" s="1179"/>
      <c r="RNB7" s="1179"/>
      <c r="RNC7" s="1180"/>
      <c r="RND7" s="1178" t="s">
        <v>8</v>
      </c>
      <c r="RNE7" s="1179"/>
      <c r="RNF7" s="1179"/>
      <c r="RNG7" s="1179"/>
      <c r="RNH7" s="1179" t="s">
        <v>10</v>
      </c>
      <c r="RNI7" s="1179"/>
      <c r="RNJ7" s="1179"/>
      <c r="RNK7" s="1180"/>
      <c r="RNL7" s="1178" t="s">
        <v>8</v>
      </c>
      <c r="RNM7" s="1179"/>
      <c r="RNN7" s="1179"/>
      <c r="RNO7" s="1179"/>
      <c r="RNP7" s="1179" t="s">
        <v>10</v>
      </c>
      <c r="RNQ7" s="1179"/>
      <c r="RNR7" s="1179"/>
      <c r="RNS7" s="1180"/>
      <c r="RNT7" s="1178" t="s">
        <v>8</v>
      </c>
      <c r="RNU7" s="1179"/>
      <c r="RNV7" s="1179"/>
      <c r="RNW7" s="1179"/>
      <c r="RNX7" s="1179" t="s">
        <v>10</v>
      </c>
      <c r="RNY7" s="1179"/>
      <c r="RNZ7" s="1179"/>
      <c r="ROA7" s="1180"/>
      <c r="ROB7" s="1178" t="s">
        <v>8</v>
      </c>
      <c r="ROC7" s="1179"/>
      <c r="ROD7" s="1179"/>
      <c r="ROE7" s="1179"/>
      <c r="ROF7" s="1179" t="s">
        <v>10</v>
      </c>
      <c r="ROG7" s="1179"/>
      <c r="ROH7" s="1179"/>
      <c r="ROI7" s="1180"/>
      <c r="ROJ7" s="1178" t="s">
        <v>8</v>
      </c>
      <c r="ROK7" s="1179"/>
      <c r="ROL7" s="1179"/>
      <c r="ROM7" s="1179"/>
      <c r="RON7" s="1179" t="s">
        <v>10</v>
      </c>
      <c r="ROO7" s="1179"/>
      <c r="ROP7" s="1179"/>
      <c r="ROQ7" s="1180"/>
      <c r="ROR7" s="1178" t="s">
        <v>8</v>
      </c>
      <c r="ROS7" s="1179"/>
      <c r="ROT7" s="1179"/>
      <c r="ROU7" s="1179"/>
      <c r="ROV7" s="1179" t="s">
        <v>10</v>
      </c>
      <c r="ROW7" s="1179"/>
      <c r="ROX7" s="1179"/>
      <c r="ROY7" s="1180"/>
      <c r="ROZ7" s="1178" t="s">
        <v>8</v>
      </c>
      <c r="RPA7" s="1179"/>
      <c r="RPB7" s="1179"/>
      <c r="RPC7" s="1179"/>
      <c r="RPD7" s="1179" t="s">
        <v>10</v>
      </c>
      <c r="RPE7" s="1179"/>
      <c r="RPF7" s="1179"/>
      <c r="RPG7" s="1180"/>
      <c r="RPH7" s="1178" t="s">
        <v>8</v>
      </c>
      <c r="RPI7" s="1179"/>
      <c r="RPJ7" s="1179"/>
      <c r="RPK7" s="1179"/>
      <c r="RPL7" s="1179" t="s">
        <v>10</v>
      </c>
      <c r="RPM7" s="1179"/>
      <c r="RPN7" s="1179"/>
      <c r="RPO7" s="1180"/>
      <c r="RPP7" s="1178" t="s">
        <v>8</v>
      </c>
      <c r="RPQ7" s="1179"/>
      <c r="RPR7" s="1179"/>
      <c r="RPS7" s="1179"/>
      <c r="RPT7" s="1179" t="s">
        <v>10</v>
      </c>
      <c r="RPU7" s="1179"/>
      <c r="RPV7" s="1179"/>
      <c r="RPW7" s="1180"/>
      <c r="RPX7" s="1178" t="s">
        <v>8</v>
      </c>
      <c r="RPY7" s="1179"/>
      <c r="RPZ7" s="1179"/>
      <c r="RQA7" s="1179"/>
      <c r="RQB7" s="1179" t="s">
        <v>10</v>
      </c>
      <c r="RQC7" s="1179"/>
      <c r="RQD7" s="1179"/>
      <c r="RQE7" s="1180"/>
      <c r="RQF7" s="1178" t="s">
        <v>8</v>
      </c>
      <c r="RQG7" s="1179"/>
      <c r="RQH7" s="1179"/>
      <c r="RQI7" s="1179"/>
      <c r="RQJ7" s="1179" t="s">
        <v>10</v>
      </c>
      <c r="RQK7" s="1179"/>
      <c r="RQL7" s="1179"/>
      <c r="RQM7" s="1180"/>
      <c r="RQN7" s="1178" t="s">
        <v>8</v>
      </c>
      <c r="RQO7" s="1179"/>
      <c r="RQP7" s="1179"/>
      <c r="RQQ7" s="1179"/>
      <c r="RQR7" s="1179" t="s">
        <v>10</v>
      </c>
      <c r="RQS7" s="1179"/>
      <c r="RQT7" s="1179"/>
      <c r="RQU7" s="1180"/>
      <c r="RQV7" s="1178" t="s">
        <v>8</v>
      </c>
      <c r="RQW7" s="1179"/>
      <c r="RQX7" s="1179"/>
      <c r="RQY7" s="1179"/>
      <c r="RQZ7" s="1179" t="s">
        <v>10</v>
      </c>
      <c r="RRA7" s="1179"/>
      <c r="RRB7" s="1179"/>
      <c r="RRC7" s="1180"/>
      <c r="RRD7" s="1178" t="s">
        <v>8</v>
      </c>
      <c r="RRE7" s="1179"/>
      <c r="RRF7" s="1179"/>
      <c r="RRG7" s="1179"/>
      <c r="RRH7" s="1179" t="s">
        <v>10</v>
      </c>
      <c r="RRI7" s="1179"/>
      <c r="RRJ7" s="1179"/>
      <c r="RRK7" s="1180"/>
      <c r="RRL7" s="1178" t="s">
        <v>8</v>
      </c>
      <c r="RRM7" s="1179"/>
      <c r="RRN7" s="1179"/>
      <c r="RRO7" s="1179"/>
      <c r="RRP7" s="1179" t="s">
        <v>10</v>
      </c>
      <c r="RRQ7" s="1179"/>
      <c r="RRR7" s="1179"/>
      <c r="RRS7" s="1180"/>
      <c r="RRT7" s="1178" t="s">
        <v>8</v>
      </c>
      <c r="RRU7" s="1179"/>
      <c r="RRV7" s="1179"/>
      <c r="RRW7" s="1179"/>
      <c r="RRX7" s="1179" t="s">
        <v>10</v>
      </c>
      <c r="RRY7" s="1179"/>
      <c r="RRZ7" s="1179"/>
      <c r="RSA7" s="1180"/>
      <c r="RSB7" s="1178" t="s">
        <v>8</v>
      </c>
      <c r="RSC7" s="1179"/>
      <c r="RSD7" s="1179"/>
      <c r="RSE7" s="1179"/>
      <c r="RSF7" s="1179" t="s">
        <v>10</v>
      </c>
      <c r="RSG7" s="1179"/>
      <c r="RSH7" s="1179"/>
      <c r="RSI7" s="1180"/>
      <c r="RSJ7" s="1178" t="s">
        <v>8</v>
      </c>
      <c r="RSK7" s="1179"/>
      <c r="RSL7" s="1179"/>
      <c r="RSM7" s="1179"/>
      <c r="RSN7" s="1179" t="s">
        <v>10</v>
      </c>
      <c r="RSO7" s="1179"/>
      <c r="RSP7" s="1179"/>
      <c r="RSQ7" s="1180"/>
      <c r="RSR7" s="1178" t="s">
        <v>8</v>
      </c>
      <c r="RSS7" s="1179"/>
      <c r="RST7" s="1179"/>
      <c r="RSU7" s="1179"/>
      <c r="RSV7" s="1179" t="s">
        <v>10</v>
      </c>
      <c r="RSW7" s="1179"/>
      <c r="RSX7" s="1179"/>
      <c r="RSY7" s="1180"/>
      <c r="RSZ7" s="1178" t="s">
        <v>8</v>
      </c>
      <c r="RTA7" s="1179"/>
      <c r="RTB7" s="1179"/>
      <c r="RTC7" s="1179"/>
      <c r="RTD7" s="1179" t="s">
        <v>10</v>
      </c>
      <c r="RTE7" s="1179"/>
      <c r="RTF7" s="1179"/>
      <c r="RTG7" s="1180"/>
      <c r="RTH7" s="1178" t="s">
        <v>8</v>
      </c>
      <c r="RTI7" s="1179"/>
      <c r="RTJ7" s="1179"/>
      <c r="RTK7" s="1179"/>
      <c r="RTL7" s="1179" t="s">
        <v>10</v>
      </c>
      <c r="RTM7" s="1179"/>
      <c r="RTN7" s="1179"/>
      <c r="RTO7" s="1180"/>
      <c r="RTP7" s="1178" t="s">
        <v>8</v>
      </c>
      <c r="RTQ7" s="1179"/>
      <c r="RTR7" s="1179"/>
      <c r="RTS7" s="1179"/>
      <c r="RTT7" s="1179" t="s">
        <v>10</v>
      </c>
      <c r="RTU7" s="1179"/>
      <c r="RTV7" s="1179"/>
      <c r="RTW7" s="1180"/>
      <c r="RTX7" s="1178" t="s">
        <v>8</v>
      </c>
      <c r="RTY7" s="1179"/>
      <c r="RTZ7" s="1179"/>
      <c r="RUA7" s="1179"/>
      <c r="RUB7" s="1179" t="s">
        <v>10</v>
      </c>
      <c r="RUC7" s="1179"/>
      <c r="RUD7" s="1179"/>
      <c r="RUE7" s="1180"/>
      <c r="RUF7" s="1178" t="s">
        <v>8</v>
      </c>
      <c r="RUG7" s="1179"/>
      <c r="RUH7" s="1179"/>
      <c r="RUI7" s="1179"/>
      <c r="RUJ7" s="1179" t="s">
        <v>10</v>
      </c>
      <c r="RUK7" s="1179"/>
      <c r="RUL7" s="1179"/>
      <c r="RUM7" s="1180"/>
      <c r="RUN7" s="1178" t="s">
        <v>8</v>
      </c>
      <c r="RUO7" s="1179"/>
      <c r="RUP7" s="1179"/>
      <c r="RUQ7" s="1179"/>
      <c r="RUR7" s="1179" t="s">
        <v>10</v>
      </c>
      <c r="RUS7" s="1179"/>
      <c r="RUT7" s="1179"/>
      <c r="RUU7" s="1180"/>
      <c r="RUV7" s="1178" t="s">
        <v>8</v>
      </c>
      <c r="RUW7" s="1179"/>
      <c r="RUX7" s="1179"/>
      <c r="RUY7" s="1179"/>
      <c r="RUZ7" s="1179" t="s">
        <v>10</v>
      </c>
      <c r="RVA7" s="1179"/>
      <c r="RVB7" s="1179"/>
      <c r="RVC7" s="1180"/>
      <c r="RVD7" s="1178" t="s">
        <v>8</v>
      </c>
      <c r="RVE7" s="1179"/>
      <c r="RVF7" s="1179"/>
      <c r="RVG7" s="1179"/>
      <c r="RVH7" s="1179" t="s">
        <v>10</v>
      </c>
      <c r="RVI7" s="1179"/>
      <c r="RVJ7" s="1179"/>
      <c r="RVK7" s="1180"/>
      <c r="RVL7" s="1178" t="s">
        <v>8</v>
      </c>
      <c r="RVM7" s="1179"/>
      <c r="RVN7" s="1179"/>
      <c r="RVO7" s="1179"/>
      <c r="RVP7" s="1179" t="s">
        <v>10</v>
      </c>
      <c r="RVQ7" s="1179"/>
      <c r="RVR7" s="1179"/>
      <c r="RVS7" s="1180"/>
      <c r="RVT7" s="1178" t="s">
        <v>8</v>
      </c>
      <c r="RVU7" s="1179"/>
      <c r="RVV7" s="1179"/>
      <c r="RVW7" s="1179"/>
      <c r="RVX7" s="1179" t="s">
        <v>10</v>
      </c>
      <c r="RVY7" s="1179"/>
      <c r="RVZ7" s="1179"/>
      <c r="RWA7" s="1180"/>
      <c r="RWB7" s="1178" t="s">
        <v>8</v>
      </c>
      <c r="RWC7" s="1179"/>
      <c r="RWD7" s="1179"/>
      <c r="RWE7" s="1179"/>
      <c r="RWF7" s="1179" t="s">
        <v>10</v>
      </c>
      <c r="RWG7" s="1179"/>
      <c r="RWH7" s="1179"/>
      <c r="RWI7" s="1180"/>
      <c r="RWJ7" s="1178" t="s">
        <v>8</v>
      </c>
      <c r="RWK7" s="1179"/>
      <c r="RWL7" s="1179"/>
      <c r="RWM7" s="1179"/>
      <c r="RWN7" s="1179" t="s">
        <v>10</v>
      </c>
      <c r="RWO7" s="1179"/>
      <c r="RWP7" s="1179"/>
      <c r="RWQ7" s="1180"/>
      <c r="RWR7" s="1178" t="s">
        <v>8</v>
      </c>
      <c r="RWS7" s="1179"/>
      <c r="RWT7" s="1179"/>
      <c r="RWU7" s="1179"/>
      <c r="RWV7" s="1179" t="s">
        <v>10</v>
      </c>
      <c r="RWW7" s="1179"/>
      <c r="RWX7" s="1179"/>
      <c r="RWY7" s="1180"/>
      <c r="RWZ7" s="1178" t="s">
        <v>8</v>
      </c>
      <c r="RXA7" s="1179"/>
      <c r="RXB7" s="1179"/>
      <c r="RXC7" s="1179"/>
      <c r="RXD7" s="1179" t="s">
        <v>10</v>
      </c>
      <c r="RXE7" s="1179"/>
      <c r="RXF7" s="1179"/>
      <c r="RXG7" s="1180"/>
      <c r="RXH7" s="1178" t="s">
        <v>8</v>
      </c>
      <c r="RXI7" s="1179"/>
      <c r="RXJ7" s="1179"/>
      <c r="RXK7" s="1179"/>
      <c r="RXL7" s="1179" t="s">
        <v>10</v>
      </c>
      <c r="RXM7" s="1179"/>
      <c r="RXN7" s="1179"/>
      <c r="RXO7" s="1180"/>
      <c r="RXP7" s="1178" t="s">
        <v>8</v>
      </c>
      <c r="RXQ7" s="1179"/>
      <c r="RXR7" s="1179"/>
      <c r="RXS7" s="1179"/>
      <c r="RXT7" s="1179" t="s">
        <v>10</v>
      </c>
      <c r="RXU7" s="1179"/>
      <c r="RXV7" s="1179"/>
      <c r="RXW7" s="1180"/>
      <c r="RXX7" s="1178" t="s">
        <v>8</v>
      </c>
      <c r="RXY7" s="1179"/>
      <c r="RXZ7" s="1179"/>
      <c r="RYA7" s="1179"/>
      <c r="RYB7" s="1179" t="s">
        <v>10</v>
      </c>
      <c r="RYC7" s="1179"/>
      <c r="RYD7" s="1179"/>
      <c r="RYE7" s="1180"/>
      <c r="RYF7" s="1178" t="s">
        <v>8</v>
      </c>
      <c r="RYG7" s="1179"/>
      <c r="RYH7" s="1179"/>
      <c r="RYI7" s="1179"/>
      <c r="RYJ7" s="1179" t="s">
        <v>10</v>
      </c>
      <c r="RYK7" s="1179"/>
      <c r="RYL7" s="1179"/>
      <c r="RYM7" s="1180"/>
      <c r="RYN7" s="1178" t="s">
        <v>8</v>
      </c>
      <c r="RYO7" s="1179"/>
      <c r="RYP7" s="1179"/>
      <c r="RYQ7" s="1179"/>
      <c r="RYR7" s="1179" t="s">
        <v>10</v>
      </c>
      <c r="RYS7" s="1179"/>
      <c r="RYT7" s="1179"/>
      <c r="RYU7" s="1180"/>
      <c r="RYV7" s="1178" t="s">
        <v>8</v>
      </c>
      <c r="RYW7" s="1179"/>
      <c r="RYX7" s="1179"/>
      <c r="RYY7" s="1179"/>
      <c r="RYZ7" s="1179" t="s">
        <v>10</v>
      </c>
      <c r="RZA7" s="1179"/>
      <c r="RZB7" s="1179"/>
      <c r="RZC7" s="1180"/>
      <c r="RZD7" s="1178" t="s">
        <v>8</v>
      </c>
      <c r="RZE7" s="1179"/>
      <c r="RZF7" s="1179"/>
      <c r="RZG7" s="1179"/>
      <c r="RZH7" s="1179" t="s">
        <v>10</v>
      </c>
      <c r="RZI7" s="1179"/>
      <c r="RZJ7" s="1179"/>
      <c r="RZK7" s="1180"/>
      <c r="RZL7" s="1178" t="s">
        <v>8</v>
      </c>
      <c r="RZM7" s="1179"/>
      <c r="RZN7" s="1179"/>
      <c r="RZO7" s="1179"/>
      <c r="RZP7" s="1179" t="s">
        <v>10</v>
      </c>
      <c r="RZQ7" s="1179"/>
      <c r="RZR7" s="1179"/>
      <c r="RZS7" s="1180"/>
      <c r="RZT7" s="1178" t="s">
        <v>8</v>
      </c>
      <c r="RZU7" s="1179"/>
      <c r="RZV7" s="1179"/>
      <c r="RZW7" s="1179"/>
      <c r="RZX7" s="1179" t="s">
        <v>10</v>
      </c>
      <c r="RZY7" s="1179"/>
      <c r="RZZ7" s="1179"/>
      <c r="SAA7" s="1180"/>
      <c r="SAB7" s="1178" t="s">
        <v>8</v>
      </c>
      <c r="SAC7" s="1179"/>
      <c r="SAD7" s="1179"/>
      <c r="SAE7" s="1179"/>
      <c r="SAF7" s="1179" t="s">
        <v>10</v>
      </c>
      <c r="SAG7" s="1179"/>
      <c r="SAH7" s="1179"/>
      <c r="SAI7" s="1180"/>
      <c r="SAJ7" s="1178" t="s">
        <v>8</v>
      </c>
      <c r="SAK7" s="1179"/>
      <c r="SAL7" s="1179"/>
      <c r="SAM7" s="1179"/>
      <c r="SAN7" s="1179" t="s">
        <v>10</v>
      </c>
      <c r="SAO7" s="1179"/>
      <c r="SAP7" s="1179"/>
      <c r="SAQ7" s="1180"/>
      <c r="SAR7" s="1178" t="s">
        <v>8</v>
      </c>
      <c r="SAS7" s="1179"/>
      <c r="SAT7" s="1179"/>
      <c r="SAU7" s="1179"/>
      <c r="SAV7" s="1179" t="s">
        <v>10</v>
      </c>
      <c r="SAW7" s="1179"/>
      <c r="SAX7" s="1179"/>
      <c r="SAY7" s="1180"/>
      <c r="SAZ7" s="1178" t="s">
        <v>8</v>
      </c>
      <c r="SBA7" s="1179"/>
      <c r="SBB7" s="1179"/>
      <c r="SBC7" s="1179"/>
      <c r="SBD7" s="1179" t="s">
        <v>10</v>
      </c>
      <c r="SBE7" s="1179"/>
      <c r="SBF7" s="1179"/>
      <c r="SBG7" s="1180"/>
      <c r="SBH7" s="1178" t="s">
        <v>8</v>
      </c>
      <c r="SBI7" s="1179"/>
      <c r="SBJ7" s="1179"/>
      <c r="SBK7" s="1179"/>
      <c r="SBL7" s="1179" t="s">
        <v>10</v>
      </c>
      <c r="SBM7" s="1179"/>
      <c r="SBN7" s="1179"/>
      <c r="SBO7" s="1180"/>
      <c r="SBP7" s="1178" t="s">
        <v>8</v>
      </c>
      <c r="SBQ7" s="1179"/>
      <c r="SBR7" s="1179"/>
      <c r="SBS7" s="1179"/>
      <c r="SBT7" s="1179" t="s">
        <v>10</v>
      </c>
      <c r="SBU7" s="1179"/>
      <c r="SBV7" s="1179"/>
      <c r="SBW7" s="1180"/>
      <c r="SBX7" s="1178" t="s">
        <v>8</v>
      </c>
      <c r="SBY7" s="1179"/>
      <c r="SBZ7" s="1179"/>
      <c r="SCA7" s="1179"/>
      <c r="SCB7" s="1179" t="s">
        <v>10</v>
      </c>
      <c r="SCC7" s="1179"/>
      <c r="SCD7" s="1179"/>
      <c r="SCE7" s="1180"/>
      <c r="SCF7" s="1178" t="s">
        <v>8</v>
      </c>
      <c r="SCG7" s="1179"/>
      <c r="SCH7" s="1179"/>
      <c r="SCI7" s="1179"/>
      <c r="SCJ7" s="1179" t="s">
        <v>10</v>
      </c>
      <c r="SCK7" s="1179"/>
      <c r="SCL7" s="1179"/>
      <c r="SCM7" s="1180"/>
      <c r="SCN7" s="1178" t="s">
        <v>8</v>
      </c>
      <c r="SCO7" s="1179"/>
      <c r="SCP7" s="1179"/>
      <c r="SCQ7" s="1179"/>
      <c r="SCR7" s="1179" t="s">
        <v>10</v>
      </c>
      <c r="SCS7" s="1179"/>
      <c r="SCT7" s="1179"/>
      <c r="SCU7" s="1180"/>
      <c r="SCV7" s="1178" t="s">
        <v>8</v>
      </c>
      <c r="SCW7" s="1179"/>
      <c r="SCX7" s="1179"/>
      <c r="SCY7" s="1179"/>
      <c r="SCZ7" s="1179" t="s">
        <v>10</v>
      </c>
      <c r="SDA7" s="1179"/>
      <c r="SDB7" s="1179"/>
      <c r="SDC7" s="1180"/>
      <c r="SDD7" s="1178" t="s">
        <v>8</v>
      </c>
      <c r="SDE7" s="1179"/>
      <c r="SDF7" s="1179"/>
      <c r="SDG7" s="1179"/>
      <c r="SDH7" s="1179" t="s">
        <v>10</v>
      </c>
      <c r="SDI7" s="1179"/>
      <c r="SDJ7" s="1179"/>
      <c r="SDK7" s="1180"/>
      <c r="SDL7" s="1178" t="s">
        <v>8</v>
      </c>
      <c r="SDM7" s="1179"/>
      <c r="SDN7" s="1179"/>
      <c r="SDO7" s="1179"/>
      <c r="SDP7" s="1179" t="s">
        <v>10</v>
      </c>
      <c r="SDQ7" s="1179"/>
      <c r="SDR7" s="1179"/>
      <c r="SDS7" s="1180"/>
      <c r="SDT7" s="1178" t="s">
        <v>8</v>
      </c>
      <c r="SDU7" s="1179"/>
      <c r="SDV7" s="1179"/>
      <c r="SDW7" s="1179"/>
      <c r="SDX7" s="1179" t="s">
        <v>10</v>
      </c>
      <c r="SDY7" s="1179"/>
      <c r="SDZ7" s="1179"/>
      <c r="SEA7" s="1180"/>
      <c r="SEB7" s="1178" t="s">
        <v>8</v>
      </c>
      <c r="SEC7" s="1179"/>
      <c r="SED7" s="1179"/>
      <c r="SEE7" s="1179"/>
      <c r="SEF7" s="1179" t="s">
        <v>10</v>
      </c>
      <c r="SEG7" s="1179"/>
      <c r="SEH7" s="1179"/>
      <c r="SEI7" s="1180"/>
      <c r="SEJ7" s="1178" t="s">
        <v>8</v>
      </c>
      <c r="SEK7" s="1179"/>
      <c r="SEL7" s="1179"/>
      <c r="SEM7" s="1179"/>
      <c r="SEN7" s="1179" t="s">
        <v>10</v>
      </c>
      <c r="SEO7" s="1179"/>
      <c r="SEP7" s="1179"/>
      <c r="SEQ7" s="1180"/>
      <c r="SER7" s="1178" t="s">
        <v>8</v>
      </c>
      <c r="SES7" s="1179"/>
      <c r="SET7" s="1179"/>
      <c r="SEU7" s="1179"/>
      <c r="SEV7" s="1179" t="s">
        <v>10</v>
      </c>
      <c r="SEW7" s="1179"/>
      <c r="SEX7" s="1179"/>
      <c r="SEY7" s="1180"/>
      <c r="SEZ7" s="1178" t="s">
        <v>8</v>
      </c>
      <c r="SFA7" s="1179"/>
      <c r="SFB7" s="1179"/>
      <c r="SFC7" s="1179"/>
      <c r="SFD7" s="1179" t="s">
        <v>10</v>
      </c>
      <c r="SFE7" s="1179"/>
      <c r="SFF7" s="1179"/>
      <c r="SFG7" s="1180"/>
      <c r="SFH7" s="1178" t="s">
        <v>8</v>
      </c>
      <c r="SFI7" s="1179"/>
      <c r="SFJ7" s="1179"/>
      <c r="SFK7" s="1179"/>
      <c r="SFL7" s="1179" t="s">
        <v>10</v>
      </c>
      <c r="SFM7" s="1179"/>
      <c r="SFN7" s="1179"/>
      <c r="SFO7" s="1180"/>
      <c r="SFP7" s="1178" t="s">
        <v>8</v>
      </c>
      <c r="SFQ7" s="1179"/>
      <c r="SFR7" s="1179"/>
      <c r="SFS7" s="1179"/>
      <c r="SFT7" s="1179" t="s">
        <v>10</v>
      </c>
      <c r="SFU7" s="1179"/>
      <c r="SFV7" s="1179"/>
      <c r="SFW7" s="1180"/>
      <c r="SFX7" s="1178" t="s">
        <v>8</v>
      </c>
      <c r="SFY7" s="1179"/>
      <c r="SFZ7" s="1179"/>
      <c r="SGA7" s="1179"/>
      <c r="SGB7" s="1179" t="s">
        <v>10</v>
      </c>
      <c r="SGC7" s="1179"/>
      <c r="SGD7" s="1179"/>
      <c r="SGE7" s="1180"/>
      <c r="SGF7" s="1178" t="s">
        <v>8</v>
      </c>
      <c r="SGG7" s="1179"/>
      <c r="SGH7" s="1179"/>
      <c r="SGI7" s="1179"/>
      <c r="SGJ7" s="1179" t="s">
        <v>10</v>
      </c>
      <c r="SGK7" s="1179"/>
      <c r="SGL7" s="1179"/>
      <c r="SGM7" s="1180"/>
      <c r="SGN7" s="1178" t="s">
        <v>8</v>
      </c>
      <c r="SGO7" s="1179"/>
      <c r="SGP7" s="1179"/>
      <c r="SGQ7" s="1179"/>
      <c r="SGR7" s="1179" t="s">
        <v>10</v>
      </c>
      <c r="SGS7" s="1179"/>
      <c r="SGT7" s="1179"/>
      <c r="SGU7" s="1180"/>
      <c r="SGV7" s="1178" t="s">
        <v>8</v>
      </c>
      <c r="SGW7" s="1179"/>
      <c r="SGX7" s="1179"/>
      <c r="SGY7" s="1179"/>
      <c r="SGZ7" s="1179" t="s">
        <v>10</v>
      </c>
      <c r="SHA7" s="1179"/>
      <c r="SHB7" s="1179"/>
      <c r="SHC7" s="1180"/>
      <c r="SHD7" s="1178" t="s">
        <v>8</v>
      </c>
      <c r="SHE7" s="1179"/>
      <c r="SHF7" s="1179"/>
      <c r="SHG7" s="1179"/>
      <c r="SHH7" s="1179" t="s">
        <v>10</v>
      </c>
      <c r="SHI7" s="1179"/>
      <c r="SHJ7" s="1179"/>
      <c r="SHK7" s="1180"/>
      <c r="SHL7" s="1178" t="s">
        <v>8</v>
      </c>
      <c r="SHM7" s="1179"/>
      <c r="SHN7" s="1179"/>
      <c r="SHO7" s="1179"/>
      <c r="SHP7" s="1179" t="s">
        <v>10</v>
      </c>
      <c r="SHQ7" s="1179"/>
      <c r="SHR7" s="1179"/>
      <c r="SHS7" s="1180"/>
      <c r="SHT7" s="1178" t="s">
        <v>8</v>
      </c>
      <c r="SHU7" s="1179"/>
      <c r="SHV7" s="1179"/>
      <c r="SHW7" s="1179"/>
      <c r="SHX7" s="1179" t="s">
        <v>10</v>
      </c>
      <c r="SHY7" s="1179"/>
      <c r="SHZ7" s="1179"/>
      <c r="SIA7" s="1180"/>
      <c r="SIB7" s="1178" t="s">
        <v>8</v>
      </c>
      <c r="SIC7" s="1179"/>
      <c r="SID7" s="1179"/>
      <c r="SIE7" s="1179"/>
      <c r="SIF7" s="1179" t="s">
        <v>10</v>
      </c>
      <c r="SIG7" s="1179"/>
      <c r="SIH7" s="1179"/>
      <c r="SII7" s="1180"/>
      <c r="SIJ7" s="1178" t="s">
        <v>8</v>
      </c>
      <c r="SIK7" s="1179"/>
      <c r="SIL7" s="1179"/>
      <c r="SIM7" s="1179"/>
      <c r="SIN7" s="1179" t="s">
        <v>10</v>
      </c>
      <c r="SIO7" s="1179"/>
      <c r="SIP7" s="1179"/>
      <c r="SIQ7" s="1180"/>
      <c r="SIR7" s="1178" t="s">
        <v>8</v>
      </c>
      <c r="SIS7" s="1179"/>
      <c r="SIT7" s="1179"/>
      <c r="SIU7" s="1179"/>
      <c r="SIV7" s="1179" t="s">
        <v>10</v>
      </c>
      <c r="SIW7" s="1179"/>
      <c r="SIX7" s="1179"/>
      <c r="SIY7" s="1180"/>
      <c r="SIZ7" s="1178" t="s">
        <v>8</v>
      </c>
      <c r="SJA7" s="1179"/>
      <c r="SJB7" s="1179"/>
      <c r="SJC7" s="1179"/>
      <c r="SJD7" s="1179" t="s">
        <v>10</v>
      </c>
      <c r="SJE7" s="1179"/>
      <c r="SJF7" s="1179"/>
      <c r="SJG7" s="1180"/>
      <c r="SJH7" s="1178" t="s">
        <v>8</v>
      </c>
      <c r="SJI7" s="1179"/>
      <c r="SJJ7" s="1179"/>
      <c r="SJK7" s="1179"/>
      <c r="SJL7" s="1179" t="s">
        <v>10</v>
      </c>
      <c r="SJM7" s="1179"/>
      <c r="SJN7" s="1179"/>
      <c r="SJO7" s="1180"/>
      <c r="SJP7" s="1178" t="s">
        <v>8</v>
      </c>
      <c r="SJQ7" s="1179"/>
      <c r="SJR7" s="1179"/>
      <c r="SJS7" s="1179"/>
      <c r="SJT7" s="1179" t="s">
        <v>10</v>
      </c>
      <c r="SJU7" s="1179"/>
      <c r="SJV7" s="1179"/>
      <c r="SJW7" s="1180"/>
      <c r="SJX7" s="1178" t="s">
        <v>8</v>
      </c>
      <c r="SJY7" s="1179"/>
      <c r="SJZ7" s="1179"/>
      <c r="SKA7" s="1179"/>
      <c r="SKB7" s="1179" t="s">
        <v>10</v>
      </c>
      <c r="SKC7" s="1179"/>
      <c r="SKD7" s="1179"/>
      <c r="SKE7" s="1180"/>
      <c r="SKF7" s="1178" t="s">
        <v>8</v>
      </c>
      <c r="SKG7" s="1179"/>
      <c r="SKH7" s="1179"/>
      <c r="SKI7" s="1179"/>
      <c r="SKJ7" s="1179" t="s">
        <v>10</v>
      </c>
      <c r="SKK7" s="1179"/>
      <c r="SKL7" s="1179"/>
      <c r="SKM7" s="1180"/>
      <c r="SKN7" s="1178" t="s">
        <v>8</v>
      </c>
      <c r="SKO7" s="1179"/>
      <c r="SKP7" s="1179"/>
      <c r="SKQ7" s="1179"/>
      <c r="SKR7" s="1179" t="s">
        <v>10</v>
      </c>
      <c r="SKS7" s="1179"/>
      <c r="SKT7" s="1179"/>
      <c r="SKU7" s="1180"/>
      <c r="SKV7" s="1178" t="s">
        <v>8</v>
      </c>
      <c r="SKW7" s="1179"/>
      <c r="SKX7" s="1179"/>
      <c r="SKY7" s="1179"/>
      <c r="SKZ7" s="1179" t="s">
        <v>10</v>
      </c>
      <c r="SLA7" s="1179"/>
      <c r="SLB7" s="1179"/>
      <c r="SLC7" s="1180"/>
      <c r="SLD7" s="1178" t="s">
        <v>8</v>
      </c>
      <c r="SLE7" s="1179"/>
      <c r="SLF7" s="1179"/>
      <c r="SLG7" s="1179"/>
      <c r="SLH7" s="1179" t="s">
        <v>10</v>
      </c>
      <c r="SLI7" s="1179"/>
      <c r="SLJ7" s="1179"/>
      <c r="SLK7" s="1180"/>
      <c r="SLL7" s="1178" t="s">
        <v>8</v>
      </c>
      <c r="SLM7" s="1179"/>
      <c r="SLN7" s="1179"/>
      <c r="SLO7" s="1179"/>
      <c r="SLP7" s="1179" t="s">
        <v>10</v>
      </c>
      <c r="SLQ7" s="1179"/>
      <c r="SLR7" s="1179"/>
      <c r="SLS7" s="1180"/>
      <c r="SLT7" s="1178" t="s">
        <v>8</v>
      </c>
      <c r="SLU7" s="1179"/>
      <c r="SLV7" s="1179"/>
      <c r="SLW7" s="1179"/>
      <c r="SLX7" s="1179" t="s">
        <v>10</v>
      </c>
      <c r="SLY7" s="1179"/>
      <c r="SLZ7" s="1179"/>
      <c r="SMA7" s="1180"/>
      <c r="SMB7" s="1178" t="s">
        <v>8</v>
      </c>
      <c r="SMC7" s="1179"/>
      <c r="SMD7" s="1179"/>
      <c r="SME7" s="1179"/>
      <c r="SMF7" s="1179" t="s">
        <v>10</v>
      </c>
      <c r="SMG7" s="1179"/>
      <c r="SMH7" s="1179"/>
      <c r="SMI7" s="1180"/>
      <c r="SMJ7" s="1178" t="s">
        <v>8</v>
      </c>
      <c r="SMK7" s="1179"/>
      <c r="SML7" s="1179"/>
      <c r="SMM7" s="1179"/>
      <c r="SMN7" s="1179" t="s">
        <v>10</v>
      </c>
      <c r="SMO7" s="1179"/>
      <c r="SMP7" s="1179"/>
      <c r="SMQ7" s="1180"/>
      <c r="SMR7" s="1178" t="s">
        <v>8</v>
      </c>
      <c r="SMS7" s="1179"/>
      <c r="SMT7" s="1179"/>
      <c r="SMU7" s="1179"/>
      <c r="SMV7" s="1179" t="s">
        <v>10</v>
      </c>
      <c r="SMW7" s="1179"/>
      <c r="SMX7" s="1179"/>
      <c r="SMY7" s="1180"/>
      <c r="SMZ7" s="1178" t="s">
        <v>8</v>
      </c>
      <c r="SNA7" s="1179"/>
      <c r="SNB7" s="1179"/>
      <c r="SNC7" s="1179"/>
      <c r="SND7" s="1179" t="s">
        <v>10</v>
      </c>
      <c r="SNE7" s="1179"/>
      <c r="SNF7" s="1179"/>
      <c r="SNG7" s="1180"/>
      <c r="SNH7" s="1178" t="s">
        <v>8</v>
      </c>
      <c r="SNI7" s="1179"/>
      <c r="SNJ7" s="1179"/>
      <c r="SNK7" s="1179"/>
      <c r="SNL7" s="1179" t="s">
        <v>10</v>
      </c>
      <c r="SNM7" s="1179"/>
      <c r="SNN7" s="1179"/>
      <c r="SNO7" s="1180"/>
      <c r="SNP7" s="1178" t="s">
        <v>8</v>
      </c>
      <c r="SNQ7" s="1179"/>
      <c r="SNR7" s="1179"/>
      <c r="SNS7" s="1179"/>
      <c r="SNT7" s="1179" t="s">
        <v>10</v>
      </c>
      <c r="SNU7" s="1179"/>
      <c r="SNV7" s="1179"/>
      <c r="SNW7" s="1180"/>
      <c r="SNX7" s="1178" t="s">
        <v>8</v>
      </c>
      <c r="SNY7" s="1179"/>
      <c r="SNZ7" s="1179"/>
      <c r="SOA7" s="1179"/>
      <c r="SOB7" s="1179" t="s">
        <v>10</v>
      </c>
      <c r="SOC7" s="1179"/>
      <c r="SOD7" s="1179"/>
      <c r="SOE7" s="1180"/>
      <c r="SOF7" s="1178" t="s">
        <v>8</v>
      </c>
      <c r="SOG7" s="1179"/>
      <c r="SOH7" s="1179"/>
      <c r="SOI7" s="1179"/>
      <c r="SOJ7" s="1179" t="s">
        <v>10</v>
      </c>
      <c r="SOK7" s="1179"/>
      <c r="SOL7" s="1179"/>
      <c r="SOM7" s="1180"/>
      <c r="SON7" s="1178" t="s">
        <v>8</v>
      </c>
      <c r="SOO7" s="1179"/>
      <c r="SOP7" s="1179"/>
      <c r="SOQ7" s="1179"/>
      <c r="SOR7" s="1179" t="s">
        <v>10</v>
      </c>
      <c r="SOS7" s="1179"/>
      <c r="SOT7" s="1179"/>
      <c r="SOU7" s="1180"/>
      <c r="SOV7" s="1178" t="s">
        <v>8</v>
      </c>
      <c r="SOW7" s="1179"/>
      <c r="SOX7" s="1179"/>
      <c r="SOY7" s="1179"/>
      <c r="SOZ7" s="1179" t="s">
        <v>10</v>
      </c>
      <c r="SPA7" s="1179"/>
      <c r="SPB7" s="1179"/>
      <c r="SPC7" s="1180"/>
      <c r="SPD7" s="1178" t="s">
        <v>8</v>
      </c>
      <c r="SPE7" s="1179"/>
      <c r="SPF7" s="1179"/>
      <c r="SPG7" s="1179"/>
      <c r="SPH7" s="1179" t="s">
        <v>10</v>
      </c>
      <c r="SPI7" s="1179"/>
      <c r="SPJ7" s="1179"/>
      <c r="SPK7" s="1180"/>
      <c r="SPL7" s="1178" t="s">
        <v>8</v>
      </c>
      <c r="SPM7" s="1179"/>
      <c r="SPN7" s="1179"/>
      <c r="SPO7" s="1179"/>
      <c r="SPP7" s="1179" t="s">
        <v>10</v>
      </c>
      <c r="SPQ7" s="1179"/>
      <c r="SPR7" s="1179"/>
      <c r="SPS7" s="1180"/>
      <c r="SPT7" s="1178" t="s">
        <v>8</v>
      </c>
      <c r="SPU7" s="1179"/>
      <c r="SPV7" s="1179"/>
      <c r="SPW7" s="1179"/>
      <c r="SPX7" s="1179" t="s">
        <v>10</v>
      </c>
      <c r="SPY7" s="1179"/>
      <c r="SPZ7" s="1179"/>
      <c r="SQA7" s="1180"/>
      <c r="SQB7" s="1178" t="s">
        <v>8</v>
      </c>
      <c r="SQC7" s="1179"/>
      <c r="SQD7" s="1179"/>
      <c r="SQE7" s="1179"/>
      <c r="SQF7" s="1179" t="s">
        <v>10</v>
      </c>
      <c r="SQG7" s="1179"/>
      <c r="SQH7" s="1179"/>
      <c r="SQI7" s="1180"/>
      <c r="SQJ7" s="1178" t="s">
        <v>8</v>
      </c>
      <c r="SQK7" s="1179"/>
      <c r="SQL7" s="1179"/>
      <c r="SQM7" s="1179"/>
      <c r="SQN7" s="1179" t="s">
        <v>10</v>
      </c>
      <c r="SQO7" s="1179"/>
      <c r="SQP7" s="1179"/>
      <c r="SQQ7" s="1180"/>
      <c r="SQR7" s="1178" t="s">
        <v>8</v>
      </c>
      <c r="SQS7" s="1179"/>
      <c r="SQT7" s="1179"/>
      <c r="SQU7" s="1179"/>
      <c r="SQV7" s="1179" t="s">
        <v>10</v>
      </c>
      <c r="SQW7" s="1179"/>
      <c r="SQX7" s="1179"/>
      <c r="SQY7" s="1180"/>
      <c r="SQZ7" s="1178" t="s">
        <v>8</v>
      </c>
      <c r="SRA7" s="1179"/>
      <c r="SRB7" s="1179"/>
      <c r="SRC7" s="1179"/>
      <c r="SRD7" s="1179" t="s">
        <v>10</v>
      </c>
      <c r="SRE7" s="1179"/>
      <c r="SRF7" s="1179"/>
      <c r="SRG7" s="1180"/>
      <c r="SRH7" s="1178" t="s">
        <v>8</v>
      </c>
      <c r="SRI7" s="1179"/>
      <c r="SRJ7" s="1179"/>
      <c r="SRK7" s="1179"/>
      <c r="SRL7" s="1179" t="s">
        <v>10</v>
      </c>
      <c r="SRM7" s="1179"/>
      <c r="SRN7" s="1179"/>
      <c r="SRO7" s="1180"/>
      <c r="SRP7" s="1178" t="s">
        <v>8</v>
      </c>
      <c r="SRQ7" s="1179"/>
      <c r="SRR7" s="1179"/>
      <c r="SRS7" s="1179"/>
      <c r="SRT7" s="1179" t="s">
        <v>10</v>
      </c>
      <c r="SRU7" s="1179"/>
      <c r="SRV7" s="1179"/>
      <c r="SRW7" s="1180"/>
      <c r="SRX7" s="1178" t="s">
        <v>8</v>
      </c>
      <c r="SRY7" s="1179"/>
      <c r="SRZ7" s="1179"/>
      <c r="SSA7" s="1179"/>
      <c r="SSB7" s="1179" t="s">
        <v>10</v>
      </c>
      <c r="SSC7" s="1179"/>
      <c r="SSD7" s="1179"/>
      <c r="SSE7" s="1180"/>
      <c r="SSF7" s="1178" t="s">
        <v>8</v>
      </c>
      <c r="SSG7" s="1179"/>
      <c r="SSH7" s="1179"/>
      <c r="SSI7" s="1179"/>
      <c r="SSJ7" s="1179" t="s">
        <v>10</v>
      </c>
      <c r="SSK7" s="1179"/>
      <c r="SSL7" s="1179"/>
      <c r="SSM7" s="1180"/>
      <c r="SSN7" s="1178" t="s">
        <v>8</v>
      </c>
      <c r="SSO7" s="1179"/>
      <c r="SSP7" s="1179"/>
      <c r="SSQ7" s="1179"/>
      <c r="SSR7" s="1179" t="s">
        <v>10</v>
      </c>
      <c r="SSS7" s="1179"/>
      <c r="SST7" s="1179"/>
      <c r="SSU7" s="1180"/>
      <c r="SSV7" s="1178" t="s">
        <v>8</v>
      </c>
      <c r="SSW7" s="1179"/>
      <c r="SSX7" s="1179"/>
      <c r="SSY7" s="1179"/>
      <c r="SSZ7" s="1179" t="s">
        <v>10</v>
      </c>
      <c r="STA7" s="1179"/>
      <c r="STB7" s="1179"/>
      <c r="STC7" s="1180"/>
      <c r="STD7" s="1178" t="s">
        <v>8</v>
      </c>
      <c r="STE7" s="1179"/>
      <c r="STF7" s="1179"/>
      <c r="STG7" s="1179"/>
      <c r="STH7" s="1179" t="s">
        <v>10</v>
      </c>
      <c r="STI7" s="1179"/>
      <c r="STJ7" s="1179"/>
      <c r="STK7" s="1180"/>
      <c r="STL7" s="1178" t="s">
        <v>8</v>
      </c>
      <c r="STM7" s="1179"/>
      <c r="STN7" s="1179"/>
      <c r="STO7" s="1179"/>
      <c r="STP7" s="1179" t="s">
        <v>10</v>
      </c>
      <c r="STQ7" s="1179"/>
      <c r="STR7" s="1179"/>
      <c r="STS7" s="1180"/>
      <c r="STT7" s="1178" t="s">
        <v>8</v>
      </c>
      <c r="STU7" s="1179"/>
      <c r="STV7" s="1179"/>
      <c r="STW7" s="1179"/>
      <c r="STX7" s="1179" t="s">
        <v>10</v>
      </c>
      <c r="STY7" s="1179"/>
      <c r="STZ7" s="1179"/>
      <c r="SUA7" s="1180"/>
      <c r="SUB7" s="1178" t="s">
        <v>8</v>
      </c>
      <c r="SUC7" s="1179"/>
      <c r="SUD7" s="1179"/>
      <c r="SUE7" s="1179"/>
      <c r="SUF7" s="1179" t="s">
        <v>10</v>
      </c>
      <c r="SUG7" s="1179"/>
      <c r="SUH7" s="1179"/>
      <c r="SUI7" s="1180"/>
      <c r="SUJ7" s="1178" t="s">
        <v>8</v>
      </c>
      <c r="SUK7" s="1179"/>
      <c r="SUL7" s="1179"/>
      <c r="SUM7" s="1179"/>
      <c r="SUN7" s="1179" t="s">
        <v>10</v>
      </c>
      <c r="SUO7" s="1179"/>
      <c r="SUP7" s="1179"/>
      <c r="SUQ7" s="1180"/>
      <c r="SUR7" s="1178" t="s">
        <v>8</v>
      </c>
      <c r="SUS7" s="1179"/>
      <c r="SUT7" s="1179"/>
      <c r="SUU7" s="1179"/>
      <c r="SUV7" s="1179" t="s">
        <v>10</v>
      </c>
      <c r="SUW7" s="1179"/>
      <c r="SUX7" s="1179"/>
      <c r="SUY7" s="1180"/>
      <c r="SUZ7" s="1178" t="s">
        <v>8</v>
      </c>
      <c r="SVA7" s="1179"/>
      <c r="SVB7" s="1179"/>
      <c r="SVC7" s="1179"/>
      <c r="SVD7" s="1179" t="s">
        <v>10</v>
      </c>
      <c r="SVE7" s="1179"/>
      <c r="SVF7" s="1179"/>
      <c r="SVG7" s="1180"/>
      <c r="SVH7" s="1178" t="s">
        <v>8</v>
      </c>
      <c r="SVI7" s="1179"/>
      <c r="SVJ7" s="1179"/>
      <c r="SVK7" s="1179"/>
      <c r="SVL7" s="1179" t="s">
        <v>10</v>
      </c>
      <c r="SVM7" s="1179"/>
      <c r="SVN7" s="1179"/>
      <c r="SVO7" s="1180"/>
      <c r="SVP7" s="1178" t="s">
        <v>8</v>
      </c>
      <c r="SVQ7" s="1179"/>
      <c r="SVR7" s="1179"/>
      <c r="SVS7" s="1179"/>
      <c r="SVT7" s="1179" t="s">
        <v>10</v>
      </c>
      <c r="SVU7" s="1179"/>
      <c r="SVV7" s="1179"/>
      <c r="SVW7" s="1180"/>
      <c r="SVX7" s="1178" t="s">
        <v>8</v>
      </c>
      <c r="SVY7" s="1179"/>
      <c r="SVZ7" s="1179"/>
      <c r="SWA7" s="1179"/>
      <c r="SWB7" s="1179" t="s">
        <v>10</v>
      </c>
      <c r="SWC7" s="1179"/>
      <c r="SWD7" s="1179"/>
      <c r="SWE7" s="1180"/>
      <c r="SWF7" s="1178" t="s">
        <v>8</v>
      </c>
      <c r="SWG7" s="1179"/>
      <c r="SWH7" s="1179"/>
      <c r="SWI7" s="1179"/>
      <c r="SWJ7" s="1179" t="s">
        <v>10</v>
      </c>
      <c r="SWK7" s="1179"/>
      <c r="SWL7" s="1179"/>
      <c r="SWM7" s="1180"/>
      <c r="SWN7" s="1178" t="s">
        <v>8</v>
      </c>
      <c r="SWO7" s="1179"/>
      <c r="SWP7" s="1179"/>
      <c r="SWQ7" s="1179"/>
      <c r="SWR7" s="1179" t="s">
        <v>10</v>
      </c>
      <c r="SWS7" s="1179"/>
      <c r="SWT7" s="1179"/>
      <c r="SWU7" s="1180"/>
      <c r="SWV7" s="1178" t="s">
        <v>8</v>
      </c>
      <c r="SWW7" s="1179"/>
      <c r="SWX7" s="1179"/>
      <c r="SWY7" s="1179"/>
      <c r="SWZ7" s="1179" t="s">
        <v>10</v>
      </c>
      <c r="SXA7" s="1179"/>
      <c r="SXB7" s="1179"/>
      <c r="SXC7" s="1180"/>
      <c r="SXD7" s="1178" t="s">
        <v>8</v>
      </c>
      <c r="SXE7" s="1179"/>
      <c r="SXF7" s="1179"/>
      <c r="SXG7" s="1179"/>
      <c r="SXH7" s="1179" t="s">
        <v>10</v>
      </c>
      <c r="SXI7" s="1179"/>
      <c r="SXJ7" s="1179"/>
      <c r="SXK7" s="1180"/>
      <c r="SXL7" s="1178" t="s">
        <v>8</v>
      </c>
      <c r="SXM7" s="1179"/>
      <c r="SXN7" s="1179"/>
      <c r="SXO7" s="1179"/>
      <c r="SXP7" s="1179" t="s">
        <v>10</v>
      </c>
      <c r="SXQ7" s="1179"/>
      <c r="SXR7" s="1179"/>
      <c r="SXS7" s="1180"/>
      <c r="SXT7" s="1178" t="s">
        <v>8</v>
      </c>
      <c r="SXU7" s="1179"/>
      <c r="SXV7" s="1179"/>
      <c r="SXW7" s="1179"/>
      <c r="SXX7" s="1179" t="s">
        <v>10</v>
      </c>
      <c r="SXY7" s="1179"/>
      <c r="SXZ7" s="1179"/>
      <c r="SYA7" s="1180"/>
      <c r="SYB7" s="1178" t="s">
        <v>8</v>
      </c>
      <c r="SYC7" s="1179"/>
      <c r="SYD7" s="1179"/>
      <c r="SYE7" s="1179"/>
      <c r="SYF7" s="1179" t="s">
        <v>10</v>
      </c>
      <c r="SYG7" s="1179"/>
      <c r="SYH7" s="1179"/>
      <c r="SYI7" s="1180"/>
      <c r="SYJ7" s="1178" t="s">
        <v>8</v>
      </c>
      <c r="SYK7" s="1179"/>
      <c r="SYL7" s="1179"/>
      <c r="SYM7" s="1179"/>
      <c r="SYN7" s="1179" t="s">
        <v>10</v>
      </c>
      <c r="SYO7" s="1179"/>
      <c r="SYP7" s="1179"/>
      <c r="SYQ7" s="1180"/>
      <c r="SYR7" s="1178" t="s">
        <v>8</v>
      </c>
      <c r="SYS7" s="1179"/>
      <c r="SYT7" s="1179"/>
      <c r="SYU7" s="1179"/>
      <c r="SYV7" s="1179" t="s">
        <v>10</v>
      </c>
      <c r="SYW7" s="1179"/>
      <c r="SYX7" s="1179"/>
      <c r="SYY7" s="1180"/>
      <c r="SYZ7" s="1178" t="s">
        <v>8</v>
      </c>
      <c r="SZA7" s="1179"/>
      <c r="SZB7" s="1179"/>
      <c r="SZC7" s="1179"/>
      <c r="SZD7" s="1179" t="s">
        <v>10</v>
      </c>
      <c r="SZE7" s="1179"/>
      <c r="SZF7" s="1179"/>
      <c r="SZG7" s="1180"/>
      <c r="SZH7" s="1178" t="s">
        <v>8</v>
      </c>
      <c r="SZI7" s="1179"/>
      <c r="SZJ7" s="1179"/>
      <c r="SZK7" s="1179"/>
      <c r="SZL7" s="1179" t="s">
        <v>10</v>
      </c>
      <c r="SZM7" s="1179"/>
      <c r="SZN7" s="1179"/>
      <c r="SZO7" s="1180"/>
      <c r="SZP7" s="1178" t="s">
        <v>8</v>
      </c>
      <c r="SZQ7" s="1179"/>
      <c r="SZR7" s="1179"/>
      <c r="SZS7" s="1179"/>
      <c r="SZT7" s="1179" t="s">
        <v>10</v>
      </c>
      <c r="SZU7" s="1179"/>
      <c r="SZV7" s="1179"/>
      <c r="SZW7" s="1180"/>
      <c r="SZX7" s="1178" t="s">
        <v>8</v>
      </c>
      <c r="SZY7" s="1179"/>
      <c r="SZZ7" s="1179"/>
      <c r="TAA7" s="1179"/>
      <c r="TAB7" s="1179" t="s">
        <v>10</v>
      </c>
      <c r="TAC7" s="1179"/>
      <c r="TAD7" s="1179"/>
      <c r="TAE7" s="1180"/>
      <c r="TAF7" s="1178" t="s">
        <v>8</v>
      </c>
      <c r="TAG7" s="1179"/>
      <c r="TAH7" s="1179"/>
      <c r="TAI7" s="1179"/>
      <c r="TAJ7" s="1179" t="s">
        <v>10</v>
      </c>
      <c r="TAK7" s="1179"/>
      <c r="TAL7" s="1179"/>
      <c r="TAM7" s="1180"/>
      <c r="TAN7" s="1178" t="s">
        <v>8</v>
      </c>
      <c r="TAO7" s="1179"/>
      <c r="TAP7" s="1179"/>
      <c r="TAQ7" s="1179"/>
      <c r="TAR7" s="1179" t="s">
        <v>10</v>
      </c>
      <c r="TAS7" s="1179"/>
      <c r="TAT7" s="1179"/>
      <c r="TAU7" s="1180"/>
      <c r="TAV7" s="1178" t="s">
        <v>8</v>
      </c>
      <c r="TAW7" s="1179"/>
      <c r="TAX7" s="1179"/>
      <c r="TAY7" s="1179"/>
      <c r="TAZ7" s="1179" t="s">
        <v>10</v>
      </c>
      <c r="TBA7" s="1179"/>
      <c r="TBB7" s="1179"/>
      <c r="TBC7" s="1180"/>
      <c r="TBD7" s="1178" t="s">
        <v>8</v>
      </c>
      <c r="TBE7" s="1179"/>
      <c r="TBF7" s="1179"/>
      <c r="TBG7" s="1179"/>
      <c r="TBH7" s="1179" t="s">
        <v>10</v>
      </c>
      <c r="TBI7" s="1179"/>
      <c r="TBJ7" s="1179"/>
      <c r="TBK7" s="1180"/>
      <c r="TBL7" s="1178" t="s">
        <v>8</v>
      </c>
      <c r="TBM7" s="1179"/>
      <c r="TBN7" s="1179"/>
      <c r="TBO7" s="1179"/>
      <c r="TBP7" s="1179" t="s">
        <v>10</v>
      </c>
      <c r="TBQ7" s="1179"/>
      <c r="TBR7" s="1179"/>
      <c r="TBS7" s="1180"/>
      <c r="TBT7" s="1178" t="s">
        <v>8</v>
      </c>
      <c r="TBU7" s="1179"/>
      <c r="TBV7" s="1179"/>
      <c r="TBW7" s="1179"/>
      <c r="TBX7" s="1179" t="s">
        <v>10</v>
      </c>
      <c r="TBY7" s="1179"/>
      <c r="TBZ7" s="1179"/>
      <c r="TCA7" s="1180"/>
      <c r="TCB7" s="1178" t="s">
        <v>8</v>
      </c>
      <c r="TCC7" s="1179"/>
      <c r="TCD7" s="1179"/>
      <c r="TCE7" s="1179"/>
      <c r="TCF7" s="1179" t="s">
        <v>10</v>
      </c>
      <c r="TCG7" s="1179"/>
      <c r="TCH7" s="1179"/>
      <c r="TCI7" s="1180"/>
      <c r="TCJ7" s="1178" t="s">
        <v>8</v>
      </c>
      <c r="TCK7" s="1179"/>
      <c r="TCL7" s="1179"/>
      <c r="TCM7" s="1179"/>
      <c r="TCN7" s="1179" t="s">
        <v>10</v>
      </c>
      <c r="TCO7" s="1179"/>
      <c r="TCP7" s="1179"/>
      <c r="TCQ7" s="1180"/>
      <c r="TCR7" s="1178" t="s">
        <v>8</v>
      </c>
      <c r="TCS7" s="1179"/>
      <c r="TCT7" s="1179"/>
      <c r="TCU7" s="1179"/>
      <c r="TCV7" s="1179" t="s">
        <v>10</v>
      </c>
      <c r="TCW7" s="1179"/>
      <c r="TCX7" s="1179"/>
      <c r="TCY7" s="1180"/>
      <c r="TCZ7" s="1178" t="s">
        <v>8</v>
      </c>
      <c r="TDA7" s="1179"/>
      <c r="TDB7" s="1179"/>
      <c r="TDC7" s="1179"/>
      <c r="TDD7" s="1179" t="s">
        <v>10</v>
      </c>
      <c r="TDE7" s="1179"/>
      <c r="TDF7" s="1179"/>
      <c r="TDG7" s="1180"/>
      <c r="TDH7" s="1178" t="s">
        <v>8</v>
      </c>
      <c r="TDI7" s="1179"/>
      <c r="TDJ7" s="1179"/>
      <c r="TDK7" s="1179"/>
      <c r="TDL7" s="1179" t="s">
        <v>10</v>
      </c>
      <c r="TDM7" s="1179"/>
      <c r="TDN7" s="1179"/>
      <c r="TDO7" s="1180"/>
      <c r="TDP7" s="1178" t="s">
        <v>8</v>
      </c>
      <c r="TDQ7" s="1179"/>
      <c r="TDR7" s="1179"/>
      <c r="TDS7" s="1179"/>
      <c r="TDT7" s="1179" t="s">
        <v>10</v>
      </c>
      <c r="TDU7" s="1179"/>
      <c r="TDV7" s="1179"/>
      <c r="TDW7" s="1180"/>
      <c r="TDX7" s="1178" t="s">
        <v>8</v>
      </c>
      <c r="TDY7" s="1179"/>
      <c r="TDZ7" s="1179"/>
      <c r="TEA7" s="1179"/>
      <c r="TEB7" s="1179" t="s">
        <v>10</v>
      </c>
      <c r="TEC7" s="1179"/>
      <c r="TED7" s="1179"/>
      <c r="TEE7" s="1180"/>
      <c r="TEF7" s="1178" t="s">
        <v>8</v>
      </c>
      <c r="TEG7" s="1179"/>
      <c r="TEH7" s="1179"/>
      <c r="TEI7" s="1179"/>
      <c r="TEJ7" s="1179" t="s">
        <v>10</v>
      </c>
      <c r="TEK7" s="1179"/>
      <c r="TEL7" s="1179"/>
      <c r="TEM7" s="1180"/>
      <c r="TEN7" s="1178" t="s">
        <v>8</v>
      </c>
      <c r="TEO7" s="1179"/>
      <c r="TEP7" s="1179"/>
      <c r="TEQ7" s="1179"/>
      <c r="TER7" s="1179" t="s">
        <v>10</v>
      </c>
      <c r="TES7" s="1179"/>
      <c r="TET7" s="1179"/>
      <c r="TEU7" s="1180"/>
      <c r="TEV7" s="1178" t="s">
        <v>8</v>
      </c>
      <c r="TEW7" s="1179"/>
      <c r="TEX7" s="1179"/>
      <c r="TEY7" s="1179"/>
      <c r="TEZ7" s="1179" t="s">
        <v>10</v>
      </c>
      <c r="TFA7" s="1179"/>
      <c r="TFB7" s="1179"/>
      <c r="TFC7" s="1180"/>
      <c r="TFD7" s="1178" t="s">
        <v>8</v>
      </c>
      <c r="TFE7" s="1179"/>
      <c r="TFF7" s="1179"/>
      <c r="TFG7" s="1179"/>
      <c r="TFH7" s="1179" t="s">
        <v>10</v>
      </c>
      <c r="TFI7" s="1179"/>
      <c r="TFJ7" s="1179"/>
      <c r="TFK7" s="1180"/>
      <c r="TFL7" s="1178" t="s">
        <v>8</v>
      </c>
      <c r="TFM7" s="1179"/>
      <c r="TFN7" s="1179"/>
      <c r="TFO7" s="1179"/>
      <c r="TFP7" s="1179" t="s">
        <v>10</v>
      </c>
      <c r="TFQ7" s="1179"/>
      <c r="TFR7" s="1179"/>
      <c r="TFS7" s="1180"/>
      <c r="TFT7" s="1178" t="s">
        <v>8</v>
      </c>
      <c r="TFU7" s="1179"/>
      <c r="TFV7" s="1179"/>
      <c r="TFW7" s="1179"/>
      <c r="TFX7" s="1179" t="s">
        <v>10</v>
      </c>
      <c r="TFY7" s="1179"/>
      <c r="TFZ7" s="1179"/>
      <c r="TGA7" s="1180"/>
      <c r="TGB7" s="1178" t="s">
        <v>8</v>
      </c>
      <c r="TGC7" s="1179"/>
      <c r="TGD7" s="1179"/>
      <c r="TGE7" s="1179"/>
      <c r="TGF7" s="1179" t="s">
        <v>10</v>
      </c>
      <c r="TGG7" s="1179"/>
      <c r="TGH7" s="1179"/>
      <c r="TGI7" s="1180"/>
      <c r="TGJ7" s="1178" t="s">
        <v>8</v>
      </c>
      <c r="TGK7" s="1179"/>
      <c r="TGL7" s="1179"/>
      <c r="TGM7" s="1179"/>
      <c r="TGN7" s="1179" t="s">
        <v>10</v>
      </c>
      <c r="TGO7" s="1179"/>
      <c r="TGP7" s="1179"/>
      <c r="TGQ7" s="1180"/>
      <c r="TGR7" s="1178" t="s">
        <v>8</v>
      </c>
      <c r="TGS7" s="1179"/>
      <c r="TGT7" s="1179"/>
      <c r="TGU7" s="1179"/>
      <c r="TGV7" s="1179" t="s">
        <v>10</v>
      </c>
      <c r="TGW7" s="1179"/>
      <c r="TGX7" s="1179"/>
      <c r="TGY7" s="1180"/>
      <c r="TGZ7" s="1178" t="s">
        <v>8</v>
      </c>
      <c r="THA7" s="1179"/>
      <c r="THB7" s="1179"/>
      <c r="THC7" s="1179"/>
      <c r="THD7" s="1179" t="s">
        <v>10</v>
      </c>
      <c r="THE7" s="1179"/>
      <c r="THF7" s="1179"/>
      <c r="THG7" s="1180"/>
      <c r="THH7" s="1178" t="s">
        <v>8</v>
      </c>
      <c r="THI7" s="1179"/>
      <c r="THJ7" s="1179"/>
      <c r="THK7" s="1179"/>
      <c r="THL7" s="1179" t="s">
        <v>10</v>
      </c>
      <c r="THM7" s="1179"/>
      <c r="THN7" s="1179"/>
      <c r="THO7" s="1180"/>
      <c r="THP7" s="1178" t="s">
        <v>8</v>
      </c>
      <c r="THQ7" s="1179"/>
      <c r="THR7" s="1179"/>
      <c r="THS7" s="1179"/>
      <c r="THT7" s="1179" t="s">
        <v>10</v>
      </c>
      <c r="THU7" s="1179"/>
      <c r="THV7" s="1179"/>
      <c r="THW7" s="1180"/>
      <c r="THX7" s="1178" t="s">
        <v>8</v>
      </c>
      <c r="THY7" s="1179"/>
      <c r="THZ7" s="1179"/>
      <c r="TIA7" s="1179"/>
      <c r="TIB7" s="1179" t="s">
        <v>10</v>
      </c>
      <c r="TIC7" s="1179"/>
      <c r="TID7" s="1179"/>
      <c r="TIE7" s="1180"/>
      <c r="TIF7" s="1178" t="s">
        <v>8</v>
      </c>
      <c r="TIG7" s="1179"/>
      <c r="TIH7" s="1179"/>
      <c r="TII7" s="1179"/>
      <c r="TIJ7" s="1179" t="s">
        <v>10</v>
      </c>
      <c r="TIK7" s="1179"/>
      <c r="TIL7" s="1179"/>
      <c r="TIM7" s="1180"/>
      <c r="TIN7" s="1178" t="s">
        <v>8</v>
      </c>
      <c r="TIO7" s="1179"/>
      <c r="TIP7" s="1179"/>
      <c r="TIQ7" s="1179"/>
      <c r="TIR7" s="1179" t="s">
        <v>10</v>
      </c>
      <c r="TIS7" s="1179"/>
      <c r="TIT7" s="1179"/>
      <c r="TIU7" s="1180"/>
      <c r="TIV7" s="1178" t="s">
        <v>8</v>
      </c>
      <c r="TIW7" s="1179"/>
      <c r="TIX7" s="1179"/>
      <c r="TIY7" s="1179"/>
      <c r="TIZ7" s="1179" t="s">
        <v>10</v>
      </c>
      <c r="TJA7" s="1179"/>
      <c r="TJB7" s="1179"/>
      <c r="TJC7" s="1180"/>
      <c r="TJD7" s="1178" t="s">
        <v>8</v>
      </c>
      <c r="TJE7" s="1179"/>
      <c r="TJF7" s="1179"/>
      <c r="TJG7" s="1179"/>
      <c r="TJH7" s="1179" t="s">
        <v>10</v>
      </c>
      <c r="TJI7" s="1179"/>
      <c r="TJJ7" s="1179"/>
      <c r="TJK7" s="1180"/>
      <c r="TJL7" s="1178" t="s">
        <v>8</v>
      </c>
      <c r="TJM7" s="1179"/>
      <c r="TJN7" s="1179"/>
      <c r="TJO7" s="1179"/>
      <c r="TJP7" s="1179" t="s">
        <v>10</v>
      </c>
      <c r="TJQ7" s="1179"/>
      <c r="TJR7" s="1179"/>
      <c r="TJS7" s="1180"/>
      <c r="TJT7" s="1178" t="s">
        <v>8</v>
      </c>
      <c r="TJU7" s="1179"/>
      <c r="TJV7" s="1179"/>
      <c r="TJW7" s="1179"/>
      <c r="TJX7" s="1179" t="s">
        <v>10</v>
      </c>
      <c r="TJY7" s="1179"/>
      <c r="TJZ7" s="1179"/>
      <c r="TKA7" s="1180"/>
      <c r="TKB7" s="1178" t="s">
        <v>8</v>
      </c>
      <c r="TKC7" s="1179"/>
      <c r="TKD7" s="1179"/>
      <c r="TKE7" s="1179"/>
      <c r="TKF7" s="1179" t="s">
        <v>10</v>
      </c>
      <c r="TKG7" s="1179"/>
      <c r="TKH7" s="1179"/>
      <c r="TKI7" s="1180"/>
      <c r="TKJ7" s="1178" t="s">
        <v>8</v>
      </c>
      <c r="TKK7" s="1179"/>
      <c r="TKL7" s="1179"/>
      <c r="TKM7" s="1179"/>
      <c r="TKN7" s="1179" t="s">
        <v>10</v>
      </c>
      <c r="TKO7" s="1179"/>
      <c r="TKP7" s="1179"/>
      <c r="TKQ7" s="1180"/>
      <c r="TKR7" s="1178" t="s">
        <v>8</v>
      </c>
      <c r="TKS7" s="1179"/>
      <c r="TKT7" s="1179"/>
      <c r="TKU7" s="1179"/>
      <c r="TKV7" s="1179" t="s">
        <v>10</v>
      </c>
      <c r="TKW7" s="1179"/>
      <c r="TKX7" s="1179"/>
      <c r="TKY7" s="1180"/>
      <c r="TKZ7" s="1178" t="s">
        <v>8</v>
      </c>
      <c r="TLA7" s="1179"/>
      <c r="TLB7" s="1179"/>
      <c r="TLC7" s="1179"/>
      <c r="TLD7" s="1179" t="s">
        <v>10</v>
      </c>
      <c r="TLE7" s="1179"/>
      <c r="TLF7" s="1179"/>
      <c r="TLG7" s="1180"/>
      <c r="TLH7" s="1178" t="s">
        <v>8</v>
      </c>
      <c r="TLI7" s="1179"/>
      <c r="TLJ7" s="1179"/>
      <c r="TLK7" s="1179"/>
      <c r="TLL7" s="1179" t="s">
        <v>10</v>
      </c>
      <c r="TLM7" s="1179"/>
      <c r="TLN7" s="1179"/>
      <c r="TLO7" s="1180"/>
      <c r="TLP7" s="1178" t="s">
        <v>8</v>
      </c>
      <c r="TLQ7" s="1179"/>
      <c r="TLR7" s="1179"/>
      <c r="TLS7" s="1179"/>
      <c r="TLT7" s="1179" t="s">
        <v>10</v>
      </c>
      <c r="TLU7" s="1179"/>
      <c r="TLV7" s="1179"/>
      <c r="TLW7" s="1180"/>
      <c r="TLX7" s="1178" t="s">
        <v>8</v>
      </c>
      <c r="TLY7" s="1179"/>
      <c r="TLZ7" s="1179"/>
      <c r="TMA7" s="1179"/>
      <c r="TMB7" s="1179" t="s">
        <v>10</v>
      </c>
      <c r="TMC7" s="1179"/>
      <c r="TMD7" s="1179"/>
      <c r="TME7" s="1180"/>
      <c r="TMF7" s="1178" t="s">
        <v>8</v>
      </c>
      <c r="TMG7" s="1179"/>
      <c r="TMH7" s="1179"/>
      <c r="TMI7" s="1179"/>
      <c r="TMJ7" s="1179" t="s">
        <v>10</v>
      </c>
      <c r="TMK7" s="1179"/>
      <c r="TML7" s="1179"/>
      <c r="TMM7" s="1180"/>
      <c r="TMN7" s="1178" t="s">
        <v>8</v>
      </c>
      <c r="TMO7" s="1179"/>
      <c r="TMP7" s="1179"/>
      <c r="TMQ7" s="1179"/>
      <c r="TMR7" s="1179" t="s">
        <v>10</v>
      </c>
      <c r="TMS7" s="1179"/>
      <c r="TMT7" s="1179"/>
      <c r="TMU7" s="1180"/>
      <c r="TMV7" s="1178" t="s">
        <v>8</v>
      </c>
      <c r="TMW7" s="1179"/>
      <c r="TMX7" s="1179"/>
      <c r="TMY7" s="1179"/>
      <c r="TMZ7" s="1179" t="s">
        <v>10</v>
      </c>
      <c r="TNA7" s="1179"/>
      <c r="TNB7" s="1179"/>
      <c r="TNC7" s="1180"/>
      <c r="TND7" s="1178" t="s">
        <v>8</v>
      </c>
      <c r="TNE7" s="1179"/>
      <c r="TNF7" s="1179"/>
      <c r="TNG7" s="1179"/>
      <c r="TNH7" s="1179" t="s">
        <v>10</v>
      </c>
      <c r="TNI7" s="1179"/>
      <c r="TNJ7" s="1179"/>
      <c r="TNK7" s="1180"/>
      <c r="TNL7" s="1178" t="s">
        <v>8</v>
      </c>
      <c r="TNM7" s="1179"/>
      <c r="TNN7" s="1179"/>
      <c r="TNO7" s="1179"/>
      <c r="TNP7" s="1179" t="s">
        <v>10</v>
      </c>
      <c r="TNQ7" s="1179"/>
      <c r="TNR7" s="1179"/>
      <c r="TNS7" s="1180"/>
      <c r="TNT7" s="1178" t="s">
        <v>8</v>
      </c>
      <c r="TNU7" s="1179"/>
      <c r="TNV7" s="1179"/>
      <c r="TNW7" s="1179"/>
      <c r="TNX7" s="1179" t="s">
        <v>10</v>
      </c>
      <c r="TNY7" s="1179"/>
      <c r="TNZ7" s="1179"/>
      <c r="TOA7" s="1180"/>
      <c r="TOB7" s="1178" t="s">
        <v>8</v>
      </c>
      <c r="TOC7" s="1179"/>
      <c r="TOD7" s="1179"/>
      <c r="TOE7" s="1179"/>
      <c r="TOF7" s="1179" t="s">
        <v>10</v>
      </c>
      <c r="TOG7" s="1179"/>
      <c r="TOH7" s="1179"/>
      <c r="TOI7" s="1180"/>
      <c r="TOJ7" s="1178" t="s">
        <v>8</v>
      </c>
      <c r="TOK7" s="1179"/>
      <c r="TOL7" s="1179"/>
      <c r="TOM7" s="1179"/>
      <c r="TON7" s="1179" t="s">
        <v>10</v>
      </c>
      <c r="TOO7" s="1179"/>
      <c r="TOP7" s="1179"/>
      <c r="TOQ7" s="1180"/>
      <c r="TOR7" s="1178" t="s">
        <v>8</v>
      </c>
      <c r="TOS7" s="1179"/>
      <c r="TOT7" s="1179"/>
      <c r="TOU7" s="1179"/>
      <c r="TOV7" s="1179" t="s">
        <v>10</v>
      </c>
      <c r="TOW7" s="1179"/>
      <c r="TOX7" s="1179"/>
      <c r="TOY7" s="1180"/>
      <c r="TOZ7" s="1178" t="s">
        <v>8</v>
      </c>
      <c r="TPA7" s="1179"/>
      <c r="TPB7" s="1179"/>
      <c r="TPC7" s="1179"/>
      <c r="TPD7" s="1179" t="s">
        <v>10</v>
      </c>
      <c r="TPE7" s="1179"/>
      <c r="TPF7" s="1179"/>
      <c r="TPG7" s="1180"/>
      <c r="TPH7" s="1178" t="s">
        <v>8</v>
      </c>
      <c r="TPI7" s="1179"/>
      <c r="TPJ7" s="1179"/>
      <c r="TPK7" s="1179"/>
      <c r="TPL7" s="1179" t="s">
        <v>10</v>
      </c>
      <c r="TPM7" s="1179"/>
      <c r="TPN7" s="1179"/>
      <c r="TPO7" s="1180"/>
      <c r="TPP7" s="1178" t="s">
        <v>8</v>
      </c>
      <c r="TPQ7" s="1179"/>
      <c r="TPR7" s="1179"/>
      <c r="TPS7" s="1179"/>
      <c r="TPT7" s="1179" t="s">
        <v>10</v>
      </c>
      <c r="TPU7" s="1179"/>
      <c r="TPV7" s="1179"/>
      <c r="TPW7" s="1180"/>
      <c r="TPX7" s="1178" t="s">
        <v>8</v>
      </c>
      <c r="TPY7" s="1179"/>
      <c r="TPZ7" s="1179"/>
      <c r="TQA7" s="1179"/>
      <c r="TQB7" s="1179" t="s">
        <v>10</v>
      </c>
      <c r="TQC7" s="1179"/>
      <c r="TQD7" s="1179"/>
      <c r="TQE7" s="1180"/>
      <c r="TQF7" s="1178" t="s">
        <v>8</v>
      </c>
      <c r="TQG7" s="1179"/>
      <c r="TQH7" s="1179"/>
      <c r="TQI7" s="1179"/>
      <c r="TQJ7" s="1179" t="s">
        <v>10</v>
      </c>
      <c r="TQK7" s="1179"/>
      <c r="TQL7" s="1179"/>
      <c r="TQM7" s="1180"/>
      <c r="TQN7" s="1178" t="s">
        <v>8</v>
      </c>
      <c r="TQO7" s="1179"/>
      <c r="TQP7" s="1179"/>
      <c r="TQQ7" s="1179"/>
      <c r="TQR7" s="1179" t="s">
        <v>10</v>
      </c>
      <c r="TQS7" s="1179"/>
      <c r="TQT7" s="1179"/>
      <c r="TQU7" s="1180"/>
      <c r="TQV7" s="1178" t="s">
        <v>8</v>
      </c>
      <c r="TQW7" s="1179"/>
      <c r="TQX7" s="1179"/>
      <c r="TQY7" s="1179"/>
      <c r="TQZ7" s="1179" t="s">
        <v>10</v>
      </c>
      <c r="TRA7" s="1179"/>
      <c r="TRB7" s="1179"/>
      <c r="TRC7" s="1180"/>
      <c r="TRD7" s="1178" t="s">
        <v>8</v>
      </c>
      <c r="TRE7" s="1179"/>
      <c r="TRF7" s="1179"/>
      <c r="TRG7" s="1179"/>
      <c r="TRH7" s="1179" t="s">
        <v>10</v>
      </c>
      <c r="TRI7" s="1179"/>
      <c r="TRJ7" s="1179"/>
      <c r="TRK7" s="1180"/>
      <c r="TRL7" s="1178" t="s">
        <v>8</v>
      </c>
      <c r="TRM7" s="1179"/>
      <c r="TRN7" s="1179"/>
      <c r="TRO7" s="1179"/>
      <c r="TRP7" s="1179" t="s">
        <v>10</v>
      </c>
      <c r="TRQ7" s="1179"/>
      <c r="TRR7" s="1179"/>
      <c r="TRS7" s="1180"/>
      <c r="TRT7" s="1178" t="s">
        <v>8</v>
      </c>
      <c r="TRU7" s="1179"/>
      <c r="TRV7" s="1179"/>
      <c r="TRW7" s="1179"/>
      <c r="TRX7" s="1179" t="s">
        <v>10</v>
      </c>
      <c r="TRY7" s="1179"/>
      <c r="TRZ7" s="1179"/>
      <c r="TSA7" s="1180"/>
      <c r="TSB7" s="1178" t="s">
        <v>8</v>
      </c>
      <c r="TSC7" s="1179"/>
      <c r="TSD7" s="1179"/>
      <c r="TSE7" s="1179"/>
      <c r="TSF7" s="1179" t="s">
        <v>10</v>
      </c>
      <c r="TSG7" s="1179"/>
      <c r="TSH7" s="1179"/>
      <c r="TSI7" s="1180"/>
      <c r="TSJ7" s="1178" t="s">
        <v>8</v>
      </c>
      <c r="TSK7" s="1179"/>
      <c r="TSL7" s="1179"/>
      <c r="TSM7" s="1179"/>
      <c r="TSN7" s="1179" t="s">
        <v>10</v>
      </c>
      <c r="TSO7" s="1179"/>
      <c r="TSP7" s="1179"/>
      <c r="TSQ7" s="1180"/>
      <c r="TSR7" s="1178" t="s">
        <v>8</v>
      </c>
      <c r="TSS7" s="1179"/>
      <c r="TST7" s="1179"/>
      <c r="TSU7" s="1179"/>
      <c r="TSV7" s="1179" t="s">
        <v>10</v>
      </c>
      <c r="TSW7" s="1179"/>
      <c r="TSX7" s="1179"/>
      <c r="TSY7" s="1180"/>
      <c r="TSZ7" s="1178" t="s">
        <v>8</v>
      </c>
      <c r="TTA7" s="1179"/>
      <c r="TTB7" s="1179"/>
      <c r="TTC7" s="1179"/>
      <c r="TTD7" s="1179" t="s">
        <v>10</v>
      </c>
      <c r="TTE7" s="1179"/>
      <c r="TTF7" s="1179"/>
      <c r="TTG7" s="1180"/>
      <c r="TTH7" s="1178" t="s">
        <v>8</v>
      </c>
      <c r="TTI7" s="1179"/>
      <c r="TTJ7" s="1179"/>
      <c r="TTK7" s="1179"/>
      <c r="TTL7" s="1179" t="s">
        <v>10</v>
      </c>
      <c r="TTM7" s="1179"/>
      <c r="TTN7" s="1179"/>
      <c r="TTO7" s="1180"/>
      <c r="TTP7" s="1178" t="s">
        <v>8</v>
      </c>
      <c r="TTQ7" s="1179"/>
      <c r="TTR7" s="1179"/>
      <c r="TTS7" s="1179"/>
      <c r="TTT7" s="1179" t="s">
        <v>10</v>
      </c>
      <c r="TTU7" s="1179"/>
      <c r="TTV7" s="1179"/>
      <c r="TTW7" s="1180"/>
      <c r="TTX7" s="1178" t="s">
        <v>8</v>
      </c>
      <c r="TTY7" s="1179"/>
      <c r="TTZ7" s="1179"/>
      <c r="TUA7" s="1179"/>
      <c r="TUB7" s="1179" t="s">
        <v>10</v>
      </c>
      <c r="TUC7" s="1179"/>
      <c r="TUD7" s="1179"/>
      <c r="TUE7" s="1180"/>
      <c r="TUF7" s="1178" t="s">
        <v>8</v>
      </c>
      <c r="TUG7" s="1179"/>
      <c r="TUH7" s="1179"/>
      <c r="TUI7" s="1179"/>
      <c r="TUJ7" s="1179" t="s">
        <v>10</v>
      </c>
      <c r="TUK7" s="1179"/>
      <c r="TUL7" s="1179"/>
      <c r="TUM7" s="1180"/>
      <c r="TUN7" s="1178" t="s">
        <v>8</v>
      </c>
      <c r="TUO7" s="1179"/>
      <c r="TUP7" s="1179"/>
      <c r="TUQ7" s="1179"/>
      <c r="TUR7" s="1179" t="s">
        <v>10</v>
      </c>
      <c r="TUS7" s="1179"/>
      <c r="TUT7" s="1179"/>
      <c r="TUU7" s="1180"/>
      <c r="TUV7" s="1178" t="s">
        <v>8</v>
      </c>
      <c r="TUW7" s="1179"/>
      <c r="TUX7" s="1179"/>
      <c r="TUY7" s="1179"/>
      <c r="TUZ7" s="1179" t="s">
        <v>10</v>
      </c>
      <c r="TVA7" s="1179"/>
      <c r="TVB7" s="1179"/>
      <c r="TVC7" s="1180"/>
      <c r="TVD7" s="1178" t="s">
        <v>8</v>
      </c>
      <c r="TVE7" s="1179"/>
      <c r="TVF7" s="1179"/>
      <c r="TVG7" s="1179"/>
      <c r="TVH7" s="1179" t="s">
        <v>10</v>
      </c>
      <c r="TVI7" s="1179"/>
      <c r="TVJ7" s="1179"/>
      <c r="TVK7" s="1180"/>
      <c r="TVL7" s="1178" t="s">
        <v>8</v>
      </c>
      <c r="TVM7" s="1179"/>
      <c r="TVN7" s="1179"/>
      <c r="TVO7" s="1179"/>
      <c r="TVP7" s="1179" t="s">
        <v>10</v>
      </c>
      <c r="TVQ7" s="1179"/>
      <c r="TVR7" s="1179"/>
      <c r="TVS7" s="1180"/>
      <c r="TVT7" s="1178" t="s">
        <v>8</v>
      </c>
      <c r="TVU7" s="1179"/>
      <c r="TVV7" s="1179"/>
      <c r="TVW7" s="1179"/>
      <c r="TVX7" s="1179" t="s">
        <v>10</v>
      </c>
      <c r="TVY7" s="1179"/>
      <c r="TVZ7" s="1179"/>
      <c r="TWA7" s="1180"/>
      <c r="TWB7" s="1178" t="s">
        <v>8</v>
      </c>
      <c r="TWC7" s="1179"/>
      <c r="TWD7" s="1179"/>
      <c r="TWE7" s="1179"/>
      <c r="TWF7" s="1179" t="s">
        <v>10</v>
      </c>
      <c r="TWG7" s="1179"/>
      <c r="TWH7" s="1179"/>
      <c r="TWI7" s="1180"/>
      <c r="TWJ7" s="1178" t="s">
        <v>8</v>
      </c>
      <c r="TWK7" s="1179"/>
      <c r="TWL7" s="1179"/>
      <c r="TWM7" s="1179"/>
      <c r="TWN7" s="1179" t="s">
        <v>10</v>
      </c>
      <c r="TWO7" s="1179"/>
      <c r="TWP7" s="1179"/>
      <c r="TWQ7" s="1180"/>
      <c r="TWR7" s="1178" t="s">
        <v>8</v>
      </c>
      <c r="TWS7" s="1179"/>
      <c r="TWT7" s="1179"/>
      <c r="TWU7" s="1179"/>
      <c r="TWV7" s="1179" t="s">
        <v>10</v>
      </c>
      <c r="TWW7" s="1179"/>
      <c r="TWX7" s="1179"/>
      <c r="TWY7" s="1180"/>
      <c r="TWZ7" s="1178" t="s">
        <v>8</v>
      </c>
      <c r="TXA7" s="1179"/>
      <c r="TXB7" s="1179"/>
      <c r="TXC7" s="1179"/>
      <c r="TXD7" s="1179" t="s">
        <v>10</v>
      </c>
      <c r="TXE7" s="1179"/>
      <c r="TXF7" s="1179"/>
      <c r="TXG7" s="1180"/>
      <c r="TXH7" s="1178" t="s">
        <v>8</v>
      </c>
      <c r="TXI7" s="1179"/>
      <c r="TXJ7" s="1179"/>
      <c r="TXK7" s="1179"/>
      <c r="TXL7" s="1179" t="s">
        <v>10</v>
      </c>
      <c r="TXM7" s="1179"/>
      <c r="TXN7" s="1179"/>
      <c r="TXO7" s="1180"/>
      <c r="TXP7" s="1178" t="s">
        <v>8</v>
      </c>
      <c r="TXQ7" s="1179"/>
      <c r="TXR7" s="1179"/>
      <c r="TXS7" s="1179"/>
      <c r="TXT7" s="1179" t="s">
        <v>10</v>
      </c>
      <c r="TXU7" s="1179"/>
      <c r="TXV7" s="1179"/>
      <c r="TXW7" s="1180"/>
      <c r="TXX7" s="1178" t="s">
        <v>8</v>
      </c>
      <c r="TXY7" s="1179"/>
      <c r="TXZ7" s="1179"/>
      <c r="TYA7" s="1179"/>
      <c r="TYB7" s="1179" t="s">
        <v>10</v>
      </c>
      <c r="TYC7" s="1179"/>
      <c r="TYD7" s="1179"/>
      <c r="TYE7" s="1180"/>
      <c r="TYF7" s="1178" t="s">
        <v>8</v>
      </c>
      <c r="TYG7" s="1179"/>
      <c r="TYH7" s="1179"/>
      <c r="TYI7" s="1179"/>
      <c r="TYJ7" s="1179" t="s">
        <v>10</v>
      </c>
      <c r="TYK7" s="1179"/>
      <c r="TYL7" s="1179"/>
      <c r="TYM7" s="1180"/>
      <c r="TYN7" s="1178" t="s">
        <v>8</v>
      </c>
      <c r="TYO7" s="1179"/>
      <c r="TYP7" s="1179"/>
      <c r="TYQ7" s="1179"/>
      <c r="TYR7" s="1179" t="s">
        <v>10</v>
      </c>
      <c r="TYS7" s="1179"/>
      <c r="TYT7" s="1179"/>
      <c r="TYU7" s="1180"/>
      <c r="TYV7" s="1178" t="s">
        <v>8</v>
      </c>
      <c r="TYW7" s="1179"/>
      <c r="TYX7" s="1179"/>
      <c r="TYY7" s="1179"/>
      <c r="TYZ7" s="1179" t="s">
        <v>10</v>
      </c>
      <c r="TZA7" s="1179"/>
      <c r="TZB7" s="1179"/>
      <c r="TZC7" s="1180"/>
      <c r="TZD7" s="1178" t="s">
        <v>8</v>
      </c>
      <c r="TZE7" s="1179"/>
      <c r="TZF7" s="1179"/>
      <c r="TZG7" s="1179"/>
      <c r="TZH7" s="1179" t="s">
        <v>10</v>
      </c>
      <c r="TZI7" s="1179"/>
      <c r="TZJ7" s="1179"/>
      <c r="TZK7" s="1180"/>
      <c r="TZL7" s="1178" t="s">
        <v>8</v>
      </c>
      <c r="TZM7" s="1179"/>
      <c r="TZN7" s="1179"/>
      <c r="TZO7" s="1179"/>
      <c r="TZP7" s="1179" t="s">
        <v>10</v>
      </c>
      <c r="TZQ7" s="1179"/>
      <c r="TZR7" s="1179"/>
      <c r="TZS7" s="1180"/>
      <c r="TZT7" s="1178" t="s">
        <v>8</v>
      </c>
      <c r="TZU7" s="1179"/>
      <c r="TZV7" s="1179"/>
      <c r="TZW7" s="1179"/>
      <c r="TZX7" s="1179" t="s">
        <v>10</v>
      </c>
      <c r="TZY7" s="1179"/>
      <c r="TZZ7" s="1179"/>
      <c r="UAA7" s="1180"/>
      <c r="UAB7" s="1178" t="s">
        <v>8</v>
      </c>
      <c r="UAC7" s="1179"/>
      <c r="UAD7" s="1179"/>
      <c r="UAE7" s="1179"/>
      <c r="UAF7" s="1179" t="s">
        <v>10</v>
      </c>
      <c r="UAG7" s="1179"/>
      <c r="UAH7" s="1179"/>
      <c r="UAI7" s="1180"/>
      <c r="UAJ7" s="1178" t="s">
        <v>8</v>
      </c>
      <c r="UAK7" s="1179"/>
      <c r="UAL7" s="1179"/>
      <c r="UAM7" s="1179"/>
      <c r="UAN7" s="1179" t="s">
        <v>10</v>
      </c>
      <c r="UAO7" s="1179"/>
      <c r="UAP7" s="1179"/>
      <c r="UAQ7" s="1180"/>
      <c r="UAR7" s="1178" t="s">
        <v>8</v>
      </c>
      <c r="UAS7" s="1179"/>
      <c r="UAT7" s="1179"/>
      <c r="UAU7" s="1179"/>
      <c r="UAV7" s="1179" t="s">
        <v>10</v>
      </c>
      <c r="UAW7" s="1179"/>
      <c r="UAX7" s="1179"/>
      <c r="UAY7" s="1180"/>
      <c r="UAZ7" s="1178" t="s">
        <v>8</v>
      </c>
      <c r="UBA7" s="1179"/>
      <c r="UBB7" s="1179"/>
      <c r="UBC7" s="1179"/>
      <c r="UBD7" s="1179" t="s">
        <v>10</v>
      </c>
      <c r="UBE7" s="1179"/>
      <c r="UBF7" s="1179"/>
      <c r="UBG7" s="1180"/>
      <c r="UBH7" s="1178" t="s">
        <v>8</v>
      </c>
      <c r="UBI7" s="1179"/>
      <c r="UBJ7" s="1179"/>
      <c r="UBK7" s="1179"/>
      <c r="UBL7" s="1179" t="s">
        <v>10</v>
      </c>
      <c r="UBM7" s="1179"/>
      <c r="UBN7" s="1179"/>
      <c r="UBO7" s="1180"/>
      <c r="UBP7" s="1178" t="s">
        <v>8</v>
      </c>
      <c r="UBQ7" s="1179"/>
      <c r="UBR7" s="1179"/>
      <c r="UBS7" s="1179"/>
      <c r="UBT7" s="1179" t="s">
        <v>10</v>
      </c>
      <c r="UBU7" s="1179"/>
      <c r="UBV7" s="1179"/>
      <c r="UBW7" s="1180"/>
      <c r="UBX7" s="1178" t="s">
        <v>8</v>
      </c>
      <c r="UBY7" s="1179"/>
      <c r="UBZ7" s="1179"/>
      <c r="UCA7" s="1179"/>
      <c r="UCB7" s="1179" t="s">
        <v>10</v>
      </c>
      <c r="UCC7" s="1179"/>
      <c r="UCD7" s="1179"/>
      <c r="UCE7" s="1180"/>
      <c r="UCF7" s="1178" t="s">
        <v>8</v>
      </c>
      <c r="UCG7" s="1179"/>
      <c r="UCH7" s="1179"/>
      <c r="UCI7" s="1179"/>
      <c r="UCJ7" s="1179" t="s">
        <v>10</v>
      </c>
      <c r="UCK7" s="1179"/>
      <c r="UCL7" s="1179"/>
      <c r="UCM7" s="1180"/>
      <c r="UCN7" s="1178" t="s">
        <v>8</v>
      </c>
      <c r="UCO7" s="1179"/>
      <c r="UCP7" s="1179"/>
      <c r="UCQ7" s="1179"/>
      <c r="UCR7" s="1179" t="s">
        <v>10</v>
      </c>
      <c r="UCS7" s="1179"/>
      <c r="UCT7" s="1179"/>
      <c r="UCU7" s="1180"/>
      <c r="UCV7" s="1178" t="s">
        <v>8</v>
      </c>
      <c r="UCW7" s="1179"/>
      <c r="UCX7" s="1179"/>
      <c r="UCY7" s="1179"/>
      <c r="UCZ7" s="1179" t="s">
        <v>10</v>
      </c>
      <c r="UDA7" s="1179"/>
      <c r="UDB7" s="1179"/>
      <c r="UDC7" s="1180"/>
      <c r="UDD7" s="1178" t="s">
        <v>8</v>
      </c>
      <c r="UDE7" s="1179"/>
      <c r="UDF7" s="1179"/>
      <c r="UDG7" s="1179"/>
      <c r="UDH7" s="1179" t="s">
        <v>10</v>
      </c>
      <c r="UDI7" s="1179"/>
      <c r="UDJ7" s="1179"/>
      <c r="UDK7" s="1180"/>
      <c r="UDL7" s="1178" t="s">
        <v>8</v>
      </c>
      <c r="UDM7" s="1179"/>
      <c r="UDN7" s="1179"/>
      <c r="UDO7" s="1179"/>
      <c r="UDP7" s="1179" t="s">
        <v>10</v>
      </c>
      <c r="UDQ7" s="1179"/>
      <c r="UDR7" s="1179"/>
      <c r="UDS7" s="1180"/>
      <c r="UDT7" s="1178" t="s">
        <v>8</v>
      </c>
      <c r="UDU7" s="1179"/>
      <c r="UDV7" s="1179"/>
      <c r="UDW7" s="1179"/>
      <c r="UDX7" s="1179" t="s">
        <v>10</v>
      </c>
      <c r="UDY7" s="1179"/>
      <c r="UDZ7" s="1179"/>
      <c r="UEA7" s="1180"/>
      <c r="UEB7" s="1178" t="s">
        <v>8</v>
      </c>
      <c r="UEC7" s="1179"/>
      <c r="UED7" s="1179"/>
      <c r="UEE7" s="1179"/>
      <c r="UEF7" s="1179" t="s">
        <v>10</v>
      </c>
      <c r="UEG7" s="1179"/>
      <c r="UEH7" s="1179"/>
      <c r="UEI7" s="1180"/>
      <c r="UEJ7" s="1178" t="s">
        <v>8</v>
      </c>
      <c r="UEK7" s="1179"/>
      <c r="UEL7" s="1179"/>
      <c r="UEM7" s="1179"/>
      <c r="UEN7" s="1179" t="s">
        <v>10</v>
      </c>
      <c r="UEO7" s="1179"/>
      <c r="UEP7" s="1179"/>
      <c r="UEQ7" s="1180"/>
      <c r="UER7" s="1178" t="s">
        <v>8</v>
      </c>
      <c r="UES7" s="1179"/>
      <c r="UET7" s="1179"/>
      <c r="UEU7" s="1179"/>
      <c r="UEV7" s="1179" t="s">
        <v>10</v>
      </c>
      <c r="UEW7" s="1179"/>
      <c r="UEX7" s="1179"/>
      <c r="UEY7" s="1180"/>
      <c r="UEZ7" s="1178" t="s">
        <v>8</v>
      </c>
      <c r="UFA7" s="1179"/>
      <c r="UFB7" s="1179"/>
      <c r="UFC7" s="1179"/>
      <c r="UFD7" s="1179" t="s">
        <v>10</v>
      </c>
      <c r="UFE7" s="1179"/>
      <c r="UFF7" s="1179"/>
      <c r="UFG7" s="1180"/>
      <c r="UFH7" s="1178" t="s">
        <v>8</v>
      </c>
      <c r="UFI7" s="1179"/>
      <c r="UFJ7" s="1179"/>
      <c r="UFK7" s="1179"/>
      <c r="UFL7" s="1179" t="s">
        <v>10</v>
      </c>
      <c r="UFM7" s="1179"/>
      <c r="UFN7" s="1179"/>
      <c r="UFO7" s="1180"/>
      <c r="UFP7" s="1178" t="s">
        <v>8</v>
      </c>
      <c r="UFQ7" s="1179"/>
      <c r="UFR7" s="1179"/>
      <c r="UFS7" s="1179"/>
      <c r="UFT7" s="1179" t="s">
        <v>10</v>
      </c>
      <c r="UFU7" s="1179"/>
      <c r="UFV7" s="1179"/>
      <c r="UFW7" s="1180"/>
      <c r="UFX7" s="1178" t="s">
        <v>8</v>
      </c>
      <c r="UFY7" s="1179"/>
      <c r="UFZ7" s="1179"/>
      <c r="UGA7" s="1179"/>
      <c r="UGB7" s="1179" t="s">
        <v>10</v>
      </c>
      <c r="UGC7" s="1179"/>
      <c r="UGD7" s="1179"/>
      <c r="UGE7" s="1180"/>
      <c r="UGF7" s="1178" t="s">
        <v>8</v>
      </c>
      <c r="UGG7" s="1179"/>
      <c r="UGH7" s="1179"/>
      <c r="UGI7" s="1179"/>
      <c r="UGJ7" s="1179" t="s">
        <v>10</v>
      </c>
      <c r="UGK7" s="1179"/>
      <c r="UGL7" s="1179"/>
      <c r="UGM7" s="1180"/>
      <c r="UGN7" s="1178" t="s">
        <v>8</v>
      </c>
      <c r="UGO7" s="1179"/>
      <c r="UGP7" s="1179"/>
      <c r="UGQ7" s="1179"/>
      <c r="UGR7" s="1179" t="s">
        <v>10</v>
      </c>
      <c r="UGS7" s="1179"/>
      <c r="UGT7" s="1179"/>
      <c r="UGU7" s="1180"/>
      <c r="UGV7" s="1178" t="s">
        <v>8</v>
      </c>
      <c r="UGW7" s="1179"/>
      <c r="UGX7" s="1179"/>
      <c r="UGY7" s="1179"/>
      <c r="UGZ7" s="1179" t="s">
        <v>10</v>
      </c>
      <c r="UHA7" s="1179"/>
      <c r="UHB7" s="1179"/>
      <c r="UHC7" s="1180"/>
      <c r="UHD7" s="1178" t="s">
        <v>8</v>
      </c>
      <c r="UHE7" s="1179"/>
      <c r="UHF7" s="1179"/>
      <c r="UHG7" s="1179"/>
      <c r="UHH7" s="1179" t="s">
        <v>10</v>
      </c>
      <c r="UHI7" s="1179"/>
      <c r="UHJ7" s="1179"/>
      <c r="UHK7" s="1180"/>
      <c r="UHL7" s="1178" t="s">
        <v>8</v>
      </c>
      <c r="UHM7" s="1179"/>
      <c r="UHN7" s="1179"/>
      <c r="UHO7" s="1179"/>
      <c r="UHP7" s="1179" t="s">
        <v>10</v>
      </c>
      <c r="UHQ7" s="1179"/>
      <c r="UHR7" s="1179"/>
      <c r="UHS7" s="1180"/>
      <c r="UHT7" s="1178" t="s">
        <v>8</v>
      </c>
      <c r="UHU7" s="1179"/>
      <c r="UHV7" s="1179"/>
      <c r="UHW7" s="1179"/>
      <c r="UHX7" s="1179" t="s">
        <v>10</v>
      </c>
      <c r="UHY7" s="1179"/>
      <c r="UHZ7" s="1179"/>
      <c r="UIA7" s="1180"/>
      <c r="UIB7" s="1178" t="s">
        <v>8</v>
      </c>
      <c r="UIC7" s="1179"/>
      <c r="UID7" s="1179"/>
      <c r="UIE7" s="1179"/>
      <c r="UIF7" s="1179" t="s">
        <v>10</v>
      </c>
      <c r="UIG7" s="1179"/>
      <c r="UIH7" s="1179"/>
      <c r="UII7" s="1180"/>
      <c r="UIJ7" s="1178" t="s">
        <v>8</v>
      </c>
      <c r="UIK7" s="1179"/>
      <c r="UIL7" s="1179"/>
      <c r="UIM7" s="1179"/>
      <c r="UIN7" s="1179" t="s">
        <v>10</v>
      </c>
      <c r="UIO7" s="1179"/>
      <c r="UIP7" s="1179"/>
      <c r="UIQ7" s="1180"/>
      <c r="UIR7" s="1178" t="s">
        <v>8</v>
      </c>
      <c r="UIS7" s="1179"/>
      <c r="UIT7" s="1179"/>
      <c r="UIU7" s="1179"/>
      <c r="UIV7" s="1179" t="s">
        <v>10</v>
      </c>
      <c r="UIW7" s="1179"/>
      <c r="UIX7" s="1179"/>
      <c r="UIY7" s="1180"/>
      <c r="UIZ7" s="1178" t="s">
        <v>8</v>
      </c>
      <c r="UJA7" s="1179"/>
      <c r="UJB7" s="1179"/>
      <c r="UJC7" s="1179"/>
      <c r="UJD7" s="1179" t="s">
        <v>10</v>
      </c>
      <c r="UJE7" s="1179"/>
      <c r="UJF7" s="1179"/>
      <c r="UJG7" s="1180"/>
      <c r="UJH7" s="1178" t="s">
        <v>8</v>
      </c>
      <c r="UJI7" s="1179"/>
      <c r="UJJ7" s="1179"/>
      <c r="UJK7" s="1179"/>
      <c r="UJL7" s="1179" t="s">
        <v>10</v>
      </c>
      <c r="UJM7" s="1179"/>
      <c r="UJN7" s="1179"/>
      <c r="UJO7" s="1180"/>
      <c r="UJP7" s="1178" t="s">
        <v>8</v>
      </c>
      <c r="UJQ7" s="1179"/>
      <c r="UJR7" s="1179"/>
      <c r="UJS7" s="1179"/>
      <c r="UJT7" s="1179" t="s">
        <v>10</v>
      </c>
      <c r="UJU7" s="1179"/>
      <c r="UJV7" s="1179"/>
      <c r="UJW7" s="1180"/>
      <c r="UJX7" s="1178" t="s">
        <v>8</v>
      </c>
      <c r="UJY7" s="1179"/>
      <c r="UJZ7" s="1179"/>
      <c r="UKA7" s="1179"/>
      <c r="UKB7" s="1179" t="s">
        <v>10</v>
      </c>
      <c r="UKC7" s="1179"/>
      <c r="UKD7" s="1179"/>
      <c r="UKE7" s="1180"/>
      <c r="UKF7" s="1178" t="s">
        <v>8</v>
      </c>
      <c r="UKG7" s="1179"/>
      <c r="UKH7" s="1179"/>
      <c r="UKI7" s="1179"/>
      <c r="UKJ7" s="1179" t="s">
        <v>10</v>
      </c>
      <c r="UKK7" s="1179"/>
      <c r="UKL7" s="1179"/>
      <c r="UKM7" s="1180"/>
      <c r="UKN7" s="1178" t="s">
        <v>8</v>
      </c>
      <c r="UKO7" s="1179"/>
      <c r="UKP7" s="1179"/>
      <c r="UKQ7" s="1179"/>
      <c r="UKR7" s="1179" t="s">
        <v>10</v>
      </c>
      <c r="UKS7" s="1179"/>
      <c r="UKT7" s="1179"/>
      <c r="UKU7" s="1180"/>
      <c r="UKV7" s="1178" t="s">
        <v>8</v>
      </c>
      <c r="UKW7" s="1179"/>
      <c r="UKX7" s="1179"/>
      <c r="UKY7" s="1179"/>
      <c r="UKZ7" s="1179" t="s">
        <v>10</v>
      </c>
      <c r="ULA7" s="1179"/>
      <c r="ULB7" s="1179"/>
      <c r="ULC7" s="1180"/>
      <c r="ULD7" s="1178" t="s">
        <v>8</v>
      </c>
      <c r="ULE7" s="1179"/>
      <c r="ULF7" s="1179"/>
      <c r="ULG7" s="1179"/>
      <c r="ULH7" s="1179" t="s">
        <v>10</v>
      </c>
      <c r="ULI7" s="1179"/>
      <c r="ULJ7" s="1179"/>
      <c r="ULK7" s="1180"/>
      <c r="ULL7" s="1178" t="s">
        <v>8</v>
      </c>
      <c r="ULM7" s="1179"/>
      <c r="ULN7" s="1179"/>
      <c r="ULO7" s="1179"/>
      <c r="ULP7" s="1179" t="s">
        <v>10</v>
      </c>
      <c r="ULQ7" s="1179"/>
      <c r="ULR7" s="1179"/>
      <c r="ULS7" s="1180"/>
      <c r="ULT7" s="1178" t="s">
        <v>8</v>
      </c>
      <c r="ULU7" s="1179"/>
      <c r="ULV7" s="1179"/>
      <c r="ULW7" s="1179"/>
      <c r="ULX7" s="1179" t="s">
        <v>10</v>
      </c>
      <c r="ULY7" s="1179"/>
      <c r="ULZ7" s="1179"/>
      <c r="UMA7" s="1180"/>
      <c r="UMB7" s="1178" t="s">
        <v>8</v>
      </c>
      <c r="UMC7" s="1179"/>
      <c r="UMD7" s="1179"/>
      <c r="UME7" s="1179"/>
      <c r="UMF7" s="1179" t="s">
        <v>10</v>
      </c>
      <c r="UMG7" s="1179"/>
      <c r="UMH7" s="1179"/>
      <c r="UMI7" s="1180"/>
      <c r="UMJ7" s="1178" t="s">
        <v>8</v>
      </c>
      <c r="UMK7" s="1179"/>
      <c r="UML7" s="1179"/>
      <c r="UMM7" s="1179"/>
      <c r="UMN7" s="1179" t="s">
        <v>10</v>
      </c>
      <c r="UMO7" s="1179"/>
      <c r="UMP7" s="1179"/>
      <c r="UMQ7" s="1180"/>
      <c r="UMR7" s="1178" t="s">
        <v>8</v>
      </c>
      <c r="UMS7" s="1179"/>
      <c r="UMT7" s="1179"/>
      <c r="UMU7" s="1179"/>
      <c r="UMV7" s="1179" t="s">
        <v>10</v>
      </c>
      <c r="UMW7" s="1179"/>
      <c r="UMX7" s="1179"/>
      <c r="UMY7" s="1180"/>
      <c r="UMZ7" s="1178" t="s">
        <v>8</v>
      </c>
      <c r="UNA7" s="1179"/>
      <c r="UNB7" s="1179"/>
      <c r="UNC7" s="1179"/>
      <c r="UND7" s="1179" t="s">
        <v>10</v>
      </c>
      <c r="UNE7" s="1179"/>
      <c r="UNF7" s="1179"/>
      <c r="UNG7" s="1180"/>
      <c r="UNH7" s="1178" t="s">
        <v>8</v>
      </c>
      <c r="UNI7" s="1179"/>
      <c r="UNJ7" s="1179"/>
      <c r="UNK7" s="1179"/>
      <c r="UNL7" s="1179" t="s">
        <v>10</v>
      </c>
      <c r="UNM7" s="1179"/>
      <c r="UNN7" s="1179"/>
      <c r="UNO7" s="1180"/>
      <c r="UNP7" s="1178" t="s">
        <v>8</v>
      </c>
      <c r="UNQ7" s="1179"/>
      <c r="UNR7" s="1179"/>
      <c r="UNS7" s="1179"/>
      <c r="UNT7" s="1179" t="s">
        <v>10</v>
      </c>
      <c r="UNU7" s="1179"/>
      <c r="UNV7" s="1179"/>
      <c r="UNW7" s="1180"/>
      <c r="UNX7" s="1178" t="s">
        <v>8</v>
      </c>
      <c r="UNY7" s="1179"/>
      <c r="UNZ7" s="1179"/>
      <c r="UOA7" s="1179"/>
      <c r="UOB7" s="1179" t="s">
        <v>10</v>
      </c>
      <c r="UOC7" s="1179"/>
      <c r="UOD7" s="1179"/>
      <c r="UOE7" s="1180"/>
      <c r="UOF7" s="1178" t="s">
        <v>8</v>
      </c>
      <c r="UOG7" s="1179"/>
      <c r="UOH7" s="1179"/>
      <c r="UOI7" s="1179"/>
      <c r="UOJ7" s="1179" t="s">
        <v>10</v>
      </c>
      <c r="UOK7" s="1179"/>
      <c r="UOL7" s="1179"/>
      <c r="UOM7" s="1180"/>
      <c r="UON7" s="1178" t="s">
        <v>8</v>
      </c>
      <c r="UOO7" s="1179"/>
      <c r="UOP7" s="1179"/>
      <c r="UOQ7" s="1179"/>
      <c r="UOR7" s="1179" t="s">
        <v>10</v>
      </c>
      <c r="UOS7" s="1179"/>
      <c r="UOT7" s="1179"/>
      <c r="UOU7" s="1180"/>
      <c r="UOV7" s="1178" t="s">
        <v>8</v>
      </c>
      <c r="UOW7" s="1179"/>
      <c r="UOX7" s="1179"/>
      <c r="UOY7" s="1179"/>
      <c r="UOZ7" s="1179" t="s">
        <v>10</v>
      </c>
      <c r="UPA7" s="1179"/>
      <c r="UPB7" s="1179"/>
      <c r="UPC7" s="1180"/>
      <c r="UPD7" s="1178" t="s">
        <v>8</v>
      </c>
      <c r="UPE7" s="1179"/>
      <c r="UPF7" s="1179"/>
      <c r="UPG7" s="1179"/>
      <c r="UPH7" s="1179" t="s">
        <v>10</v>
      </c>
      <c r="UPI7" s="1179"/>
      <c r="UPJ7" s="1179"/>
      <c r="UPK7" s="1180"/>
      <c r="UPL7" s="1178" t="s">
        <v>8</v>
      </c>
      <c r="UPM7" s="1179"/>
      <c r="UPN7" s="1179"/>
      <c r="UPO7" s="1179"/>
      <c r="UPP7" s="1179" t="s">
        <v>10</v>
      </c>
      <c r="UPQ7" s="1179"/>
      <c r="UPR7" s="1179"/>
      <c r="UPS7" s="1180"/>
      <c r="UPT7" s="1178" t="s">
        <v>8</v>
      </c>
      <c r="UPU7" s="1179"/>
      <c r="UPV7" s="1179"/>
      <c r="UPW7" s="1179"/>
      <c r="UPX7" s="1179" t="s">
        <v>10</v>
      </c>
      <c r="UPY7" s="1179"/>
      <c r="UPZ7" s="1179"/>
      <c r="UQA7" s="1180"/>
      <c r="UQB7" s="1178" t="s">
        <v>8</v>
      </c>
      <c r="UQC7" s="1179"/>
      <c r="UQD7" s="1179"/>
      <c r="UQE7" s="1179"/>
      <c r="UQF7" s="1179" t="s">
        <v>10</v>
      </c>
      <c r="UQG7" s="1179"/>
      <c r="UQH7" s="1179"/>
      <c r="UQI7" s="1180"/>
      <c r="UQJ7" s="1178" t="s">
        <v>8</v>
      </c>
      <c r="UQK7" s="1179"/>
      <c r="UQL7" s="1179"/>
      <c r="UQM7" s="1179"/>
      <c r="UQN7" s="1179" t="s">
        <v>10</v>
      </c>
      <c r="UQO7" s="1179"/>
      <c r="UQP7" s="1179"/>
      <c r="UQQ7" s="1180"/>
      <c r="UQR7" s="1178" t="s">
        <v>8</v>
      </c>
      <c r="UQS7" s="1179"/>
      <c r="UQT7" s="1179"/>
      <c r="UQU7" s="1179"/>
      <c r="UQV7" s="1179" t="s">
        <v>10</v>
      </c>
      <c r="UQW7" s="1179"/>
      <c r="UQX7" s="1179"/>
      <c r="UQY7" s="1180"/>
      <c r="UQZ7" s="1178" t="s">
        <v>8</v>
      </c>
      <c r="URA7" s="1179"/>
      <c r="URB7" s="1179"/>
      <c r="URC7" s="1179"/>
      <c r="URD7" s="1179" t="s">
        <v>10</v>
      </c>
      <c r="URE7" s="1179"/>
      <c r="URF7" s="1179"/>
      <c r="URG7" s="1180"/>
      <c r="URH7" s="1178" t="s">
        <v>8</v>
      </c>
      <c r="URI7" s="1179"/>
      <c r="URJ7" s="1179"/>
      <c r="URK7" s="1179"/>
      <c r="URL7" s="1179" t="s">
        <v>10</v>
      </c>
      <c r="URM7" s="1179"/>
      <c r="URN7" s="1179"/>
      <c r="URO7" s="1180"/>
      <c r="URP7" s="1178" t="s">
        <v>8</v>
      </c>
      <c r="URQ7" s="1179"/>
      <c r="URR7" s="1179"/>
      <c r="URS7" s="1179"/>
      <c r="URT7" s="1179" t="s">
        <v>10</v>
      </c>
      <c r="URU7" s="1179"/>
      <c r="URV7" s="1179"/>
      <c r="URW7" s="1180"/>
      <c r="URX7" s="1178" t="s">
        <v>8</v>
      </c>
      <c r="URY7" s="1179"/>
      <c r="URZ7" s="1179"/>
      <c r="USA7" s="1179"/>
      <c r="USB7" s="1179" t="s">
        <v>10</v>
      </c>
      <c r="USC7" s="1179"/>
      <c r="USD7" s="1179"/>
      <c r="USE7" s="1180"/>
      <c r="USF7" s="1178" t="s">
        <v>8</v>
      </c>
      <c r="USG7" s="1179"/>
      <c r="USH7" s="1179"/>
      <c r="USI7" s="1179"/>
      <c r="USJ7" s="1179" t="s">
        <v>10</v>
      </c>
      <c r="USK7" s="1179"/>
      <c r="USL7" s="1179"/>
      <c r="USM7" s="1180"/>
      <c r="USN7" s="1178" t="s">
        <v>8</v>
      </c>
      <c r="USO7" s="1179"/>
      <c r="USP7" s="1179"/>
      <c r="USQ7" s="1179"/>
      <c r="USR7" s="1179" t="s">
        <v>10</v>
      </c>
      <c r="USS7" s="1179"/>
      <c r="UST7" s="1179"/>
      <c r="USU7" s="1180"/>
      <c r="USV7" s="1178" t="s">
        <v>8</v>
      </c>
      <c r="USW7" s="1179"/>
      <c r="USX7" s="1179"/>
      <c r="USY7" s="1179"/>
      <c r="USZ7" s="1179" t="s">
        <v>10</v>
      </c>
      <c r="UTA7" s="1179"/>
      <c r="UTB7" s="1179"/>
      <c r="UTC7" s="1180"/>
      <c r="UTD7" s="1178" t="s">
        <v>8</v>
      </c>
      <c r="UTE7" s="1179"/>
      <c r="UTF7" s="1179"/>
      <c r="UTG7" s="1179"/>
      <c r="UTH7" s="1179" t="s">
        <v>10</v>
      </c>
      <c r="UTI7" s="1179"/>
      <c r="UTJ7" s="1179"/>
      <c r="UTK7" s="1180"/>
      <c r="UTL7" s="1178" t="s">
        <v>8</v>
      </c>
      <c r="UTM7" s="1179"/>
      <c r="UTN7" s="1179"/>
      <c r="UTO7" s="1179"/>
      <c r="UTP7" s="1179" t="s">
        <v>10</v>
      </c>
      <c r="UTQ7" s="1179"/>
      <c r="UTR7" s="1179"/>
      <c r="UTS7" s="1180"/>
      <c r="UTT7" s="1178" t="s">
        <v>8</v>
      </c>
      <c r="UTU7" s="1179"/>
      <c r="UTV7" s="1179"/>
      <c r="UTW7" s="1179"/>
      <c r="UTX7" s="1179" t="s">
        <v>10</v>
      </c>
      <c r="UTY7" s="1179"/>
      <c r="UTZ7" s="1179"/>
      <c r="UUA7" s="1180"/>
      <c r="UUB7" s="1178" t="s">
        <v>8</v>
      </c>
      <c r="UUC7" s="1179"/>
      <c r="UUD7" s="1179"/>
      <c r="UUE7" s="1179"/>
      <c r="UUF7" s="1179" t="s">
        <v>10</v>
      </c>
      <c r="UUG7" s="1179"/>
      <c r="UUH7" s="1179"/>
      <c r="UUI7" s="1180"/>
      <c r="UUJ7" s="1178" t="s">
        <v>8</v>
      </c>
      <c r="UUK7" s="1179"/>
      <c r="UUL7" s="1179"/>
      <c r="UUM7" s="1179"/>
      <c r="UUN7" s="1179" t="s">
        <v>10</v>
      </c>
      <c r="UUO7" s="1179"/>
      <c r="UUP7" s="1179"/>
      <c r="UUQ7" s="1180"/>
      <c r="UUR7" s="1178" t="s">
        <v>8</v>
      </c>
      <c r="UUS7" s="1179"/>
      <c r="UUT7" s="1179"/>
      <c r="UUU7" s="1179"/>
      <c r="UUV7" s="1179" t="s">
        <v>10</v>
      </c>
      <c r="UUW7" s="1179"/>
      <c r="UUX7" s="1179"/>
      <c r="UUY7" s="1180"/>
      <c r="UUZ7" s="1178" t="s">
        <v>8</v>
      </c>
      <c r="UVA7" s="1179"/>
      <c r="UVB7" s="1179"/>
      <c r="UVC7" s="1179"/>
      <c r="UVD7" s="1179" t="s">
        <v>10</v>
      </c>
      <c r="UVE7" s="1179"/>
      <c r="UVF7" s="1179"/>
      <c r="UVG7" s="1180"/>
      <c r="UVH7" s="1178" t="s">
        <v>8</v>
      </c>
      <c r="UVI7" s="1179"/>
      <c r="UVJ7" s="1179"/>
      <c r="UVK7" s="1179"/>
      <c r="UVL7" s="1179" t="s">
        <v>10</v>
      </c>
      <c r="UVM7" s="1179"/>
      <c r="UVN7" s="1179"/>
      <c r="UVO7" s="1180"/>
      <c r="UVP7" s="1178" t="s">
        <v>8</v>
      </c>
      <c r="UVQ7" s="1179"/>
      <c r="UVR7" s="1179"/>
      <c r="UVS7" s="1179"/>
      <c r="UVT7" s="1179" t="s">
        <v>10</v>
      </c>
      <c r="UVU7" s="1179"/>
      <c r="UVV7" s="1179"/>
      <c r="UVW7" s="1180"/>
      <c r="UVX7" s="1178" t="s">
        <v>8</v>
      </c>
      <c r="UVY7" s="1179"/>
      <c r="UVZ7" s="1179"/>
      <c r="UWA7" s="1179"/>
      <c r="UWB7" s="1179" t="s">
        <v>10</v>
      </c>
      <c r="UWC7" s="1179"/>
      <c r="UWD7" s="1179"/>
      <c r="UWE7" s="1180"/>
      <c r="UWF7" s="1178" t="s">
        <v>8</v>
      </c>
      <c r="UWG7" s="1179"/>
      <c r="UWH7" s="1179"/>
      <c r="UWI7" s="1179"/>
      <c r="UWJ7" s="1179" t="s">
        <v>10</v>
      </c>
      <c r="UWK7" s="1179"/>
      <c r="UWL7" s="1179"/>
      <c r="UWM7" s="1180"/>
      <c r="UWN7" s="1178" t="s">
        <v>8</v>
      </c>
      <c r="UWO7" s="1179"/>
      <c r="UWP7" s="1179"/>
      <c r="UWQ7" s="1179"/>
      <c r="UWR7" s="1179" t="s">
        <v>10</v>
      </c>
      <c r="UWS7" s="1179"/>
      <c r="UWT7" s="1179"/>
      <c r="UWU7" s="1180"/>
      <c r="UWV7" s="1178" t="s">
        <v>8</v>
      </c>
      <c r="UWW7" s="1179"/>
      <c r="UWX7" s="1179"/>
      <c r="UWY7" s="1179"/>
      <c r="UWZ7" s="1179" t="s">
        <v>10</v>
      </c>
      <c r="UXA7" s="1179"/>
      <c r="UXB7" s="1179"/>
      <c r="UXC7" s="1180"/>
      <c r="UXD7" s="1178" t="s">
        <v>8</v>
      </c>
      <c r="UXE7" s="1179"/>
      <c r="UXF7" s="1179"/>
      <c r="UXG7" s="1179"/>
      <c r="UXH7" s="1179" t="s">
        <v>10</v>
      </c>
      <c r="UXI7" s="1179"/>
      <c r="UXJ7" s="1179"/>
      <c r="UXK7" s="1180"/>
      <c r="UXL7" s="1178" t="s">
        <v>8</v>
      </c>
      <c r="UXM7" s="1179"/>
      <c r="UXN7" s="1179"/>
      <c r="UXO7" s="1179"/>
      <c r="UXP7" s="1179" t="s">
        <v>10</v>
      </c>
      <c r="UXQ7" s="1179"/>
      <c r="UXR7" s="1179"/>
      <c r="UXS7" s="1180"/>
      <c r="UXT7" s="1178" t="s">
        <v>8</v>
      </c>
      <c r="UXU7" s="1179"/>
      <c r="UXV7" s="1179"/>
      <c r="UXW7" s="1179"/>
      <c r="UXX7" s="1179" t="s">
        <v>10</v>
      </c>
      <c r="UXY7" s="1179"/>
      <c r="UXZ7" s="1179"/>
      <c r="UYA7" s="1180"/>
      <c r="UYB7" s="1178" t="s">
        <v>8</v>
      </c>
      <c r="UYC7" s="1179"/>
      <c r="UYD7" s="1179"/>
      <c r="UYE7" s="1179"/>
      <c r="UYF7" s="1179" t="s">
        <v>10</v>
      </c>
      <c r="UYG7" s="1179"/>
      <c r="UYH7" s="1179"/>
      <c r="UYI7" s="1180"/>
      <c r="UYJ7" s="1178" t="s">
        <v>8</v>
      </c>
      <c r="UYK7" s="1179"/>
      <c r="UYL7" s="1179"/>
      <c r="UYM7" s="1179"/>
      <c r="UYN7" s="1179" t="s">
        <v>10</v>
      </c>
      <c r="UYO7" s="1179"/>
      <c r="UYP7" s="1179"/>
      <c r="UYQ7" s="1180"/>
      <c r="UYR7" s="1178" t="s">
        <v>8</v>
      </c>
      <c r="UYS7" s="1179"/>
      <c r="UYT7" s="1179"/>
      <c r="UYU7" s="1179"/>
      <c r="UYV7" s="1179" t="s">
        <v>10</v>
      </c>
      <c r="UYW7" s="1179"/>
      <c r="UYX7" s="1179"/>
      <c r="UYY7" s="1180"/>
      <c r="UYZ7" s="1178" t="s">
        <v>8</v>
      </c>
      <c r="UZA7" s="1179"/>
      <c r="UZB7" s="1179"/>
      <c r="UZC7" s="1179"/>
      <c r="UZD7" s="1179" t="s">
        <v>10</v>
      </c>
      <c r="UZE7" s="1179"/>
      <c r="UZF7" s="1179"/>
      <c r="UZG7" s="1180"/>
      <c r="UZH7" s="1178" t="s">
        <v>8</v>
      </c>
      <c r="UZI7" s="1179"/>
      <c r="UZJ7" s="1179"/>
      <c r="UZK7" s="1179"/>
      <c r="UZL7" s="1179" t="s">
        <v>10</v>
      </c>
      <c r="UZM7" s="1179"/>
      <c r="UZN7" s="1179"/>
      <c r="UZO7" s="1180"/>
      <c r="UZP7" s="1178" t="s">
        <v>8</v>
      </c>
      <c r="UZQ7" s="1179"/>
      <c r="UZR7" s="1179"/>
      <c r="UZS7" s="1179"/>
      <c r="UZT7" s="1179" t="s">
        <v>10</v>
      </c>
      <c r="UZU7" s="1179"/>
      <c r="UZV7" s="1179"/>
      <c r="UZW7" s="1180"/>
      <c r="UZX7" s="1178" t="s">
        <v>8</v>
      </c>
      <c r="UZY7" s="1179"/>
      <c r="UZZ7" s="1179"/>
      <c r="VAA7" s="1179"/>
      <c r="VAB7" s="1179" t="s">
        <v>10</v>
      </c>
      <c r="VAC7" s="1179"/>
      <c r="VAD7" s="1179"/>
      <c r="VAE7" s="1180"/>
      <c r="VAF7" s="1178" t="s">
        <v>8</v>
      </c>
      <c r="VAG7" s="1179"/>
      <c r="VAH7" s="1179"/>
      <c r="VAI7" s="1179"/>
      <c r="VAJ7" s="1179" t="s">
        <v>10</v>
      </c>
      <c r="VAK7" s="1179"/>
      <c r="VAL7" s="1179"/>
      <c r="VAM7" s="1180"/>
      <c r="VAN7" s="1178" t="s">
        <v>8</v>
      </c>
      <c r="VAO7" s="1179"/>
      <c r="VAP7" s="1179"/>
      <c r="VAQ7" s="1179"/>
      <c r="VAR7" s="1179" t="s">
        <v>10</v>
      </c>
      <c r="VAS7" s="1179"/>
      <c r="VAT7" s="1179"/>
      <c r="VAU7" s="1180"/>
      <c r="VAV7" s="1178" t="s">
        <v>8</v>
      </c>
      <c r="VAW7" s="1179"/>
      <c r="VAX7" s="1179"/>
      <c r="VAY7" s="1179"/>
      <c r="VAZ7" s="1179" t="s">
        <v>10</v>
      </c>
      <c r="VBA7" s="1179"/>
      <c r="VBB7" s="1179"/>
      <c r="VBC7" s="1180"/>
      <c r="VBD7" s="1178" t="s">
        <v>8</v>
      </c>
      <c r="VBE7" s="1179"/>
      <c r="VBF7" s="1179"/>
      <c r="VBG7" s="1179"/>
      <c r="VBH7" s="1179" t="s">
        <v>10</v>
      </c>
      <c r="VBI7" s="1179"/>
      <c r="VBJ7" s="1179"/>
      <c r="VBK7" s="1180"/>
      <c r="VBL7" s="1178" t="s">
        <v>8</v>
      </c>
      <c r="VBM7" s="1179"/>
      <c r="VBN7" s="1179"/>
      <c r="VBO7" s="1179"/>
      <c r="VBP7" s="1179" t="s">
        <v>10</v>
      </c>
      <c r="VBQ7" s="1179"/>
      <c r="VBR7" s="1179"/>
      <c r="VBS7" s="1180"/>
      <c r="VBT7" s="1178" t="s">
        <v>8</v>
      </c>
      <c r="VBU7" s="1179"/>
      <c r="VBV7" s="1179"/>
      <c r="VBW7" s="1179"/>
      <c r="VBX7" s="1179" t="s">
        <v>10</v>
      </c>
      <c r="VBY7" s="1179"/>
      <c r="VBZ7" s="1179"/>
      <c r="VCA7" s="1180"/>
      <c r="VCB7" s="1178" t="s">
        <v>8</v>
      </c>
      <c r="VCC7" s="1179"/>
      <c r="VCD7" s="1179"/>
      <c r="VCE7" s="1179"/>
      <c r="VCF7" s="1179" t="s">
        <v>10</v>
      </c>
      <c r="VCG7" s="1179"/>
      <c r="VCH7" s="1179"/>
      <c r="VCI7" s="1180"/>
      <c r="VCJ7" s="1178" t="s">
        <v>8</v>
      </c>
      <c r="VCK7" s="1179"/>
      <c r="VCL7" s="1179"/>
      <c r="VCM7" s="1179"/>
      <c r="VCN7" s="1179" t="s">
        <v>10</v>
      </c>
      <c r="VCO7" s="1179"/>
      <c r="VCP7" s="1179"/>
      <c r="VCQ7" s="1180"/>
      <c r="VCR7" s="1178" t="s">
        <v>8</v>
      </c>
      <c r="VCS7" s="1179"/>
      <c r="VCT7" s="1179"/>
      <c r="VCU7" s="1179"/>
      <c r="VCV7" s="1179" t="s">
        <v>10</v>
      </c>
      <c r="VCW7" s="1179"/>
      <c r="VCX7" s="1179"/>
      <c r="VCY7" s="1180"/>
      <c r="VCZ7" s="1178" t="s">
        <v>8</v>
      </c>
      <c r="VDA7" s="1179"/>
      <c r="VDB7" s="1179"/>
      <c r="VDC7" s="1179"/>
      <c r="VDD7" s="1179" t="s">
        <v>10</v>
      </c>
      <c r="VDE7" s="1179"/>
      <c r="VDF7" s="1179"/>
      <c r="VDG7" s="1180"/>
      <c r="VDH7" s="1178" t="s">
        <v>8</v>
      </c>
      <c r="VDI7" s="1179"/>
      <c r="VDJ7" s="1179"/>
      <c r="VDK7" s="1179"/>
      <c r="VDL7" s="1179" t="s">
        <v>10</v>
      </c>
      <c r="VDM7" s="1179"/>
      <c r="VDN7" s="1179"/>
      <c r="VDO7" s="1180"/>
      <c r="VDP7" s="1178" t="s">
        <v>8</v>
      </c>
      <c r="VDQ7" s="1179"/>
      <c r="VDR7" s="1179"/>
      <c r="VDS7" s="1179"/>
      <c r="VDT7" s="1179" t="s">
        <v>10</v>
      </c>
      <c r="VDU7" s="1179"/>
      <c r="VDV7" s="1179"/>
      <c r="VDW7" s="1180"/>
      <c r="VDX7" s="1178" t="s">
        <v>8</v>
      </c>
      <c r="VDY7" s="1179"/>
      <c r="VDZ7" s="1179"/>
      <c r="VEA7" s="1179"/>
      <c r="VEB7" s="1179" t="s">
        <v>10</v>
      </c>
      <c r="VEC7" s="1179"/>
      <c r="VED7" s="1179"/>
      <c r="VEE7" s="1180"/>
      <c r="VEF7" s="1178" t="s">
        <v>8</v>
      </c>
      <c r="VEG7" s="1179"/>
      <c r="VEH7" s="1179"/>
      <c r="VEI7" s="1179"/>
      <c r="VEJ7" s="1179" t="s">
        <v>10</v>
      </c>
      <c r="VEK7" s="1179"/>
      <c r="VEL7" s="1179"/>
      <c r="VEM7" s="1180"/>
      <c r="VEN7" s="1178" t="s">
        <v>8</v>
      </c>
      <c r="VEO7" s="1179"/>
      <c r="VEP7" s="1179"/>
      <c r="VEQ7" s="1179"/>
      <c r="VER7" s="1179" t="s">
        <v>10</v>
      </c>
      <c r="VES7" s="1179"/>
      <c r="VET7" s="1179"/>
      <c r="VEU7" s="1180"/>
      <c r="VEV7" s="1178" t="s">
        <v>8</v>
      </c>
      <c r="VEW7" s="1179"/>
      <c r="VEX7" s="1179"/>
      <c r="VEY7" s="1179"/>
      <c r="VEZ7" s="1179" t="s">
        <v>10</v>
      </c>
      <c r="VFA7" s="1179"/>
      <c r="VFB7" s="1179"/>
      <c r="VFC7" s="1180"/>
      <c r="VFD7" s="1178" t="s">
        <v>8</v>
      </c>
      <c r="VFE7" s="1179"/>
      <c r="VFF7" s="1179"/>
      <c r="VFG7" s="1179"/>
      <c r="VFH7" s="1179" t="s">
        <v>10</v>
      </c>
      <c r="VFI7" s="1179"/>
      <c r="VFJ7" s="1179"/>
      <c r="VFK7" s="1180"/>
      <c r="VFL7" s="1178" t="s">
        <v>8</v>
      </c>
      <c r="VFM7" s="1179"/>
      <c r="VFN7" s="1179"/>
      <c r="VFO7" s="1179"/>
      <c r="VFP7" s="1179" t="s">
        <v>10</v>
      </c>
      <c r="VFQ7" s="1179"/>
      <c r="VFR7" s="1179"/>
      <c r="VFS7" s="1180"/>
      <c r="VFT7" s="1178" t="s">
        <v>8</v>
      </c>
      <c r="VFU7" s="1179"/>
      <c r="VFV7" s="1179"/>
      <c r="VFW7" s="1179"/>
      <c r="VFX7" s="1179" t="s">
        <v>10</v>
      </c>
      <c r="VFY7" s="1179"/>
      <c r="VFZ7" s="1179"/>
      <c r="VGA7" s="1180"/>
      <c r="VGB7" s="1178" t="s">
        <v>8</v>
      </c>
      <c r="VGC7" s="1179"/>
      <c r="VGD7" s="1179"/>
      <c r="VGE7" s="1179"/>
      <c r="VGF7" s="1179" t="s">
        <v>10</v>
      </c>
      <c r="VGG7" s="1179"/>
      <c r="VGH7" s="1179"/>
      <c r="VGI7" s="1180"/>
      <c r="VGJ7" s="1178" t="s">
        <v>8</v>
      </c>
      <c r="VGK7" s="1179"/>
      <c r="VGL7" s="1179"/>
      <c r="VGM7" s="1179"/>
      <c r="VGN7" s="1179" t="s">
        <v>10</v>
      </c>
      <c r="VGO7" s="1179"/>
      <c r="VGP7" s="1179"/>
      <c r="VGQ7" s="1180"/>
      <c r="VGR7" s="1178" t="s">
        <v>8</v>
      </c>
      <c r="VGS7" s="1179"/>
      <c r="VGT7" s="1179"/>
      <c r="VGU7" s="1179"/>
      <c r="VGV7" s="1179" t="s">
        <v>10</v>
      </c>
      <c r="VGW7" s="1179"/>
      <c r="VGX7" s="1179"/>
      <c r="VGY7" s="1180"/>
      <c r="VGZ7" s="1178" t="s">
        <v>8</v>
      </c>
      <c r="VHA7" s="1179"/>
      <c r="VHB7" s="1179"/>
      <c r="VHC7" s="1179"/>
      <c r="VHD7" s="1179" t="s">
        <v>10</v>
      </c>
      <c r="VHE7" s="1179"/>
      <c r="VHF7" s="1179"/>
      <c r="VHG7" s="1180"/>
      <c r="VHH7" s="1178" t="s">
        <v>8</v>
      </c>
      <c r="VHI7" s="1179"/>
      <c r="VHJ7" s="1179"/>
      <c r="VHK7" s="1179"/>
      <c r="VHL7" s="1179" t="s">
        <v>10</v>
      </c>
      <c r="VHM7" s="1179"/>
      <c r="VHN7" s="1179"/>
      <c r="VHO7" s="1180"/>
      <c r="VHP7" s="1178" t="s">
        <v>8</v>
      </c>
      <c r="VHQ7" s="1179"/>
      <c r="VHR7" s="1179"/>
      <c r="VHS7" s="1179"/>
      <c r="VHT7" s="1179" t="s">
        <v>10</v>
      </c>
      <c r="VHU7" s="1179"/>
      <c r="VHV7" s="1179"/>
      <c r="VHW7" s="1180"/>
      <c r="VHX7" s="1178" t="s">
        <v>8</v>
      </c>
      <c r="VHY7" s="1179"/>
      <c r="VHZ7" s="1179"/>
      <c r="VIA7" s="1179"/>
      <c r="VIB7" s="1179" t="s">
        <v>10</v>
      </c>
      <c r="VIC7" s="1179"/>
      <c r="VID7" s="1179"/>
      <c r="VIE7" s="1180"/>
      <c r="VIF7" s="1178" t="s">
        <v>8</v>
      </c>
      <c r="VIG7" s="1179"/>
      <c r="VIH7" s="1179"/>
      <c r="VII7" s="1179"/>
      <c r="VIJ7" s="1179" t="s">
        <v>10</v>
      </c>
      <c r="VIK7" s="1179"/>
      <c r="VIL7" s="1179"/>
      <c r="VIM7" s="1180"/>
      <c r="VIN7" s="1178" t="s">
        <v>8</v>
      </c>
      <c r="VIO7" s="1179"/>
      <c r="VIP7" s="1179"/>
      <c r="VIQ7" s="1179"/>
      <c r="VIR7" s="1179" t="s">
        <v>10</v>
      </c>
      <c r="VIS7" s="1179"/>
      <c r="VIT7" s="1179"/>
      <c r="VIU7" s="1180"/>
      <c r="VIV7" s="1178" t="s">
        <v>8</v>
      </c>
      <c r="VIW7" s="1179"/>
      <c r="VIX7" s="1179"/>
      <c r="VIY7" s="1179"/>
      <c r="VIZ7" s="1179" t="s">
        <v>10</v>
      </c>
      <c r="VJA7" s="1179"/>
      <c r="VJB7" s="1179"/>
      <c r="VJC7" s="1180"/>
      <c r="VJD7" s="1178" t="s">
        <v>8</v>
      </c>
      <c r="VJE7" s="1179"/>
      <c r="VJF7" s="1179"/>
      <c r="VJG7" s="1179"/>
      <c r="VJH7" s="1179" t="s">
        <v>10</v>
      </c>
      <c r="VJI7" s="1179"/>
      <c r="VJJ7" s="1179"/>
      <c r="VJK7" s="1180"/>
      <c r="VJL7" s="1178" t="s">
        <v>8</v>
      </c>
      <c r="VJM7" s="1179"/>
      <c r="VJN7" s="1179"/>
      <c r="VJO7" s="1179"/>
      <c r="VJP7" s="1179" t="s">
        <v>10</v>
      </c>
      <c r="VJQ7" s="1179"/>
      <c r="VJR7" s="1179"/>
      <c r="VJS7" s="1180"/>
      <c r="VJT7" s="1178" t="s">
        <v>8</v>
      </c>
      <c r="VJU7" s="1179"/>
      <c r="VJV7" s="1179"/>
      <c r="VJW7" s="1179"/>
      <c r="VJX7" s="1179" t="s">
        <v>10</v>
      </c>
      <c r="VJY7" s="1179"/>
      <c r="VJZ7" s="1179"/>
      <c r="VKA7" s="1180"/>
      <c r="VKB7" s="1178" t="s">
        <v>8</v>
      </c>
      <c r="VKC7" s="1179"/>
      <c r="VKD7" s="1179"/>
      <c r="VKE7" s="1179"/>
      <c r="VKF7" s="1179" t="s">
        <v>10</v>
      </c>
      <c r="VKG7" s="1179"/>
      <c r="VKH7" s="1179"/>
      <c r="VKI7" s="1180"/>
      <c r="VKJ7" s="1178" t="s">
        <v>8</v>
      </c>
      <c r="VKK7" s="1179"/>
      <c r="VKL7" s="1179"/>
      <c r="VKM7" s="1179"/>
      <c r="VKN7" s="1179" t="s">
        <v>10</v>
      </c>
      <c r="VKO7" s="1179"/>
      <c r="VKP7" s="1179"/>
      <c r="VKQ7" s="1180"/>
      <c r="VKR7" s="1178" t="s">
        <v>8</v>
      </c>
      <c r="VKS7" s="1179"/>
      <c r="VKT7" s="1179"/>
      <c r="VKU7" s="1179"/>
      <c r="VKV7" s="1179" t="s">
        <v>10</v>
      </c>
      <c r="VKW7" s="1179"/>
      <c r="VKX7" s="1179"/>
      <c r="VKY7" s="1180"/>
      <c r="VKZ7" s="1178" t="s">
        <v>8</v>
      </c>
      <c r="VLA7" s="1179"/>
      <c r="VLB7" s="1179"/>
      <c r="VLC7" s="1179"/>
      <c r="VLD7" s="1179" t="s">
        <v>10</v>
      </c>
      <c r="VLE7" s="1179"/>
      <c r="VLF7" s="1179"/>
      <c r="VLG7" s="1180"/>
      <c r="VLH7" s="1178" t="s">
        <v>8</v>
      </c>
      <c r="VLI7" s="1179"/>
      <c r="VLJ7" s="1179"/>
      <c r="VLK7" s="1179"/>
      <c r="VLL7" s="1179" t="s">
        <v>10</v>
      </c>
      <c r="VLM7" s="1179"/>
      <c r="VLN7" s="1179"/>
      <c r="VLO7" s="1180"/>
      <c r="VLP7" s="1178" t="s">
        <v>8</v>
      </c>
      <c r="VLQ7" s="1179"/>
      <c r="VLR7" s="1179"/>
      <c r="VLS7" s="1179"/>
      <c r="VLT7" s="1179" t="s">
        <v>10</v>
      </c>
      <c r="VLU7" s="1179"/>
      <c r="VLV7" s="1179"/>
      <c r="VLW7" s="1180"/>
      <c r="VLX7" s="1178" t="s">
        <v>8</v>
      </c>
      <c r="VLY7" s="1179"/>
      <c r="VLZ7" s="1179"/>
      <c r="VMA7" s="1179"/>
      <c r="VMB7" s="1179" t="s">
        <v>10</v>
      </c>
      <c r="VMC7" s="1179"/>
      <c r="VMD7" s="1179"/>
      <c r="VME7" s="1180"/>
      <c r="VMF7" s="1178" t="s">
        <v>8</v>
      </c>
      <c r="VMG7" s="1179"/>
      <c r="VMH7" s="1179"/>
      <c r="VMI7" s="1179"/>
      <c r="VMJ7" s="1179" t="s">
        <v>10</v>
      </c>
      <c r="VMK7" s="1179"/>
      <c r="VML7" s="1179"/>
      <c r="VMM7" s="1180"/>
      <c r="VMN7" s="1178" t="s">
        <v>8</v>
      </c>
      <c r="VMO7" s="1179"/>
      <c r="VMP7" s="1179"/>
      <c r="VMQ7" s="1179"/>
      <c r="VMR7" s="1179" t="s">
        <v>10</v>
      </c>
      <c r="VMS7" s="1179"/>
      <c r="VMT7" s="1179"/>
      <c r="VMU7" s="1180"/>
      <c r="VMV7" s="1178" t="s">
        <v>8</v>
      </c>
      <c r="VMW7" s="1179"/>
      <c r="VMX7" s="1179"/>
      <c r="VMY7" s="1179"/>
      <c r="VMZ7" s="1179" t="s">
        <v>10</v>
      </c>
      <c r="VNA7" s="1179"/>
      <c r="VNB7" s="1179"/>
      <c r="VNC7" s="1180"/>
      <c r="VND7" s="1178" t="s">
        <v>8</v>
      </c>
      <c r="VNE7" s="1179"/>
      <c r="VNF7" s="1179"/>
      <c r="VNG7" s="1179"/>
      <c r="VNH7" s="1179" t="s">
        <v>10</v>
      </c>
      <c r="VNI7" s="1179"/>
      <c r="VNJ7" s="1179"/>
      <c r="VNK7" s="1180"/>
      <c r="VNL7" s="1178" t="s">
        <v>8</v>
      </c>
      <c r="VNM7" s="1179"/>
      <c r="VNN7" s="1179"/>
      <c r="VNO7" s="1179"/>
      <c r="VNP7" s="1179" t="s">
        <v>10</v>
      </c>
      <c r="VNQ7" s="1179"/>
      <c r="VNR7" s="1179"/>
      <c r="VNS7" s="1180"/>
      <c r="VNT7" s="1178" t="s">
        <v>8</v>
      </c>
      <c r="VNU7" s="1179"/>
      <c r="VNV7" s="1179"/>
      <c r="VNW7" s="1179"/>
      <c r="VNX7" s="1179" t="s">
        <v>10</v>
      </c>
      <c r="VNY7" s="1179"/>
      <c r="VNZ7" s="1179"/>
      <c r="VOA7" s="1180"/>
      <c r="VOB7" s="1178" t="s">
        <v>8</v>
      </c>
      <c r="VOC7" s="1179"/>
      <c r="VOD7" s="1179"/>
      <c r="VOE7" s="1179"/>
      <c r="VOF7" s="1179" t="s">
        <v>10</v>
      </c>
      <c r="VOG7" s="1179"/>
      <c r="VOH7" s="1179"/>
      <c r="VOI7" s="1180"/>
      <c r="VOJ7" s="1178" t="s">
        <v>8</v>
      </c>
      <c r="VOK7" s="1179"/>
      <c r="VOL7" s="1179"/>
      <c r="VOM7" s="1179"/>
      <c r="VON7" s="1179" t="s">
        <v>10</v>
      </c>
      <c r="VOO7" s="1179"/>
      <c r="VOP7" s="1179"/>
      <c r="VOQ7" s="1180"/>
      <c r="VOR7" s="1178" t="s">
        <v>8</v>
      </c>
      <c r="VOS7" s="1179"/>
      <c r="VOT7" s="1179"/>
      <c r="VOU7" s="1179"/>
      <c r="VOV7" s="1179" t="s">
        <v>10</v>
      </c>
      <c r="VOW7" s="1179"/>
      <c r="VOX7" s="1179"/>
      <c r="VOY7" s="1180"/>
      <c r="VOZ7" s="1178" t="s">
        <v>8</v>
      </c>
      <c r="VPA7" s="1179"/>
      <c r="VPB7" s="1179"/>
      <c r="VPC7" s="1179"/>
      <c r="VPD7" s="1179" t="s">
        <v>10</v>
      </c>
      <c r="VPE7" s="1179"/>
      <c r="VPF7" s="1179"/>
      <c r="VPG7" s="1180"/>
      <c r="VPH7" s="1178" t="s">
        <v>8</v>
      </c>
      <c r="VPI7" s="1179"/>
      <c r="VPJ7" s="1179"/>
      <c r="VPK7" s="1179"/>
      <c r="VPL7" s="1179" t="s">
        <v>10</v>
      </c>
      <c r="VPM7" s="1179"/>
      <c r="VPN7" s="1179"/>
      <c r="VPO7" s="1180"/>
      <c r="VPP7" s="1178" t="s">
        <v>8</v>
      </c>
      <c r="VPQ7" s="1179"/>
      <c r="VPR7" s="1179"/>
      <c r="VPS7" s="1179"/>
      <c r="VPT7" s="1179" t="s">
        <v>10</v>
      </c>
      <c r="VPU7" s="1179"/>
      <c r="VPV7" s="1179"/>
      <c r="VPW7" s="1180"/>
      <c r="VPX7" s="1178" t="s">
        <v>8</v>
      </c>
      <c r="VPY7" s="1179"/>
      <c r="VPZ7" s="1179"/>
      <c r="VQA7" s="1179"/>
      <c r="VQB7" s="1179" t="s">
        <v>10</v>
      </c>
      <c r="VQC7" s="1179"/>
      <c r="VQD7" s="1179"/>
      <c r="VQE7" s="1180"/>
      <c r="VQF7" s="1178" t="s">
        <v>8</v>
      </c>
      <c r="VQG7" s="1179"/>
      <c r="VQH7" s="1179"/>
      <c r="VQI7" s="1179"/>
      <c r="VQJ7" s="1179" t="s">
        <v>10</v>
      </c>
      <c r="VQK7" s="1179"/>
      <c r="VQL7" s="1179"/>
      <c r="VQM7" s="1180"/>
      <c r="VQN7" s="1178" t="s">
        <v>8</v>
      </c>
      <c r="VQO7" s="1179"/>
      <c r="VQP7" s="1179"/>
      <c r="VQQ7" s="1179"/>
      <c r="VQR7" s="1179" t="s">
        <v>10</v>
      </c>
      <c r="VQS7" s="1179"/>
      <c r="VQT7" s="1179"/>
      <c r="VQU7" s="1180"/>
      <c r="VQV7" s="1178" t="s">
        <v>8</v>
      </c>
      <c r="VQW7" s="1179"/>
      <c r="VQX7" s="1179"/>
      <c r="VQY7" s="1179"/>
      <c r="VQZ7" s="1179" t="s">
        <v>10</v>
      </c>
      <c r="VRA7" s="1179"/>
      <c r="VRB7" s="1179"/>
      <c r="VRC7" s="1180"/>
      <c r="VRD7" s="1178" t="s">
        <v>8</v>
      </c>
      <c r="VRE7" s="1179"/>
      <c r="VRF7" s="1179"/>
      <c r="VRG7" s="1179"/>
      <c r="VRH7" s="1179" t="s">
        <v>10</v>
      </c>
      <c r="VRI7" s="1179"/>
      <c r="VRJ7" s="1179"/>
      <c r="VRK7" s="1180"/>
      <c r="VRL7" s="1178" t="s">
        <v>8</v>
      </c>
      <c r="VRM7" s="1179"/>
      <c r="VRN7" s="1179"/>
      <c r="VRO7" s="1179"/>
      <c r="VRP7" s="1179" t="s">
        <v>10</v>
      </c>
      <c r="VRQ7" s="1179"/>
      <c r="VRR7" s="1179"/>
      <c r="VRS7" s="1180"/>
      <c r="VRT7" s="1178" t="s">
        <v>8</v>
      </c>
      <c r="VRU7" s="1179"/>
      <c r="VRV7" s="1179"/>
      <c r="VRW7" s="1179"/>
      <c r="VRX7" s="1179" t="s">
        <v>10</v>
      </c>
      <c r="VRY7" s="1179"/>
      <c r="VRZ7" s="1179"/>
      <c r="VSA7" s="1180"/>
      <c r="VSB7" s="1178" t="s">
        <v>8</v>
      </c>
      <c r="VSC7" s="1179"/>
      <c r="VSD7" s="1179"/>
      <c r="VSE7" s="1179"/>
      <c r="VSF7" s="1179" t="s">
        <v>10</v>
      </c>
      <c r="VSG7" s="1179"/>
      <c r="VSH7" s="1179"/>
      <c r="VSI7" s="1180"/>
      <c r="VSJ7" s="1178" t="s">
        <v>8</v>
      </c>
      <c r="VSK7" s="1179"/>
      <c r="VSL7" s="1179"/>
      <c r="VSM7" s="1179"/>
      <c r="VSN7" s="1179" t="s">
        <v>10</v>
      </c>
      <c r="VSO7" s="1179"/>
      <c r="VSP7" s="1179"/>
      <c r="VSQ7" s="1180"/>
      <c r="VSR7" s="1178" t="s">
        <v>8</v>
      </c>
      <c r="VSS7" s="1179"/>
      <c r="VST7" s="1179"/>
      <c r="VSU7" s="1179"/>
      <c r="VSV7" s="1179" t="s">
        <v>10</v>
      </c>
      <c r="VSW7" s="1179"/>
      <c r="VSX7" s="1179"/>
      <c r="VSY7" s="1180"/>
      <c r="VSZ7" s="1178" t="s">
        <v>8</v>
      </c>
      <c r="VTA7" s="1179"/>
      <c r="VTB7" s="1179"/>
      <c r="VTC7" s="1179"/>
      <c r="VTD7" s="1179" t="s">
        <v>10</v>
      </c>
      <c r="VTE7" s="1179"/>
      <c r="VTF7" s="1179"/>
      <c r="VTG7" s="1180"/>
      <c r="VTH7" s="1178" t="s">
        <v>8</v>
      </c>
      <c r="VTI7" s="1179"/>
      <c r="VTJ7" s="1179"/>
      <c r="VTK7" s="1179"/>
      <c r="VTL7" s="1179" t="s">
        <v>10</v>
      </c>
      <c r="VTM7" s="1179"/>
      <c r="VTN7" s="1179"/>
      <c r="VTO7" s="1180"/>
      <c r="VTP7" s="1178" t="s">
        <v>8</v>
      </c>
      <c r="VTQ7" s="1179"/>
      <c r="VTR7" s="1179"/>
      <c r="VTS7" s="1179"/>
      <c r="VTT7" s="1179" t="s">
        <v>10</v>
      </c>
      <c r="VTU7" s="1179"/>
      <c r="VTV7" s="1179"/>
      <c r="VTW7" s="1180"/>
      <c r="VTX7" s="1178" t="s">
        <v>8</v>
      </c>
      <c r="VTY7" s="1179"/>
      <c r="VTZ7" s="1179"/>
      <c r="VUA7" s="1179"/>
      <c r="VUB7" s="1179" t="s">
        <v>10</v>
      </c>
      <c r="VUC7" s="1179"/>
      <c r="VUD7" s="1179"/>
      <c r="VUE7" s="1180"/>
      <c r="VUF7" s="1178" t="s">
        <v>8</v>
      </c>
      <c r="VUG7" s="1179"/>
      <c r="VUH7" s="1179"/>
      <c r="VUI7" s="1179"/>
      <c r="VUJ7" s="1179" t="s">
        <v>10</v>
      </c>
      <c r="VUK7" s="1179"/>
      <c r="VUL7" s="1179"/>
      <c r="VUM7" s="1180"/>
      <c r="VUN7" s="1178" t="s">
        <v>8</v>
      </c>
      <c r="VUO7" s="1179"/>
      <c r="VUP7" s="1179"/>
      <c r="VUQ7" s="1179"/>
      <c r="VUR7" s="1179" t="s">
        <v>10</v>
      </c>
      <c r="VUS7" s="1179"/>
      <c r="VUT7" s="1179"/>
      <c r="VUU7" s="1180"/>
      <c r="VUV7" s="1178" t="s">
        <v>8</v>
      </c>
      <c r="VUW7" s="1179"/>
      <c r="VUX7" s="1179"/>
      <c r="VUY7" s="1179"/>
      <c r="VUZ7" s="1179" t="s">
        <v>10</v>
      </c>
      <c r="VVA7" s="1179"/>
      <c r="VVB7" s="1179"/>
      <c r="VVC7" s="1180"/>
      <c r="VVD7" s="1178" t="s">
        <v>8</v>
      </c>
      <c r="VVE7" s="1179"/>
      <c r="VVF7" s="1179"/>
      <c r="VVG7" s="1179"/>
      <c r="VVH7" s="1179" t="s">
        <v>10</v>
      </c>
      <c r="VVI7" s="1179"/>
      <c r="VVJ7" s="1179"/>
      <c r="VVK7" s="1180"/>
      <c r="VVL7" s="1178" t="s">
        <v>8</v>
      </c>
      <c r="VVM7" s="1179"/>
      <c r="VVN7" s="1179"/>
      <c r="VVO7" s="1179"/>
      <c r="VVP7" s="1179" t="s">
        <v>10</v>
      </c>
      <c r="VVQ7" s="1179"/>
      <c r="VVR7" s="1179"/>
      <c r="VVS7" s="1180"/>
      <c r="VVT7" s="1178" t="s">
        <v>8</v>
      </c>
      <c r="VVU7" s="1179"/>
      <c r="VVV7" s="1179"/>
      <c r="VVW7" s="1179"/>
      <c r="VVX7" s="1179" t="s">
        <v>10</v>
      </c>
      <c r="VVY7" s="1179"/>
      <c r="VVZ7" s="1179"/>
      <c r="VWA7" s="1180"/>
      <c r="VWB7" s="1178" t="s">
        <v>8</v>
      </c>
      <c r="VWC7" s="1179"/>
      <c r="VWD7" s="1179"/>
      <c r="VWE7" s="1179"/>
      <c r="VWF7" s="1179" t="s">
        <v>10</v>
      </c>
      <c r="VWG7" s="1179"/>
      <c r="VWH7" s="1179"/>
      <c r="VWI7" s="1180"/>
      <c r="VWJ7" s="1178" t="s">
        <v>8</v>
      </c>
      <c r="VWK7" s="1179"/>
      <c r="VWL7" s="1179"/>
      <c r="VWM7" s="1179"/>
      <c r="VWN7" s="1179" t="s">
        <v>10</v>
      </c>
      <c r="VWO7" s="1179"/>
      <c r="VWP7" s="1179"/>
      <c r="VWQ7" s="1180"/>
      <c r="VWR7" s="1178" t="s">
        <v>8</v>
      </c>
      <c r="VWS7" s="1179"/>
      <c r="VWT7" s="1179"/>
      <c r="VWU7" s="1179"/>
      <c r="VWV7" s="1179" t="s">
        <v>10</v>
      </c>
      <c r="VWW7" s="1179"/>
      <c r="VWX7" s="1179"/>
      <c r="VWY7" s="1180"/>
      <c r="VWZ7" s="1178" t="s">
        <v>8</v>
      </c>
      <c r="VXA7" s="1179"/>
      <c r="VXB7" s="1179"/>
      <c r="VXC7" s="1179"/>
      <c r="VXD7" s="1179" t="s">
        <v>10</v>
      </c>
      <c r="VXE7" s="1179"/>
      <c r="VXF7" s="1179"/>
      <c r="VXG7" s="1180"/>
      <c r="VXH7" s="1178" t="s">
        <v>8</v>
      </c>
      <c r="VXI7" s="1179"/>
      <c r="VXJ7" s="1179"/>
      <c r="VXK7" s="1179"/>
      <c r="VXL7" s="1179" t="s">
        <v>10</v>
      </c>
      <c r="VXM7" s="1179"/>
      <c r="VXN7" s="1179"/>
      <c r="VXO7" s="1180"/>
      <c r="VXP7" s="1178" t="s">
        <v>8</v>
      </c>
      <c r="VXQ7" s="1179"/>
      <c r="VXR7" s="1179"/>
      <c r="VXS7" s="1179"/>
      <c r="VXT7" s="1179" t="s">
        <v>10</v>
      </c>
      <c r="VXU7" s="1179"/>
      <c r="VXV7" s="1179"/>
      <c r="VXW7" s="1180"/>
      <c r="VXX7" s="1178" t="s">
        <v>8</v>
      </c>
      <c r="VXY7" s="1179"/>
      <c r="VXZ7" s="1179"/>
      <c r="VYA7" s="1179"/>
      <c r="VYB7" s="1179" t="s">
        <v>10</v>
      </c>
      <c r="VYC7" s="1179"/>
      <c r="VYD7" s="1179"/>
      <c r="VYE7" s="1180"/>
      <c r="VYF7" s="1178" t="s">
        <v>8</v>
      </c>
      <c r="VYG7" s="1179"/>
      <c r="VYH7" s="1179"/>
      <c r="VYI7" s="1179"/>
      <c r="VYJ7" s="1179" t="s">
        <v>10</v>
      </c>
      <c r="VYK7" s="1179"/>
      <c r="VYL7" s="1179"/>
      <c r="VYM7" s="1180"/>
      <c r="VYN7" s="1178" t="s">
        <v>8</v>
      </c>
      <c r="VYO7" s="1179"/>
      <c r="VYP7" s="1179"/>
      <c r="VYQ7" s="1179"/>
      <c r="VYR7" s="1179" t="s">
        <v>10</v>
      </c>
      <c r="VYS7" s="1179"/>
      <c r="VYT7" s="1179"/>
      <c r="VYU7" s="1180"/>
      <c r="VYV7" s="1178" t="s">
        <v>8</v>
      </c>
      <c r="VYW7" s="1179"/>
      <c r="VYX7" s="1179"/>
      <c r="VYY7" s="1179"/>
      <c r="VYZ7" s="1179" t="s">
        <v>10</v>
      </c>
      <c r="VZA7" s="1179"/>
      <c r="VZB7" s="1179"/>
      <c r="VZC7" s="1180"/>
      <c r="VZD7" s="1178" t="s">
        <v>8</v>
      </c>
      <c r="VZE7" s="1179"/>
      <c r="VZF7" s="1179"/>
      <c r="VZG7" s="1179"/>
      <c r="VZH7" s="1179" t="s">
        <v>10</v>
      </c>
      <c r="VZI7" s="1179"/>
      <c r="VZJ7" s="1179"/>
      <c r="VZK7" s="1180"/>
      <c r="VZL7" s="1178" t="s">
        <v>8</v>
      </c>
      <c r="VZM7" s="1179"/>
      <c r="VZN7" s="1179"/>
      <c r="VZO7" s="1179"/>
      <c r="VZP7" s="1179" t="s">
        <v>10</v>
      </c>
      <c r="VZQ7" s="1179"/>
      <c r="VZR7" s="1179"/>
      <c r="VZS7" s="1180"/>
      <c r="VZT7" s="1178" t="s">
        <v>8</v>
      </c>
      <c r="VZU7" s="1179"/>
      <c r="VZV7" s="1179"/>
      <c r="VZW7" s="1179"/>
      <c r="VZX7" s="1179" t="s">
        <v>10</v>
      </c>
      <c r="VZY7" s="1179"/>
      <c r="VZZ7" s="1179"/>
      <c r="WAA7" s="1180"/>
      <c r="WAB7" s="1178" t="s">
        <v>8</v>
      </c>
      <c r="WAC7" s="1179"/>
      <c r="WAD7" s="1179"/>
      <c r="WAE7" s="1179"/>
      <c r="WAF7" s="1179" t="s">
        <v>10</v>
      </c>
      <c r="WAG7" s="1179"/>
      <c r="WAH7" s="1179"/>
      <c r="WAI7" s="1180"/>
      <c r="WAJ7" s="1178" t="s">
        <v>8</v>
      </c>
      <c r="WAK7" s="1179"/>
      <c r="WAL7" s="1179"/>
      <c r="WAM7" s="1179"/>
      <c r="WAN7" s="1179" t="s">
        <v>10</v>
      </c>
      <c r="WAO7" s="1179"/>
      <c r="WAP7" s="1179"/>
      <c r="WAQ7" s="1180"/>
      <c r="WAR7" s="1178" t="s">
        <v>8</v>
      </c>
      <c r="WAS7" s="1179"/>
      <c r="WAT7" s="1179"/>
      <c r="WAU7" s="1179"/>
      <c r="WAV7" s="1179" t="s">
        <v>10</v>
      </c>
      <c r="WAW7" s="1179"/>
      <c r="WAX7" s="1179"/>
      <c r="WAY7" s="1180"/>
      <c r="WAZ7" s="1178" t="s">
        <v>8</v>
      </c>
      <c r="WBA7" s="1179"/>
      <c r="WBB7" s="1179"/>
      <c r="WBC7" s="1179"/>
      <c r="WBD7" s="1179" t="s">
        <v>10</v>
      </c>
      <c r="WBE7" s="1179"/>
      <c r="WBF7" s="1179"/>
      <c r="WBG7" s="1180"/>
      <c r="WBH7" s="1178" t="s">
        <v>8</v>
      </c>
      <c r="WBI7" s="1179"/>
      <c r="WBJ7" s="1179"/>
      <c r="WBK7" s="1179"/>
      <c r="WBL7" s="1179" t="s">
        <v>10</v>
      </c>
      <c r="WBM7" s="1179"/>
      <c r="WBN7" s="1179"/>
      <c r="WBO7" s="1180"/>
      <c r="WBP7" s="1178" t="s">
        <v>8</v>
      </c>
      <c r="WBQ7" s="1179"/>
      <c r="WBR7" s="1179"/>
      <c r="WBS7" s="1179"/>
      <c r="WBT7" s="1179" t="s">
        <v>10</v>
      </c>
      <c r="WBU7" s="1179"/>
      <c r="WBV7" s="1179"/>
      <c r="WBW7" s="1180"/>
      <c r="WBX7" s="1178" t="s">
        <v>8</v>
      </c>
      <c r="WBY7" s="1179"/>
      <c r="WBZ7" s="1179"/>
      <c r="WCA7" s="1179"/>
      <c r="WCB7" s="1179" t="s">
        <v>10</v>
      </c>
      <c r="WCC7" s="1179"/>
      <c r="WCD7" s="1179"/>
      <c r="WCE7" s="1180"/>
      <c r="WCF7" s="1178" t="s">
        <v>8</v>
      </c>
      <c r="WCG7" s="1179"/>
      <c r="WCH7" s="1179"/>
      <c r="WCI7" s="1179"/>
      <c r="WCJ7" s="1179" t="s">
        <v>10</v>
      </c>
      <c r="WCK7" s="1179"/>
      <c r="WCL7" s="1179"/>
      <c r="WCM7" s="1180"/>
      <c r="WCN7" s="1178" t="s">
        <v>8</v>
      </c>
      <c r="WCO7" s="1179"/>
      <c r="WCP7" s="1179"/>
      <c r="WCQ7" s="1179"/>
      <c r="WCR7" s="1179" t="s">
        <v>10</v>
      </c>
      <c r="WCS7" s="1179"/>
      <c r="WCT7" s="1179"/>
      <c r="WCU7" s="1180"/>
      <c r="WCV7" s="1178" t="s">
        <v>8</v>
      </c>
      <c r="WCW7" s="1179"/>
      <c r="WCX7" s="1179"/>
      <c r="WCY7" s="1179"/>
      <c r="WCZ7" s="1179" t="s">
        <v>10</v>
      </c>
      <c r="WDA7" s="1179"/>
      <c r="WDB7" s="1179"/>
      <c r="WDC7" s="1180"/>
      <c r="WDD7" s="1178" t="s">
        <v>8</v>
      </c>
      <c r="WDE7" s="1179"/>
      <c r="WDF7" s="1179"/>
      <c r="WDG7" s="1179"/>
      <c r="WDH7" s="1179" t="s">
        <v>10</v>
      </c>
      <c r="WDI7" s="1179"/>
      <c r="WDJ7" s="1179"/>
      <c r="WDK7" s="1180"/>
      <c r="WDL7" s="1178" t="s">
        <v>8</v>
      </c>
      <c r="WDM7" s="1179"/>
      <c r="WDN7" s="1179"/>
      <c r="WDO7" s="1179"/>
      <c r="WDP7" s="1179" t="s">
        <v>10</v>
      </c>
      <c r="WDQ7" s="1179"/>
      <c r="WDR7" s="1179"/>
      <c r="WDS7" s="1180"/>
      <c r="WDT7" s="1178" t="s">
        <v>8</v>
      </c>
      <c r="WDU7" s="1179"/>
      <c r="WDV7" s="1179"/>
      <c r="WDW7" s="1179"/>
      <c r="WDX7" s="1179" t="s">
        <v>10</v>
      </c>
      <c r="WDY7" s="1179"/>
      <c r="WDZ7" s="1179"/>
      <c r="WEA7" s="1180"/>
      <c r="WEB7" s="1178" t="s">
        <v>8</v>
      </c>
      <c r="WEC7" s="1179"/>
      <c r="WED7" s="1179"/>
      <c r="WEE7" s="1179"/>
      <c r="WEF7" s="1179" t="s">
        <v>10</v>
      </c>
      <c r="WEG7" s="1179"/>
      <c r="WEH7" s="1179"/>
      <c r="WEI7" s="1180"/>
      <c r="WEJ7" s="1178" t="s">
        <v>8</v>
      </c>
      <c r="WEK7" s="1179"/>
      <c r="WEL7" s="1179"/>
      <c r="WEM7" s="1179"/>
      <c r="WEN7" s="1179" t="s">
        <v>10</v>
      </c>
      <c r="WEO7" s="1179"/>
      <c r="WEP7" s="1179"/>
      <c r="WEQ7" s="1180"/>
      <c r="WER7" s="1178" t="s">
        <v>8</v>
      </c>
      <c r="WES7" s="1179"/>
      <c r="WET7" s="1179"/>
      <c r="WEU7" s="1179"/>
      <c r="WEV7" s="1179" t="s">
        <v>10</v>
      </c>
      <c r="WEW7" s="1179"/>
      <c r="WEX7" s="1179"/>
      <c r="WEY7" s="1180"/>
      <c r="WEZ7" s="1178" t="s">
        <v>8</v>
      </c>
      <c r="WFA7" s="1179"/>
      <c r="WFB7" s="1179"/>
      <c r="WFC7" s="1179"/>
      <c r="WFD7" s="1179" t="s">
        <v>10</v>
      </c>
      <c r="WFE7" s="1179"/>
      <c r="WFF7" s="1179"/>
      <c r="WFG7" s="1180"/>
      <c r="WFH7" s="1178" t="s">
        <v>8</v>
      </c>
      <c r="WFI7" s="1179"/>
      <c r="WFJ7" s="1179"/>
      <c r="WFK7" s="1179"/>
      <c r="WFL7" s="1179" t="s">
        <v>10</v>
      </c>
      <c r="WFM7" s="1179"/>
      <c r="WFN7" s="1179"/>
      <c r="WFO7" s="1180"/>
      <c r="WFP7" s="1178" t="s">
        <v>8</v>
      </c>
      <c r="WFQ7" s="1179"/>
      <c r="WFR7" s="1179"/>
      <c r="WFS7" s="1179"/>
      <c r="WFT7" s="1179" t="s">
        <v>10</v>
      </c>
      <c r="WFU7" s="1179"/>
      <c r="WFV7" s="1179"/>
      <c r="WFW7" s="1180"/>
      <c r="WFX7" s="1178" t="s">
        <v>8</v>
      </c>
      <c r="WFY7" s="1179"/>
      <c r="WFZ7" s="1179"/>
      <c r="WGA7" s="1179"/>
      <c r="WGB7" s="1179" t="s">
        <v>10</v>
      </c>
      <c r="WGC7" s="1179"/>
      <c r="WGD7" s="1179"/>
      <c r="WGE7" s="1180"/>
      <c r="WGF7" s="1178" t="s">
        <v>8</v>
      </c>
      <c r="WGG7" s="1179"/>
      <c r="WGH7" s="1179"/>
      <c r="WGI7" s="1179"/>
      <c r="WGJ7" s="1179" t="s">
        <v>10</v>
      </c>
      <c r="WGK7" s="1179"/>
      <c r="WGL7" s="1179"/>
      <c r="WGM7" s="1180"/>
      <c r="WGN7" s="1178" t="s">
        <v>8</v>
      </c>
      <c r="WGO7" s="1179"/>
      <c r="WGP7" s="1179"/>
      <c r="WGQ7" s="1179"/>
      <c r="WGR7" s="1179" t="s">
        <v>10</v>
      </c>
      <c r="WGS7" s="1179"/>
      <c r="WGT7" s="1179"/>
      <c r="WGU7" s="1180"/>
      <c r="WGV7" s="1178" t="s">
        <v>8</v>
      </c>
      <c r="WGW7" s="1179"/>
      <c r="WGX7" s="1179"/>
      <c r="WGY7" s="1179"/>
      <c r="WGZ7" s="1179" t="s">
        <v>10</v>
      </c>
      <c r="WHA7" s="1179"/>
      <c r="WHB7" s="1179"/>
      <c r="WHC7" s="1180"/>
      <c r="WHD7" s="1178" t="s">
        <v>8</v>
      </c>
      <c r="WHE7" s="1179"/>
      <c r="WHF7" s="1179"/>
      <c r="WHG7" s="1179"/>
      <c r="WHH7" s="1179" t="s">
        <v>10</v>
      </c>
      <c r="WHI7" s="1179"/>
      <c r="WHJ7" s="1179"/>
      <c r="WHK7" s="1180"/>
      <c r="WHL7" s="1178" t="s">
        <v>8</v>
      </c>
      <c r="WHM7" s="1179"/>
      <c r="WHN7" s="1179"/>
      <c r="WHO7" s="1179"/>
      <c r="WHP7" s="1179" t="s">
        <v>10</v>
      </c>
      <c r="WHQ7" s="1179"/>
      <c r="WHR7" s="1179"/>
      <c r="WHS7" s="1180"/>
      <c r="WHT7" s="1178" t="s">
        <v>8</v>
      </c>
      <c r="WHU7" s="1179"/>
      <c r="WHV7" s="1179"/>
      <c r="WHW7" s="1179"/>
      <c r="WHX7" s="1179" t="s">
        <v>10</v>
      </c>
      <c r="WHY7" s="1179"/>
      <c r="WHZ7" s="1179"/>
      <c r="WIA7" s="1180"/>
      <c r="WIB7" s="1178" t="s">
        <v>8</v>
      </c>
      <c r="WIC7" s="1179"/>
      <c r="WID7" s="1179"/>
      <c r="WIE7" s="1179"/>
      <c r="WIF7" s="1179" t="s">
        <v>10</v>
      </c>
      <c r="WIG7" s="1179"/>
      <c r="WIH7" s="1179"/>
      <c r="WII7" s="1180"/>
      <c r="WIJ7" s="1178" t="s">
        <v>8</v>
      </c>
      <c r="WIK7" s="1179"/>
      <c r="WIL7" s="1179"/>
      <c r="WIM7" s="1179"/>
      <c r="WIN7" s="1179" t="s">
        <v>10</v>
      </c>
      <c r="WIO7" s="1179"/>
      <c r="WIP7" s="1179"/>
      <c r="WIQ7" s="1180"/>
      <c r="WIR7" s="1178" t="s">
        <v>8</v>
      </c>
      <c r="WIS7" s="1179"/>
      <c r="WIT7" s="1179"/>
      <c r="WIU7" s="1179"/>
      <c r="WIV7" s="1179" t="s">
        <v>10</v>
      </c>
      <c r="WIW7" s="1179"/>
      <c r="WIX7" s="1179"/>
      <c r="WIY7" s="1180"/>
      <c r="WIZ7" s="1178" t="s">
        <v>8</v>
      </c>
      <c r="WJA7" s="1179"/>
      <c r="WJB7" s="1179"/>
      <c r="WJC7" s="1179"/>
      <c r="WJD7" s="1179" t="s">
        <v>10</v>
      </c>
      <c r="WJE7" s="1179"/>
      <c r="WJF7" s="1179"/>
      <c r="WJG7" s="1180"/>
      <c r="WJH7" s="1178" t="s">
        <v>8</v>
      </c>
      <c r="WJI7" s="1179"/>
      <c r="WJJ7" s="1179"/>
      <c r="WJK7" s="1179"/>
      <c r="WJL7" s="1179" t="s">
        <v>10</v>
      </c>
      <c r="WJM7" s="1179"/>
      <c r="WJN7" s="1179"/>
      <c r="WJO7" s="1180"/>
      <c r="WJP7" s="1178" t="s">
        <v>8</v>
      </c>
      <c r="WJQ7" s="1179"/>
      <c r="WJR7" s="1179"/>
      <c r="WJS7" s="1179"/>
      <c r="WJT7" s="1179" t="s">
        <v>10</v>
      </c>
      <c r="WJU7" s="1179"/>
      <c r="WJV7" s="1179"/>
      <c r="WJW7" s="1180"/>
      <c r="WJX7" s="1178" t="s">
        <v>8</v>
      </c>
      <c r="WJY7" s="1179"/>
      <c r="WJZ7" s="1179"/>
      <c r="WKA7" s="1179"/>
      <c r="WKB7" s="1179" t="s">
        <v>10</v>
      </c>
      <c r="WKC7" s="1179"/>
      <c r="WKD7" s="1179"/>
      <c r="WKE7" s="1180"/>
      <c r="WKF7" s="1178" t="s">
        <v>8</v>
      </c>
      <c r="WKG7" s="1179"/>
      <c r="WKH7" s="1179"/>
      <c r="WKI7" s="1179"/>
      <c r="WKJ7" s="1179" t="s">
        <v>10</v>
      </c>
      <c r="WKK7" s="1179"/>
      <c r="WKL7" s="1179"/>
      <c r="WKM7" s="1180"/>
      <c r="WKN7" s="1178" t="s">
        <v>8</v>
      </c>
      <c r="WKO7" s="1179"/>
      <c r="WKP7" s="1179"/>
      <c r="WKQ7" s="1179"/>
      <c r="WKR7" s="1179" t="s">
        <v>10</v>
      </c>
      <c r="WKS7" s="1179"/>
      <c r="WKT7" s="1179"/>
      <c r="WKU7" s="1180"/>
      <c r="WKV7" s="1178" t="s">
        <v>8</v>
      </c>
      <c r="WKW7" s="1179"/>
      <c r="WKX7" s="1179"/>
      <c r="WKY7" s="1179"/>
      <c r="WKZ7" s="1179" t="s">
        <v>10</v>
      </c>
      <c r="WLA7" s="1179"/>
      <c r="WLB7" s="1179"/>
      <c r="WLC7" s="1180"/>
      <c r="WLD7" s="1178" t="s">
        <v>8</v>
      </c>
      <c r="WLE7" s="1179"/>
      <c r="WLF7" s="1179"/>
      <c r="WLG7" s="1179"/>
      <c r="WLH7" s="1179" t="s">
        <v>10</v>
      </c>
      <c r="WLI7" s="1179"/>
      <c r="WLJ7" s="1179"/>
      <c r="WLK7" s="1180"/>
      <c r="WLL7" s="1178" t="s">
        <v>8</v>
      </c>
      <c r="WLM7" s="1179"/>
      <c r="WLN7" s="1179"/>
      <c r="WLO7" s="1179"/>
      <c r="WLP7" s="1179" t="s">
        <v>10</v>
      </c>
      <c r="WLQ7" s="1179"/>
      <c r="WLR7" s="1179"/>
      <c r="WLS7" s="1180"/>
      <c r="WLT7" s="1178" t="s">
        <v>8</v>
      </c>
      <c r="WLU7" s="1179"/>
      <c r="WLV7" s="1179"/>
      <c r="WLW7" s="1179"/>
      <c r="WLX7" s="1179" t="s">
        <v>10</v>
      </c>
      <c r="WLY7" s="1179"/>
      <c r="WLZ7" s="1179"/>
      <c r="WMA7" s="1180"/>
      <c r="WMB7" s="1178" t="s">
        <v>8</v>
      </c>
      <c r="WMC7" s="1179"/>
      <c r="WMD7" s="1179"/>
      <c r="WME7" s="1179"/>
      <c r="WMF7" s="1179" t="s">
        <v>10</v>
      </c>
      <c r="WMG7" s="1179"/>
      <c r="WMH7" s="1179"/>
      <c r="WMI7" s="1180"/>
      <c r="WMJ7" s="1178" t="s">
        <v>8</v>
      </c>
      <c r="WMK7" s="1179"/>
      <c r="WML7" s="1179"/>
      <c r="WMM7" s="1179"/>
      <c r="WMN7" s="1179" t="s">
        <v>10</v>
      </c>
      <c r="WMO7" s="1179"/>
      <c r="WMP7" s="1179"/>
      <c r="WMQ7" s="1180"/>
      <c r="WMR7" s="1178" t="s">
        <v>8</v>
      </c>
      <c r="WMS7" s="1179"/>
      <c r="WMT7" s="1179"/>
      <c r="WMU7" s="1179"/>
      <c r="WMV7" s="1179" t="s">
        <v>10</v>
      </c>
      <c r="WMW7" s="1179"/>
      <c r="WMX7" s="1179"/>
      <c r="WMY7" s="1180"/>
      <c r="WMZ7" s="1178" t="s">
        <v>8</v>
      </c>
      <c r="WNA7" s="1179"/>
      <c r="WNB7" s="1179"/>
      <c r="WNC7" s="1179"/>
      <c r="WND7" s="1179" t="s">
        <v>10</v>
      </c>
      <c r="WNE7" s="1179"/>
      <c r="WNF7" s="1179"/>
      <c r="WNG7" s="1180"/>
      <c r="WNH7" s="1178" t="s">
        <v>8</v>
      </c>
      <c r="WNI7" s="1179"/>
      <c r="WNJ7" s="1179"/>
      <c r="WNK7" s="1179"/>
      <c r="WNL7" s="1179" t="s">
        <v>10</v>
      </c>
      <c r="WNM7" s="1179"/>
      <c r="WNN7" s="1179"/>
      <c r="WNO7" s="1180"/>
      <c r="WNP7" s="1178" t="s">
        <v>8</v>
      </c>
      <c r="WNQ7" s="1179"/>
      <c r="WNR7" s="1179"/>
      <c r="WNS7" s="1179"/>
      <c r="WNT7" s="1179" t="s">
        <v>10</v>
      </c>
      <c r="WNU7" s="1179"/>
      <c r="WNV7" s="1179"/>
      <c r="WNW7" s="1180"/>
      <c r="WNX7" s="1178" t="s">
        <v>8</v>
      </c>
      <c r="WNY7" s="1179"/>
      <c r="WNZ7" s="1179"/>
      <c r="WOA7" s="1179"/>
      <c r="WOB7" s="1179" t="s">
        <v>10</v>
      </c>
      <c r="WOC7" s="1179"/>
      <c r="WOD7" s="1179"/>
      <c r="WOE7" s="1180"/>
      <c r="WOF7" s="1178" t="s">
        <v>8</v>
      </c>
      <c r="WOG7" s="1179"/>
      <c r="WOH7" s="1179"/>
      <c r="WOI7" s="1179"/>
      <c r="WOJ7" s="1179" t="s">
        <v>10</v>
      </c>
      <c r="WOK7" s="1179"/>
      <c r="WOL7" s="1179"/>
      <c r="WOM7" s="1180"/>
      <c r="WON7" s="1178" t="s">
        <v>8</v>
      </c>
      <c r="WOO7" s="1179"/>
      <c r="WOP7" s="1179"/>
      <c r="WOQ7" s="1179"/>
      <c r="WOR7" s="1179" t="s">
        <v>10</v>
      </c>
      <c r="WOS7" s="1179"/>
      <c r="WOT7" s="1179"/>
      <c r="WOU7" s="1180"/>
      <c r="WOV7" s="1178" t="s">
        <v>8</v>
      </c>
      <c r="WOW7" s="1179"/>
      <c r="WOX7" s="1179"/>
      <c r="WOY7" s="1179"/>
      <c r="WOZ7" s="1179" t="s">
        <v>10</v>
      </c>
      <c r="WPA7" s="1179"/>
      <c r="WPB7" s="1179"/>
      <c r="WPC7" s="1180"/>
      <c r="WPD7" s="1178" t="s">
        <v>8</v>
      </c>
      <c r="WPE7" s="1179"/>
      <c r="WPF7" s="1179"/>
      <c r="WPG7" s="1179"/>
      <c r="WPH7" s="1179" t="s">
        <v>10</v>
      </c>
      <c r="WPI7" s="1179"/>
      <c r="WPJ7" s="1179"/>
      <c r="WPK7" s="1180"/>
      <c r="WPL7" s="1178" t="s">
        <v>8</v>
      </c>
      <c r="WPM7" s="1179"/>
      <c r="WPN7" s="1179"/>
      <c r="WPO7" s="1179"/>
      <c r="WPP7" s="1179" t="s">
        <v>10</v>
      </c>
      <c r="WPQ7" s="1179"/>
      <c r="WPR7" s="1179"/>
      <c r="WPS7" s="1180"/>
      <c r="WPT7" s="1178" t="s">
        <v>8</v>
      </c>
      <c r="WPU7" s="1179"/>
      <c r="WPV7" s="1179"/>
      <c r="WPW7" s="1179"/>
      <c r="WPX7" s="1179" t="s">
        <v>10</v>
      </c>
      <c r="WPY7" s="1179"/>
      <c r="WPZ7" s="1179"/>
      <c r="WQA7" s="1180"/>
      <c r="WQB7" s="1178" t="s">
        <v>8</v>
      </c>
      <c r="WQC7" s="1179"/>
      <c r="WQD7" s="1179"/>
      <c r="WQE7" s="1179"/>
      <c r="WQF7" s="1179" t="s">
        <v>10</v>
      </c>
      <c r="WQG7" s="1179"/>
      <c r="WQH7" s="1179"/>
      <c r="WQI7" s="1180"/>
      <c r="WQJ7" s="1178" t="s">
        <v>8</v>
      </c>
      <c r="WQK7" s="1179"/>
      <c r="WQL7" s="1179"/>
      <c r="WQM7" s="1179"/>
      <c r="WQN7" s="1179" t="s">
        <v>10</v>
      </c>
      <c r="WQO7" s="1179"/>
      <c r="WQP7" s="1179"/>
      <c r="WQQ7" s="1180"/>
      <c r="WQR7" s="1178" t="s">
        <v>8</v>
      </c>
      <c r="WQS7" s="1179"/>
      <c r="WQT7" s="1179"/>
      <c r="WQU7" s="1179"/>
      <c r="WQV7" s="1179" t="s">
        <v>10</v>
      </c>
      <c r="WQW7" s="1179"/>
      <c r="WQX7" s="1179"/>
      <c r="WQY7" s="1180"/>
      <c r="WQZ7" s="1178" t="s">
        <v>8</v>
      </c>
      <c r="WRA7" s="1179"/>
      <c r="WRB7" s="1179"/>
      <c r="WRC7" s="1179"/>
      <c r="WRD7" s="1179" t="s">
        <v>10</v>
      </c>
      <c r="WRE7" s="1179"/>
      <c r="WRF7" s="1179"/>
      <c r="WRG7" s="1180"/>
      <c r="WRH7" s="1178" t="s">
        <v>8</v>
      </c>
      <c r="WRI7" s="1179"/>
      <c r="WRJ7" s="1179"/>
      <c r="WRK7" s="1179"/>
      <c r="WRL7" s="1179" t="s">
        <v>10</v>
      </c>
      <c r="WRM7" s="1179"/>
      <c r="WRN7" s="1179"/>
      <c r="WRO7" s="1180"/>
      <c r="WRP7" s="1178" t="s">
        <v>8</v>
      </c>
      <c r="WRQ7" s="1179"/>
      <c r="WRR7" s="1179"/>
      <c r="WRS7" s="1179"/>
      <c r="WRT7" s="1179" t="s">
        <v>10</v>
      </c>
      <c r="WRU7" s="1179"/>
      <c r="WRV7" s="1179"/>
      <c r="WRW7" s="1180"/>
      <c r="WRX7" s="1178" t="s">
        <v>8</v>
      </c>
      <c r="WRY7" s="1179"/>
      <c r="WRZ7" s="1179"/>
      <c r="WSA7" s="1179"/>
      <c r="WSB7" s="1179" t="s">
        <v>10</v>
      </c>
      <c r="WSC7" s="1179"/>
      <c r="WSD7" s="1179"/>
      <c r="WSE7" s="1180"/>
      <c r="WSF7" s="1178" t="s">
        <v>8</v>
      </c>
      <c r="WSG7" s="1179"/>
      <c r="WSH7" s="1179"/>
      <c r="WSI7" s="1179"/>
      <c r="WSJ7" s="1179" t="s">
        <v>10</v>
      </c>
      <c r="WSK7" s="1179"/>
      <c r="WSL7" s="1179"/>
      <c r="WSM7" s="1180"/>
      <c r="WSN7" s="1178" t="s">
        <v>8</v>
      </c>
      <c r="WSO7" s="1179"/>
      <c r="WSP7" s="1179"/>
      <c r="WSQ7" s="1179"/>
      <c r="WSR7" s="1179" t="s">
        <v>10</v>
      </c>
      <c r="WSS7" s="1179"/>
      <c r="WST7" s="1179"/>
      <c r="WSU7" s="1180"/>
      <c r="WSV7" s="1178" t="s">
        <v>8</v>
      </c>
      <c r="WSW7" s="1179"/>
      <c r="WSX7" s="1179"/>
      <c r="WSY7" s="1179"/>
      <c r="WSZ7" s="1179" t="s">
        <v>10</v>
      </c>
      <c r="WTA7" s="1179"/>
      <c r="WTB7" s="1179"/>
      <c r="WTC7" s="1180"/>
      <c r="WTD7" s="1178" t="s">
        <v>8</v>
      </c>
      <c r="WTE7" s="1179"/>
      <c r="WTF7" s="1179"/>
      <c r="WTG7" s="1179"/>
      <c r="WTH7" s="1179" t="s">
        <v>10</v>
      </c>
      <c r="WTI7" s="1179"/>
      <c r="WTJ7" s="1179"/>
      <c r="WTK7" s="1180"/>
      <c r="WTL7" s="1178" t="s">
        <v>8</v>
      </c>
      <c r="WTM7" s="1179"/>
      <c r="WTN7" s="1179"/>
      <c r="WTO7" s="1179"/>
      <c r="WTP7" s="1179" t="s">
        <v>10</v>
      </c>
      <c r="WTQ7" s="1179"/>
      <c r="WTR7" s="1179"/>
      <c r="WTS7" s="1180"/>
      <c r="WTT7" s="1178" t="s">
        <v>8</v>
      </c>
      <c r="WTU7" s="1179"/>
      <c r="WTV7" s="1179"/>
      <c r="WTW7" s="1179"/>
      <c r="WTX7" s="1179" t="s">
        <v>10</v>
      </c>
      <c r="WTY7" s="1179"/>
      <c r="WTZ7" s="1179"/>
      <c r="WUA7" s="1180"/>
      <c r="WUB7" s="1178" t="s">
        <v>8</v>
      </c>
      <c r="WUC7" s="1179"/>
      <c r="WUD7" s="1179"/>
      <c r="WUE7" s="1179"/>
      <c r="WUF7" s="1179" t="s">
        <v>10</v>
      </c>
      <c r="WUG7" s="1179"/>
      <c r="WUH7" s="1179"/>
      <c r="WUI7" s="1180"/>
      <c r="WUJ7" s="1178" t="s">
        <v>8</v>
      </c>
      <c r="WUK7" s="1179"/>
      <c r="WUL7" s="1179"/>
      <c r="WUM7" s="1179"/>
      <c r="WUN7" s="1179" t="s">
        <v>10</v>
      </c>
      <c r="WUO7" s="1179"/>
      <c r="WUP7" s="1179"/>
      <c r="WUQ7" s="1180"/>
      <c r="WUR7" s="1178" t="s">
        <v>8</v>
      </c>
      <c r="WUS7" s="1179"/>
      <c r="WUT7" s="1179"/>
      <c r="WUU7" s="1179"/>
      <c r="WUV7" s="1179" t="s">
        <v>10</v>
      </c>
      <c r="WUW7" s="1179"/>
      <c r="WUX7" s="1179"/>
      <c r="WUY7" s="1180"/>
      <c r="WUZ7" s="1178" t="s">
        <v>8</v>
      </c>
      <c r="WVA7" s="1179"/>
      <c r="WVB7" s="1179"/>
      <c r="WVC7" s="1179"/>
      <c r="WVD7" s="1179" t="s">
        <v>10</v>
      </c>
      <c r="WVE7" s="1179"/>
      <c r="WVF7" s="1179"/>
      <c r="WVG7" s="1180"/>
      <c r="WVH7" s="1178" t="s">
        <v>8</v>
      </c>
      <c r="WVI7" s="1179"/>
      <c r="WVJ7" s="1179"/>
      <c r="WVK7" s="1179"/>
      <c r="WVL7" s="1179" t="s">
        <v>10</v>
      </c>
      <c r="WVM7" s="1179"/>
      <c r="WVN7" s="1179"/>
      <c r="WVO7" s="1180"/>
      <c r="WVP7" s="1178" t="s">
        <v>8</v>
      </c>
      <c r="WVQ7" s="1179"/>
      <c r="WVR7" s="1179"/>
      <c r="WVS7" s="1179"/>
      <c r="WVT7" s="1179" t="s">
        <v>10</v>
      </c>
      <c r="WVU7" s="1179"/>
      <c r="WVV7" s="1179"/>
      <c r="WVW7" s="1180"/>
      <c r="WVX7" s="1178" t="s">
        <v>8</v>
      </c>
      <c r="WVY7" s="1179"/>
      <c r="WVZ7" s="1179"/>
      <c r="WWA7" s="1179"/>
      <c r="WWB7" s="1179" t="s">
        <v>10</v>
      </c>
      <c r="WWC7" s="1179"/>
      <c r="WWD7" s="1179"/>
      <c r="WWE7" s="1180"/>
    </row>
    <row r="8" spans="1:16151" ht="62.25" customHeight="1" x14ac:dyDescent="0.25">
      <c r="A8" s="4" t="s">
        <v>4</v>
      </c>
      <c r="B8" s="5" t="s">
        <v>5</v>
      </c>
      <c r="C8" s="1181" t="s">
        <v>15</v>
      </c>
      <c r="D8" s="1181"/>
      <c r="E8" s="5" t="s">
        <v>4</v>
      </c>
      <c r="F8" s="5" t="s">
        <v>0</v>
      </c>
      <c r="G8" s="1181" t="s">
        <v>15</v>
      </c>
      <c r="H8" s="1181"/>
      <c r="AF8" s="4" t="s">
        <v>4</v>
      </c>
      <c r="AG8" s="5" t="s">
        <v>5</v>
      </c>
      <c r="AH8" s="1181" t="s">
        <v>15</v>
      </c>
      <c r="AI8" s="1181"/>
      <c r="AJ8" s="5" t="s">
        <v>4</v>
      </c>
      <c r="AK8" s="5" t="s">
        <v>0</v>
      </c>
      <c r="AL8" s="1181" t="s">
        <v>15</v>
      </c>
      <c r="AM8" s="1181"/>
      <c r="AN8" s="4" t="s">
        <v>4</v>
      </c>
      <c r="AO8" s="5" t="s">
        <v>5</v>
      </c>
      <c r="AP8" s="1181" t="s">
        <v>15</v>
      </c>
      <c r="AQ8" s="1181"/>
      <c r="AR8" s="5" t="s">
        <v>4</v>
      </c>
      <c r="AS8" s="5" t="s">
        <v>0</v>
      </c>
      <c r="AT8" s="1181" t="s">
        <v>15</v>
      </c>
      <c r="AU8" s="1181"/>
      <c r="AV8" s="4" t="s">
        <v>4</v>
      </c>
      <c r="AW8" s="5" t="s">
        <v>5</v>
      </c>
      <c r="AX8" s="1181" t="s">
        <v>15</v>
      </c>
      <c r="AY8" s="1181"/>
      <c r="AZ8" s="5" t="s">
        <v>4</v>
      </c>
      <c r="BA8" s="5" t="s">
        <v>0</v>
      </c>
      <c r="BB8" s="1181" t="s">
        <v>15</v>
      </c>
      <c r="BC8" s="1181"/>
      <c r="BD8" s="4" t="s">
        <v>4</v>
      </c>
      <c r="BE8" s="5" t="s">
        <v>5</v>
      </c>
      <c r="BF8" s="1181" t="s">
        <v>15</v>
      </c>
      <c r="BG8" s="1181"/>
      <c r="BH8" s="5" t="s">
        <v>4</v>
      </c>
      <c r="BI8" s="5" t="s">
        <v>0</v>
      </c>
      <c r="BJ8" s="1181" t="s">
        <v>15</v>
      </c>
      <c r="BK8" s="1181"/>
      <c r="BL8" s="4" t="s">
        <v>4</v>
      </c>
      <c r="BM8" s="5" t="s">
        <v>5</v>
      </c>
      <c r="BN8" s="1181" t="s">
        <v>15</v>
      </c>
      <c r="BO8" s="1181"/>
      <c r="BP8" s="5" t="s">
        <v>4</v>
      </c>
      <c r="BQ8" s="5" t="s">
        <v>0</v>
      </c>
      <c r="BR8" s="1181" t="s">
        <v>15</v>
      </c>
      <c r="BS8" s="1181"/>
      <c r="BT8" s="4" t="s">
        <v>4</v>
      </c>
      <c r="BU8" s="5" t="s">
        <v>5</v>
      </c>
      <c r="BV8" s="1181" t="s">
        <v>15</v>
      </c>
      <c r="BW8" s="1181"/>
      <c r="BX8" s="5" t="s">
        <v>4</v>
      </c>
      <c r="BY8" s="5" t="s">
        <v>0</v>
      </c>
      <c r="BZ8" s="1181" t="s">
        <v>15</v>
      </c>
      <c r="CA8" s="1181"/>
      <c r="CB8" s="4" t="s">
        <v>4</v>
      </c>
      <c r="CC8" s="5" t="s">
        <v>5</v>
      </c>
      <c r="CD8" s="1181" t="s">
        <v>15</v>
      </c>
      <c r="CE8" s="1181"/>
      <c r="CF8" s="5" t="s">
        <v>4</v>
      </c>
      <c r="CG8" s="5" t="s">
        <v>0</v>
      </c>
      <c r="CH8" s="1181" t="s">
        <v>15</v>
      </c>
      <c r="CI8" s="1181"/>
      <c r="CJ8" s="4" t="s">
        <v>4</v>
      </c>
      <c r="CK8" s="5" t="s">
        <v>5</v>
      </c>
      <c r="CL8" s="1181" t="s">
        <v>15</v>
      </c>
      <c r="CM8" s="1181"/>
      <c r="CN8" s="5" t="s">
        <v>4</v>
      </c>
      <c r="CO8" s="5" t="s">
        <v>0</v>
      </c>
      <c r="CP8" s="1181" t="s">
        <v>15</v>
      </c>
      <c r="CQ8" s="1181"/>
      <c r="CR8" s="4" t="s">
        <v>4</v>
      </c>
      <c r="CS8" s="5" t="s">
        <v>5</v>
      </c>
      <c r="CT8" s="1181" t="s">
        <v>15</v>
      </c>
      <c r="CU8" s="1181"/>
      <c r="CV8" s="5" t="s">
        <v>4</v>
      </c>
      <c r="CW8" s="5" t="s">
        <v>0</v>
      </c>
      <c r="CX8" s="1181" t="s">
        <v>15</v>
      </c>
      <c r="CY8" s="1181"/>
      <c r="CZ8" s="4" t="s">
        <v>4</v>
      </c>
      <c r="DA8" s="5" t="s">
        <v>5</v>
      </c>
      <c r="DB8" s="1181" t="s">
        <v>15</v>
      </c>
      <c r="DC8" s="1181"/>
      <c r="DD8" s="5" t="s">
        <v>4</v>
      </c>
      <c r="DE8" s="5" t="s">
        <v>0</v>
      </c>
      <c r="DF8" s="1181" t="s">
        <v>15</v>
      </c>
      <c r="DG8" s="1181"/>
      <c r="DH8" s="4" t="s">
        <v>4</v>
      </c>
      <c r="DI8" s="5" t="s">
        <v>5</v>
      </c>
      <c r="DJ8" s="1181" t="s">
        <v>15</v>
      </c>
      <c r="DK8" s="1181"/>
      <c r="DL8" s="5" t="s">
        <v>4</v>
      </c>
      <c r="DM8" s="5" t="s">
        <v>0</v>
      </c>
      <c r="DN8" s="1181" t="s">
        <v>15</v>
      </c>
      <c r="DO8" s="1181"/>
      <c r="DP8" s="4" t="s">
        <v>4</v>
      </c>
      <c r="DQ8" s="5" t="s">
        <v>5</v>
      </c>
      <c r="DR8" s="1181" t="s">
        <v>15</v>
      </c>
      <c r="DS8" s="1181"/>
      <c r="DT8" s="5" t="s">
        <v>4</v>
      </c>
      <c r="DU8" s="5" t="s">
        <v>0</v>
      </c>
      <c r="DV8" s="1181" t="s">
        <v>15</v>
      </c>
      <c r="DW8" s="1181"/>
      <c r="DX8" s="4" t="s">
        <v>4</v>
      </c>
      <c r="DY8" s="5" t="s">
        <v>5</v>
      </c>
      <c r="DZ8" s="1181" t="s">
        <v>15</v>
      </c>
      <c r="EA8" s="1181"/>
      <c r="EB8" s="5" t="s">
        <v>4</v>
      </c>
      <c r="EC8" s="5" t="s">
        <v>0</v>
      </c>
      <c r="ED8" s="1181" t="s">
        <v>15</v>
      </c>
      <c r="EE8" s="1181"/>
      <c r="EF8" s="4" t="s">
        <v>4</v>
      </c>
      <c r="EG8" s="5" t="s">
        <v>5</v>
      </c>
      <c r="EH8" s="1181" t="s">
        <v>15</v>
      </c>
      <c r="EI8" s="1181"/>
      <c r="EJ8" s="5" t="s">
        <v>4</v>
      </c>
      <c r="EK8" s="5" t="s">
        <v>0</v>
      </c>
      <c r="EL8" s="1181" t="s">
        <v>15</v>
      </c>
      <c r="EM8" s="1181"/>
      <c r="EN8" s="4" t="s">
        <v>4</v>
      </c>
      <c r="EO8" s="5" t="s">
        <v>5</v>
      </c>
      <c r="EP8" s="1181" t="s">
        <v>15</v>
      </c>
      <c r="EQ8" s="1181"/>
      <c r="ER8" s="5" t="s">
        <v>4</v>
      </c>
      <c r="ES8" s="5" t="s">
        <v>0</v>
      </c>
      <c r="ET8" s="1181" t="s">
        <v>15</v>
      </c>
      <c r="EU8" s="1181"/>
      <c r="EV8" s="4" t="s">
        <v>4</v>
      </c>
      <c r="EW8" s="5" t="s">
        <v>5</v>
      </c>
      <c r="EX8" s="1181" t="s">
        <v>15</v>
      </c>
      <c r="EY8" s="1181"/>
      <c r="EZ8" s="5" t="s">
        <v>4</v>
      </c>
      <c r="FA8" s="5" t="s">
        <v>0</v>
      </c>
      <c r="FB8" s="1181" t="s">
        <v>15</v>
      </c>
      <c r="FC8" s="1181"/>
      <c r="FD8" s="4" t="s">
        <v>4</v>
      </c>
      <c r="FE8" s="5" t="s">
        <v>5</v>
      </c>
      <c r="FF8" s="1181" t="s">
        <v>15</v>
      </c>
      <c r="FG8" s="1181"/>
      <c r="FH8" s="5" t="s">
        <v>4</v>
      </c>
      <c r="FI8" s="5" t="s">
        <v>0</v>
      </c>
      <c r="FJ8" s="1181" t="s">
        <v>15</v>
      </c>
      <c r="FK8" s="1181"/>
      <c r="FL8" s="4" t="s">
        <v>4</v>
      </c>
      <c r="FM8" s="5" t="s">
        <v>5</v>
      </c>
      <c r="FN8" s="1181" t="s">
        <v>15</v>
      </c>
      <c r="FO8" s="1181"/>
      <c r="FP8" s="5" t="s">
        <v>4</v>
      </c>
      <c r="FQ8" s="5" t="s">
        <v>0</v>
      </c>
      <c r="FR8" s="1181" t="s">
        <v>15</v>
      </c>
      <c r="FS8" s="1181"/>
      <c r="FT8" s="4" t="s">
        <v>4</v>
      </c>
      <c r="FU8" s="5" t="s">
        <v>5</v>
      </c>
      <c r="FV8" s="1181" t="s">
        <v>15</v>
      </c>
      <c r="FW8" s="1181"/>
      <c r="FX8" s="5" t="s">
        <v>4</v>
      </c>
      <c r="FY8" s="5" t="s">
        <v>0</v>
      </c>
      <c r="FZ8" s="1181" t="s">
        <v>15</v>
      </c>
      <c r="GA8" s="1181"/>
      <c r="GB8" s="4" t="s">
        <v>4</v>
      </c>
      <c r="GC8" s="5" t="s">
        <v>5</v>
      </c>
      <c r="GD8" s="1181" t="s">
        <v>15</v>
      </c>
      <c r="GE8" s="1181"/>
      <c r="GF8" s="5" t="s">
        <v>4</v>
      </c>
      <c r="GG8" s="5" t="s">
        <v>0</v>
      </c>
      <c r="GH8" s="1181" t="s">
        <v>15</v>
      </c>
      <c r="GI8" s="1181"/>
      <c r="GJ8" s="4" t="s">
        <v>4</v>
      </c>
      <c r="GK8" s="5" t="s">
        <v>5</v>
      </c>
      <c r="GL8" s="1181" t="s">
        <v>15</v>
      </c>
      <c r="GM8" s="1181"/>
      <c r="GN8" s="5" t="s">
        <v>4</v>
      </c>
      <c r="GO8" s="5" t="s">
        <v>0</v>
      </c>
      <c r="GP8" s="1181" t="s">
        <v>15</v>
      </c>
      <c r="GQ8" s="1181"/>
      <c r="GR8" s="4" t="s">
        <v>4</v>
      </c>
      <c r="GS8" s="5" t="s">
        <v>5</v>
      </c>
      <c r="GT8" s="1181" t="s">
        <v>15</v>
      </c>
      <c r="GU8" s="1181"/>
      <c r="GV8" s="5" t="s">
        <v>4</v>
      </c>
      <c r="GW8" s="5" t="s">
        <v>0</v>
      </c>
      <c r="GX8" s="1181" t="s">
        <v>15</v>
      </c>
      <c r="GY8" s="1181"/>
      <c r="GZ8" s="4" t="s">
        <v>4</v>
      </c>
      <c r="HA8" s="5" t="s">
        <v>5</v>
      </c>
      <c r="HB8" s="1181" t="s">
        <v>15</v>
      </c>
      <c r="HC8" s="1181"/>
      <c r="HD8" s="5" t="s">
        <v>4</v>
      </c>
      <c r="HE8" s="5" t="s">
        <v>0</v>
      </c>
      <c r="HF8" s="1181" t="s">
        <v>15</v>
      </c>
      <c r="HG8" s="1181"/>
      <c r="HH8" s="4" t="s">
        <v>4</v>
      </c>
      <c r="HI8" s="5" t="s">
        <v>5</v>
      </c>
      <c r="HJ8" s="1181" t="s">
        <v>15</v>
      </c>
      <c r="HK8" s="1181"/>
      <c r="HL8" s="5" t="s">
        <v>4</v>
      </c>
      <c r="HM8" s="5" t="s">
        <v>0</v>
      </c>
      <c r="HN8" s="1181" t="s">
        <v>15</v>
      </c>
      <c r="HO8" s="1181"/>
      <c r="HP8" s="4" t="s">
        <v>4</v>
      </c>
      <c r="HQ8" s="5" t="s">
        <v>5</v>
      </c>
      <c r="HR8" s="1181" t="s">
        <v>15</v>
      </c>
      <c r="HS8" s="1181"/>
      <c r="HT8" s="5" t="s">
        <v>4</v>
      </c>
      <c r="HU8" s="5" t="s">
        <v>0</v>
      </c>
      <c r="HV8" s="1181" t="s">
        <v>15</v>
      </c>
      <c r="HW8" s="1181"/>
      <c r="HX8" s="4" t="s">
        <v>4</v>
      </c>
      <c r="HY8" s="5" t="s">
        <v>5</v>
      </c>
      <c r="HZ8" s="1181" t="s">
        <v>15</v>
      </c>
      <c r="IA8" s="1181"/>
      <c r="IB8" s="5" t="s">
        <v>4</v>
      </c>
      <c r="IC8" s="5" t="s">
        <v>0</v>
      </c>
      <c r="ID8" s="1181" t="s">
        <v>15</v>
      </c>
      <c r="IE8" s="1181"/>
      <c r="IF8" s="4" t="s">
        <v>4</v>
      </c>
      <c r="IG8" s="5" t="s">
        <v>5</v>
      </c>
      <c r="IH8" s="1181" t="s">
        <v>15</v>
      </c>
      <c r="II8" s="1181"/>
      <c r="IJ8" s="5" t="s">
        <v>4</v>
      </c>
      <c r="IK8" s="5" t="s">
        <v>0</v>
      </c>
      <c r="IL8" s="1181" t="s">
        <v>15</v>
      </c>
      <c r="IM8" s="1181"/>
      <c r="IN8" s="4" t="s">
        <v>4</v>
      </c>
      <c r="IO8" s="5" t="s">
        <v>5</v>
      </c>
      <c r="IP8" s="1181" t="s">
        <v>15</v>
      </c>
      <c r="IQ8" s="1181"/>
      <c r="IR8" s="5" t="s">
        <v>4</v>
      </c>
      <c r="IS8" s="5" t="s">
        <v>0</v>
      </c>
      <c r="IT8" s="1181" t="s">
        <v>15</v>
      </c>
      <c r="IU8" s="1181"/>
      <c r="IV8" s="4" t="s">
        <v>4</v>
      </c>
      <c r="IW8" s="5" t="s">
        <v>5</v>
      </c>
      <c r="IX8" s="1181" t="s">
        <v>15</v>
      </c>
      <c r="IY8" s="1181"/>
      <c r="IZ8" s="5" t="s">
        <v>4</v>
      </c>
      <c r="JA8" s="5" t="s">
        <v>0</v>
      </c>
      <c r="JB8" s="1181" t="s">
        <v>15</v>
      </c>
      <c r="JC8" s="1181"/>
      <c r="JD8" s="4" t="s">
        <v>4</v>
      </c>
      <c r="JE8" s="5" t="s">
        <v>5</v>
      </c>
      <c r="JF8" s="1181" t="s">
        <v>15</v>
      </c>
      <c r="JG8" s="1181"/>
      <c r="JH8" s="5" t="s">
        <v>4</v>
      </c>
      <c r="JI8" s="5" t="s">
        <v>0</v>
      </c>
      <c r="JJ8" s="1181" t="s">
        <v>15</v>
      </c>
      <c r="JK8" s="1181"/>
      <c r="JL8" s="4" t="s">
        <v>4</v>
      </c>
      <c r="JM8" s="5" t="s">
        <v>5</v>
      </c>
      <c r="JN8" s="1181" t="s">
        <v>15</v>
      </c>
      <c r="JO8" s="1181"/>
      <c r="JP8" s="5" t="s">
        <v>4</v>
      </c>
      <c r="JQ8" s="5" t="s">
        <v>0</v>
      </c>
      <c r="JR8" s="1181" t="s">
        <v>15</v>
      </c>
      <c r="JS8" s="1181"/>
      <c r="JT8" s="4" t="s">
        <v>4</v>
      </c>
      <c r="JU8" s="5" t="s">
        <v>5</v>
      </c>
      <c r="JV8" s="1181" t="s">
        <v>15</v>
      </c>
      <c r="JW8" s="1181"/>
      <c r="JX8" s="5" t="s">
        <v>4</v>
      </c>
      <c r="JY8" s="5" t="s">
        <v>0</v>
      </c>
      <c r="JZ8" s="1181" t="s">
        <v>15</v>
      </c>
      <c r="KA8" s="1181"/>
      <c r="KB8" s="4" t="s">
        <v>4</v>
      </c>
      <c r="KC8" s="5" t="s">
        <v>5</v>
      </c>
      <c r="KD8" s="1181" t="s">
        <v>15</v>
      </c>
      <c r="KE8" s="1181"/>
      <c r="KF8" s="5" t="s">
        <v>4</v>
      </c>
      <c r="KG8" s="5" t="s">
        <v>0</v>
      </c>
      <c r="KH8" s="1181" t="s">
        <v>15</v>
      </c>
      <c r="KI8" s="1181"/>
      <c r="KJ8" s="4" t="s">
        <v>4</v>
      </c>
      <c r="KK8" s="5" t="s">
        <v>5</v>
      </c>
      <c r="KL8" s="1181" t="s">
        <v>15</v>
      </c>
      <c r="KM8" s="1181"/>
      <c r="KN8" s="5" t="s">
        <v>4</v>
      </c>
      <c r="KO8" s="5" t="s">
        <v>0</v>
      </c>
      <c r="KP8" s="1181" t="s">
        <v>15</v>
      </c>
      <c r="KQ8" s="1181"/>
      <c r="KR8" s="4" t="s">
        <v>4</v>
      </c>
      <c r="KS8" s="5" t="s">
        <v>5</v>
      </c>
      <c r="KT8" s="1181" t="s">
        <v>15</v>
      </c>
      <c r="KU8" s="1181"/>
      <c r="KV8" s="5" t="s">
        <v>4</v>
      </c>
      <c r="KW8" s="5" t="s">
        <v>0</v>
      </c>
      <c r="KX8" s="1181" t="s">
        <v>15</v>
      </c>
      <c r="KY8" s="1181"/>
      <c r="KZ8" s="4" t="s">
        <v>4</v>
      </c>
      <c r="LA8" s="5" t="s">
        <v>5</v>
      </c>
      <c r="LB8" s="1181" t="s">
        <v>15</v>
      </c>
      <c r="LC8" s="1181"/>
      <c r="LD8" s="5" t="s">
        <v>4</v>
      </c>
      <c r="LE8" s="5" t="s">
        <v>0</v>
      </c>
      <c r="LF8" s="1181" t="s">
        <v>15</v>
      </c>
      <c r="LG8" s="1181"/>
      <c r="LH8" s="4" t="s">
        <v>4</v>
      </c>
      <c r="LI8" s="5" t="s">
        <v>5</v>
      </c>
      <c r="LJ8" s="1181" t="s">
        <v>15</v>
      </c>
      <c r="LK8" s="1181"/>
      <c r="LL8" s="5" t="s">
        <v>4</v>
      </c>
      <c r="LM8" s="5" t="s">
        <v>0</v>
      </c>
      <c r="LN8" s="1181" t="s">
        <v>15</v>
      </c>
      <c r="LO8" s="1181"/>
      <c r="LP8" s="4" t="s">
        <v>4</v>
      </c>
      <c r="LQ8" s="5" t="s">
        <v>5</v>
      </c>
      <c r="LR8" s="1181" t="s">
        <v>15</v>
      </c>
      <c r="LS8" s="1181"/>
      <c r="LT8" s="5" t="s">
        <v>4</v>
      </c>
      <c r="LU8" s="5" t="s">
        <v>0</v>
      </c>
      <c r="LV8" s="1181" t="s">
        <v>15</v>
      </c>
      <c r="LW8" s="1181"/>
      <c r="LX8" s="4" t="s">
        <v>4</v>
      </c>
      <c r="LY8" s="5" t="s">
        <v>5</v>
      </c>
      <c r="LZ8" s="1181" t="s">
        <v>15</v>
      </c>
      <c r="MA8" s="1181"/>
      <c r="MB8" s="5" t="s">
        <v>4</v>
      </c>
      <c r="MC8" s="5" t="s">
        <v>0</v>
      </c>
      <c r="MD8" s="1181" t="s">
        <v>15</v>
      </c>
      <c r="ME8" s="1181"/>
      <c r="MF8" s="4" t="s">
        <v>4</v>
      </c>
      <c r="MG8" s="5" t="s">
        <v>5</v>
      </c>
      <c r="MH8" s="1181" t="s">
        <v>15</v>
      </c>
      <c r="MI8" s="1181"/>
      <c r="MJ8" s="5" t="s">
        <v>4</v>
      </c>
      <c r="MK8" s="5" t="s">
        <v>0</v>
      </c>
      <c r="ML8" s="1181" t="s">
        <v>15</v>
      </c>
      <c r="MM8" s="1181"/>
      <c r="MN8" s="4" t="s">
        <v>4</v>
      </c>
      <c r="MO8" s="5" t="s">
        <v>5</v>
      </c>
      <c r="MP8" s="1181" t="s">
        <v>15</v>
      </c>
      <c r="MQ8" s="1181"/>
      <c r="MR8" s="5" t="s">
        <v>4</v>
      </c>
      <c r="MS8" s="5" t="s">
        <v>0</v>
      </c>
      <c r="MT8" s="1181" t="s">
        <v>15</v>
      </c>
      <c r="MU8" s="1181"/>
      <c r="MV8" s="4" t="s">
        <v>4</v>
      </c>
      <c r="MW8" s="5" t="s">
        <v>5</v>
      </c>
      <c r="MX8" s="1181" t="s">
        <v>15</v>
      </c>
      <c r="MY8" s="1181"/>
      <c r="MZ8" s="5" t="s">
        <v>4</v>
      </c>
      <c r="NA8" s="5" t="s">
        <v>0</v>
      </c>
      <c r="NB8" s="1181" t="s">
        <v>15</v>
      </c>
      <c r="NC8" s="1181"/>
      <c r="ND8" s="4" t="s">
        <v>4</v>
      </c>
      <c r="NE8" s="5" t="s">
        <v>5</v>
      </c>
      <c r="NF8" s="1181" t="s">
        <v>15</v>
      </c>
      <c r="NG8" s="1181"/>
      <c r="NH8" s="5" t="s">
        <v>4</v>
      </c>
      <c r="NI8" s="5" t="s">
        <v>0</v>
      </c>
      <c r="NJ8" s="1181" t="s">
        <v>15</v>
      </c>
      <c r="NK8" s="1181"/>
      <c r="NL8" s="4" t="s">
        <v>4</v>
      </c>
      <c r="NM8" s="5" t="s">
        <v>5</v>
      </c>
      <c r="NN8" s="1181" t="s">
        <v>15</v>
      </c>
      <c r="NO8" s="1181"/>
      <c r="NP8" s="5" t="s">
        <v>4</v>
      </c>
      <c r="NQ8" s="5" t="s">
        <v>0</v>
      </c>
      <c r="NR8" s="1181" t="s">
        <v>15</v>
      </c>
      <c r="NS8" s="1181"/>
      <c r="NT8" s="4" t="s">
        <v>4</v>
      </c>
      <c r="NU8" s="5" t="s">
        <v>5</v>
      </c>
      <c r="NV8" s="1181" t="s">
        <v>15</v>
      </c>
      <c r="NW8" s="1181"/>
      <c r="NX8" s="5" t="s">
        <v>4</v>
      </c>
      <c r="NY8" s="5" t="s">
        <v>0</v>
      </c>
      <c r="NZ8" s="1181" t="s">
        <v>15</v>
      </c>
      <c r="OA8" s="1181"/>
      <c r="OB8" s="4" t="s">
        <v>4</v>
      </c>
      <c r="OC8" s="5" t="s">
        <v>5</v>
      </c>
      <c r="OD8" s="1181" t="s">
        <v>15</v>
      </c>
      <c r="OE8" s="1181"/>
      <c r="OF8" s="5" t="s">
        <v>4</v>
      </c>
      <c r="OG8" s="5" t="s">
        <v>0</v>
      </c>
      <c r="OH8" s="1181" t="s">
        <v>15</v>
      </c>
      <c r="OI8" s="1181"/>
      <c r="OJ8" s="4" t="s">
        <v>4</v>
      </c>
      <c r="OK8" s="5" t="s">
        <v>5</v>
      </c>
      <c r="OL8" s="1181" t="s">
        <v>15</v>
      </c>
      <c r="OM8" s="1181"/>
      <c r="ON8" s="5" t="s">
        <v>4</v>
      </c>
      <c r="OO8" s="5" t="s">
        <v>0</v>
      </c>
      <c r="OP8" s="1181" t="s">
        <v>15</v>
      </c>
      <c r="OQ8" s="1181"/>
      <c r="OR8" s="4" t="s">
        <v>4</v>
      </c>
      <c r="OS8" s="5" t="s">
        <v>5</v>
      </c>
      <c r="OT8" s="1181" t="s">
        <v>15</v>
      </c>
      <c r="OU8" s="1181"/>
      <c r="OV8" s="5" t="s">
        <v>4</v>
      </c>
      <c r="OW8" s="5" t="s">
        <v>0</v>
      </c>
      <c r="OX8" s="1181" t="s">
        <v>15</v>
      </c>
      <c r="OY8" s="1181"/>
      <c r="OZ8" s="4" t="s">
        <v>4</v>
      </c>
      <c r="PA8" s="5" t="s">
        <v>5</v>
      </c>
      <c r="PB8" s="1181" t="s">
        <v>15</v>
      </c>
      <c r="PC8" s="1181"/>
      <c r="PD8" s="5" t="s">
        <v>4</v>
      </c>
      <c r="PE8" s="5" t="s">
        <v>0</v>
      </c>
      <c r="PF8" s="1181" t="s">
        <v>15</v>
      </c>
      <c r="PG8" s="1181"/>
      <c r="PH8" s="4" t="s">
        <v>4</v>
      </c>
      <c r="PI8" s="5" t="s">
        <v>5</v>
      </c>
      <c r="PJ8" s="1181" t="s">
        <v>15</v>
      </c>
      <c r="PK8" s="1181"/>
      <c r="PL8" s="5" t="s">
        <v>4</v>
      </c>
      <c r="PM8" s="5" t="s">
        <v>0</v>
      </c>
      <c r="PN8" s="1181" t="s">
        <v>15</v>
      </c>
      <c r="PO8" s="1181"/>
      <c r="PP8" s="4" t="s">
        <v>4</v>
      </c>
      <c r="PQ8" s="5" t="s">
        <v>5</v>
      </c>
      <c r="PR8" s="1181" t="s">
        <v>15</v>
      </c>
      <c r="PS8" s="1181"/>
      <c r="PT8" s="5" t="s">
        <v>4</v>
      </c>
      <c r="PU8" s="5" t="s">
        <v>0</v>
      </c>
      <c r="PV8" s="1181" t="s">
        <v>15</v>
      </c>
      <c r="PW8" s="1181"/>
      <c r="PX8" s="4" t="s">
        <v>4</v>
      </c>
      <c r="PY8" s="5" t="s">
        <v>5</v>
      </c>
      <c r="PZ8" s="1181" t="s">
        <v>15</v>
      </c>
      <c r="QA8" s="1181"/>
      <c r="QB8" s="5" t="s">
        <v>4</v>
      </c>
      <c r="QC8" s="5" t="s">
        <v>0</v>
      </c>
      <c r="QD8" s="1181" t="s">
        <v>15</v>
      </c>
      <c r="QE8" s="1181"/>
      <c r="QF8" s="4" t="s">
        <v>4</v>
      </c>
      <c r="QG8" s="5" t="s">
        <v>5</v>
      </c>
      <c r="QH8" s="1181" t="s">
        <v>15</v>
      </c>
      <c r="QI8" s="1181"/>
      <c r="QJ8" s="5" t="s">
        <v>4</v>
      </c>
      <c r="QK8" s="5" t="s">
        <v>0</v>
      </c>
      <c r="QL8" s="1181" t="s">
        <v>15</v>
      </c>
      <c r="QM8" s="1181"/>
      <c r="QN8" s="4" t="s">
        <v>4</v>
      </c>
      <c r="QO8" s="5" t="s">
        <v>5</v>
      </c>
      <c r="QP8" s="1181" t="s">
        <v>15</v>
      </c>
      <c r="QQ8" s="1181"/>
      <c r="QR8" s="5" t="s">
        <v>4</v>
      </c>
      <c r="QS8" s="5" t="s">
        <v>0</v>
      </c>
      <c r="QT8" s="1181" t="s">
        <v>15</v>
      </c>
      <c r="QU8" s="1181"/>
      <c r="QV8" s="4" t="s">
        <v>4</v>
      </c>
      <c r="QW8" s="5" t="s">
        <v>5</v>
      </c>
      <c r="QX8" s="1181" t="s">
        <v>15</v>
      </c>
      <c r="QY8" s="1181"/>
      <c r="QZ8" s="5" t="s">
        <v>4</v>
      </c>
      <c r="RA8" s="5" t="s">
        <v>0</v>
      </c>
      <c r="RB8" s="1181" t="s">
        <v>15</v>
      </c>
      <c r="RC8" s="1181"/>
      <c r="RD8" s="4" t="s">
        <v>4</v>
      </c>
      <c r="RE8" s="5" t="s">
        <v>5</v>
      </c>
      <c r="RF8" s="1181" t="s">
        <v>15</v>
      </c>
      <c r="RG8" s="1181"/>
      <c r="RH8" s="5" t="s">
        <v>4</v>
      </c>
      <c r="RI8" s="5" t="s">
        <v>0</v>
      </c>
      <c r="RJ8" s="1181" t="s">
        <v>15</v>
      </c>
      <c r="RK8" s="1181"/>
      <c r="RL8" s="4" t="s">
        <v>4</v>
      </c>
      <c r="RM8" s="5" t="s">
        <v>5</v>
      </c>
      <c r="RN8" s="1181" t="s">
        <v>15</v>
      </c>
      <c r="RO8" s="1181"/>
      <c r="RP8" s="5" t="s">
        <v>4</v>
      </c>
      <c r="RQ8" s="5" t="s">
        <v>0</v>
      </c>
      <c r="RR8" s="1181" t="s">
        <v>15</v>
      </c>
      <c r="RS8" s="1181"/>
      <c r="RT8" s="4" t="s">
        <v>4</v>
      </c>
      <c r="RU8" s="5" t="s">
        <v>5</v>
      </c>
      <c r="RV8" s="1181" t="s">
        <v>15</v>
      </c>
      <c r="RW8" s="1181"/>
      <c r="RX8" s="5" t="s">
        <v>4</v>
      </c>
      <c r="RY8" s="5" t="s">
        <v>0</v>
      </c>
      <c r="RZ8" s="1181" t="s">
        <v>15</v>
      </c>
      <c r="SA8" s="1181"/>
      <c r="SB8" s="4" t="s">
        <v>4</v>
      </c>
      <c r="SC8" s="5" t="s">
        <v>5</v>
      </c>
      <c r="SD8" s="1181" t="s">
        <v>15</v>
      </c>
      <c r="SE8" s="1181"/>
      <c r="SF8" s="5" t="s">
        <v>4</v>
      </c>
      <c r="SG8" s="5" t="s">
        <v>0</v>
      </c>
      <c r="SH8" s="1181" t="s">
        <v>15</v>
      </c>
      <c r="SI8" s="1181"/>
      <c r="SJ8" s="4" t="s">
        <v>4</v>
      </c>
      <c r="SK8" s="5" t="s">
        <v>5</v>
      </c>
      <c r="SL8" s="1181" t="s">
        <v>15</v>
      </c>
      <c r="SM8" s="1181"/>
      <c r="SN8" s="5" t="s">
        <v>4</v>
      </c>
      <c r="SO8" s="5" t="s">
        <v>0</v>
      </c>
      <c r="SP8" s="1181" t="s">
        <v>15</v>
      </c>
      <c r="SQ8" s="1181"/>
      <c r="SR8" s="4" t="s">
        <v>4</v>
      </c>
      <c r="SS8" s="5" t="s">
        <v>5</v>
      </c>
      <c r="ST8" s="1181" t="s">
        <v>15</v>
      </c>
      <c r="SU8" s="1181"/>
      <c r="SV8" s="5" t="s">
        <v>4</v>
      </c>
      <c r="SW8" s="5" t="s">
        <v>0</v>
      </c>
      <c r="SX8" s="1181" t="s">
        <v>15</v>
      </c>
      <c r="SY8" s="1181"/>
      <c r="SZ8" s="4" t="s">
        <v>4</v>
      </c>
      <c r="TA8" s="5" t="s">
        <v>5</v>
      </c>
      <c r="TB8" s="1181" t="s">
        <v>15</v>
      </c>
      <c r="TC8" s="1181"/>
      <c r="TD8" s="5" t="s">
        <v>4</v>
      </c>
      <c r="TE8" s="5" t="s">
        <v>0</v>
      </c>
      <c r="TF8" s="1181" t="s">
        <v>15</v>
      </c>
      <c r="TG8" s="1181"/>
      <c r="TH8" s="4" t="s">
        <v>4</v>
      </c>
      <c r="TI8" s="5" t="s">
        <v>5</v>
      </c>
      <c r="TJ8" s="1181" t="s">
        <v>15</v>
      </c>
      <c r="TK8" s="1181"/>
      <c r="TL8" s="5" t="s">
        <v>4</v>
      </c>
      <c r="TM8" s="5" t="s">
        <v>0</v>
      </c>
      <c r="TN8" s="1181" t="s">
        <v>15</v>
      </c>
      <c r="TO8" s="1181"/>
      <c r="TP8" s="4" t="s">
        <v>4</v>
      </c>
      <c r="TQ8" s="5" t="s">
        <v>5</v>
      </c>
      <c r="TR8" s="1181" t="s">
        <v>15</v>
      </c>
      <c r="TS8" s="1181"/>
      <c r="TT8" s="5" t="s">
        <v>4</v>
      </c>
      <c r="TU8" s="5" t="s">
        <v>0</v>
      </c>
      <c r="TV8" s="1181" t="s">
        <v>15</v>
      </c>
      <c r="TW8" s="1181"/>
      <c r="TX8" s="4" t="s">
        <v>4</v>
      </c>
      <c r="TY8" s="5" t="s">
        <v>5</v>
      </c>
      <c r="TZ8" s="1181" t="s">
        <v>15</v>
      </c>
      <c r="UA8" s="1181"/>
      <c r="UB8" s="5" t="s">
        <v>4</v>
      </c>
      <c r="UC8" s="5" t="s">
        <v>0</v>
      </c>
      <c r="UD8" s="1181" t="s">
        <v>15</v>
      </c>
      <c r="UE8" s="1181"/>
      <c r="UF8" s="4" t="s">
        <v>4</v>
      </c>
      <c r="UG8" s="5" t="s">
        <v>5</v>
      </c>
      <c r="UH8" s="1181" t="s">
        <v>15</v>
      </c>
      <c r="UI8" s="1181"/>
      <c r="UJ8" s="5" t="s">
        <v>4</v>
      </c>
      <c r="UK8" s="5" t="s">
        <v>0</v>
      </c>
      <c r="UL8" s="1181" t="s">
        <v>15</v>
      </c>
      <c r="UM8" s="1181"/>
      <c r="UN8" s="4" t="s">
        <v>4</v>
      </c>
      <c r="UO8" s="5" t="s">
        <v>5</v>
      </c>
      <c r="UP8" s="1181" t="s">
        <v>15</v>
      </c>
      <c r="UQ8" s="1181"/>
      <c r="UR8" s="5" t="s">
        <v>4</v>
      </c>
      <c r="US8" s="5" t="s">
        <v>0</v>
      </c>
      <c r="UT8" s="1181" t="s">
        <v>15</v>
      </c>
      <c r="UU8" s="1181"/>
      <c r="UV8" s="4" t="s">
        <v>4</v>
      </c>
      <c r="UW8" s="5" t="s">
        <v>5</v>
      </c>
      <c r="UX8" s="1181" t="s">
        <v>15</v>
      </c>
      <c r="UY8" s="1181"/>
      <c r="UZ8" s="5" t="s">
        <v>4</v>
      </c>
      <c r="VA8" s="5" t="s">
        <v>0</v>
      </c>
      <c r="VB8" s="1181" t="s">
        <v>15</v>
      </c>
      <c r="VC8" s="1181"/>
      <c r="VD8" s="4" t="s">
        <v>4</v>
      </c>
      <c r="VE8" s="5" t="s">
        <v>5</v>
      </c>
      <c r="VF8" s="1181" t="s">
        <v>15</v>
      </c>
      <c r="VG8" s="1181"/>
      <c r="VH8" s="5" t="s">
        <v>4</v>
      </c>
      <c r="VI8" s="5" t="s">
        <v>0</v>
      </c>
      <c r="VJ8" s="1181" t="s">
        <v>15</v>
      </c>
      <c r="VK8" s="1181"/>
      <c r="VL8" s="4" t="s">
        <v>4</v>
      </c>
      <c r="VM8" s="5" t="s">
        <v>5</v>
      </c>
      <c r="VN8" s="1181" t="s">
        <v>15</v>
      </c>
      <c r="VO8" s="1181"/>
      <c r="VP8" s="5" t="s">
        <v>4</v>
      </c>
      <c r="VQ8" s="5" t="s">
        <v>0</v>
      </c>
      <c r="VR8" s="1181" t="s">
        <v>15</v>
      </c>
      <c r="VS8" s="1181"/>
      <c r="VT8" s="4" t="s">
        <v>4</v>
      </c>
      <c r="VU8" s="5" t="s">
        <v>5</v>
      </c>
      <c r="VV8" s="1181" t="s">
        <v>15</v>
      </c>
      <c r="VW8" s="1181"/>
      <c r="VX8" s="5" t="s">
        <v>4</v>
      </c>
      <c r="VY8" s="5" t="s">
        <v>0</v>
      </c>
      <c r="VZ8" s="1181" t="s">
        <v>15</v>
      </c>
      <c r="WA8" s="1181"/>
      <c r="WB8" s="4" t="s">
        <v>4</v>
      </c>
      <c r="WC8" s="5" t="s">
        <v>5</v>
      </c>
      <c r="WD8" s="1181" t="s">
        <v>15</v>
      </c>
      <c r="WE8" s="1181"/>
      <c r="WF8" s="5" t="s">
        <v>4</v>
      </c>
      <c r="WG8" s="5" t="s">
        <v>0</v>
      </c>
      <c r="WH8" s="1181" t="s">
        <v>15</v>
      </c>
      <c r="WI8" s="1181"/>
      <c r="WJ8" s="4" t="s">
        <v>4</v>
      </c>
      <c r="WK8" s="5" t="s">
        <v>5</v>
      </c>
      <c r="WL8" s="1181" t="s">
        <v>15</v>
      </c>
      <c r="WM8" s="1181"/>
      <c r="WN8" s="5" t="s">
        <v>4</v>
      </c>
      <c r="WO8" s="5" t="s">
        <v>0</v>
      </c>
      <c r="WP8" s="1181" t="s">
        <v>15</v>
      </c>
      <c r="WQ8" s="1181"/>
      <c r="WR8" s="4" t="s">
        <v>4</v>
      </c>
      <c r="WS8" s="5" t="s">
        <v>5</v>
      </c>
      <c r="WT8" s="1181" t="s">
        <v>15</v>
      </c>
      <c r="WU8" s="1181"/>
      <c r="WV8" s="5" t="s">
        <v>4</v>
      </c>
      <c r="WW8" s="5" t="s">
        <v>0</v>
      </c>
      <c r="WX8" s="1181" t="s">
        <v>15</v>
      </c>
      <c r="WY8" s="1181"/>
      <c r="WZ8" s="4" t="s">
        <v>4</v>
      </c>
      <c r="XA8" s="5" t="s">
        <v>5</v>
      </c>
      <c r="XB8" s="1181" t="s">
        <v>15</v>
      </c>
      <c r="XC8" s="1181"/>
      <c r="XD8" s="5" t="s">
        <v>4</v>
      </c>
      <c r="XE8" s="5" t="s">
        <v>0</v>
      </c>
      <c r="XF8" s="1181" t="s">
        <v>15</v>
      </c>
      <c r="XG8" s="1181"/>
      <c r="XH8" s="4" t="s">
        <v>4</v>
      </c>
      <c r="XI8" s="5" t="s">
        <v>5</v>
      </c>
      <c r="XJ8" s="1181" t="s">
        <v>15</v>
      </c>
      <c r="XK8" s="1181"/>
      <c r="XL8" s="5" t="s">
        <v>4</v>
      </c>
      <c r="XM8" s="5" t="s">
        <v>0</v>
      </c>
      <c r="XN8" s="1181" t="s">
        <v>15</v>
      </c>
      <c r="XO8" s="1181"/>
      <c r="XP8" s="4" t="s">
        <v>4</v>
      </c>
      <c r="XQ8" s="5" t="s">
        <v>5</v>
      </c>
      <c r="XR8" s="1181" t="s">
        <v>15</v>
      </c>
      <c r="XS8" s="1181"/>
      <c r="XT8" s="5" t="s">
        <v>4</v>
      </c>
      <c r="XU8" s="5" t="s">
        <v>0</v>
      </c>
      <c r="XV8" s="1181" t="s">
        <v>15</v>
      </c>
      <c r="XW8" s="1181"/>
      <c r="XX8" s="4" t="s">
        <v>4</v>
      </c>
      <c r="XY8" s="5" t="s">
        <v>5</v>
      </c>
      <c r="XZ8" s="1181" t="s">
        <v>15</v>
      </c>
      <c r="YA8" s="1181"/>
      <c r="YB8" s="5" t="s">
        <v>4</v>
      </c>
      <c r="YC8" s="5" t="s">
        <v>0</v>
      </c>
      <c r="YD8" s="1181" t="s">
        <v>15</v>
      </c>
      <c r="YE8" s="1181"/>
      <c r="YF8" s="4" t="s">
        <v>4</v>
      </c>
      <c r="YG8" s="5" t="s">
        <v>5</v>
      </c>
      <c r="YH8" s="1181" t="s">
        <v>15</v>
      </c>
      <c r="YI8" s="1181"/>
      <c r="YJ8" s="5" t="s">
        <v>4</v>
      </c>
      <c r="YK8" s="5" t="s">
        <v>0</v>
      </c>
      <c r="YL8" s="1181" t="s">
        <v>15</v>
      </c>
      <c r="YM8" s="1181"/>
      <c r="YN8" s="4" t="s">
        <v>4</v>
      </c>
      <c r="YO8" s="5" t="s">
        <v>5</v>
      </c>
      <c r="YP8" s="1181" t="s">
        <v>15</v>
      </c>
      <c r="YQ8" s="1181"/>
      <c r="YR8" s="5" t="s">
        <v>4</v>
      </c>
      <c r="YS8" s="5" t="s">
        <v>0</v>
      </c>
      <c r="YT8" s="1181" t="s">
        <v>15</v>
      </c>
      <c r="YU8" s="1181"/>
      <c r="YV8" s="4" t="s">
        <v>4</v>
      </c>
      <c r="YW8" s="5" t="s">
        <v>5</v>
      </c>
      <c r="YX8" s="1181" t="s">
        <v>15</v>
      </c>
      <c r="YY8" s="1181"/>
      <c r="YZ8" s="5" t="s">
        <v>4</v>
      </c>
      <c r="ZA8" s="5" t="s">
        <v>0</v>
      </c>
      <c r="ZB8" s="1181" t="s">
        <v>15</v>
      </c>
      <c r="ZC8" s="1181"/>
      <c r="ZD8" s="4" t="s">
        <v>4</v>
      </c>
      <c r="ZE8" s="5" t="s">
        <v>5</v>
      </c>
      <c r="ZF8" s="1181" t="s">
        <v>15</v>
      </c>
      <c r="ZG8" s="1181"/>
      <c r="ZH8" s="5" t="s">
        <v>4</v>
      </c>
      <c r="ZI8" s="5" t="s">
        <v>0</v>
      </c>
      <c r="ZJ8" s="1181" t="s">
        <v>15</v>
      </c>
      <c r="ZK8" s="1181"/>
      <c r="ZL8" s="4" t="s">
        <v>4</v>
      </c>
      <c r="ZM8" s="5" t="s">
        <v>5</v>
      </c>
      <c r="ZN8" s="1181" t="s">
        <v>15</v>
      </c>
      <c r="ZO8" s="1181"/>
      <c r="ZP8" s="5" t="s">
        <v>4</v>
      </c>
      <c r="ZQ8" s="5" t="s">
        <v>0</v>
      </c>
      <c r="ZR8" s="1181" t="s">
        <v>15</v>
      </c>
      <c r="ZS8" s="1181"/>
      <c r="ZT8" s="4" t="s">
        <v>4</v>
      </c>
      <c r="ZU8" s="5" t="s">
        <v>5</v>
      </c>
      <c r="ZV8" s="1181" t="s">
        <v>15</v>
      </c>
      <c r="ZW8" s="1181"/>
      <c r="ZX8" s="5" t="s">
        <v>4</v>
      </c>
      <c r="ZY8" s="5" t="s">
        <v>0</v>
      </c>
      <c r="ZZ8" s="1181" t="s">
        <v>15</v>
      </c>
      <c r="AAA8" s="1181"/>
      <c r="AAB8" s="4" t="s">
        <v>4</v>
      </c>
      <c r="AAC8" s="5" t="s">
        <v>5</v>
      </c>
      <c r="AAD8" s="1181" t="s">
        <v>15</v>
      </c>
      <c r="AAE8" s="1181"/>
      <c r="AAF8" s="5" t="s">
        <v>4</v>
      </c>
      <c r="AAG8" s="5" t="s">
        <v>0</v>
      </c>
      <c r="AAH8" s="1181" t="s">
        <v>15</v>
      </c>
      <c r="AAI8" s="1181"/>
      <c r="AAJ8" s="4" t="s">
        <v>4</v>
      </c>
      <c r="AAK8" s="5" t="s">
        <v>5</v>
      </c>
      <c r="AAL8" s="1181" t="s">
        <v>15</v>
      </c>
      <c r="AAM8" s="1181"/>
      <c r="AAN8" s="5" t="s">
        <v>4</v>
      </c>
      <c r="AAO8" s="5" t="s">
        <v>0</v>
      </c>
      <c r="AAP8" s="1181" t="s">
        <v>15</v>
      </c>
      <c r="AAQ8" s="1181"/>
      <c r="AAR8" s="4" t="s">
        <v>4</v>
      </c>
      <c r="AAS8" s="5" t="s">
        <v>5</v>
      </c>
      <c r="AAT8" s="1181" t="s">
        <v>15</v>
      </c>
      <c r="AAU8" s="1181"/>
      <c r="AAV8" s="5" t="s">
        <v>4</v>
      </c>
      <c r="AAW8" s="5" t="s">
        <v>0</v>
      </c>
      <c r="AAX8" s="1181" t="s">
        <v>15</v>
      </c>
      <c r="AAY8" s="1181"/>
      <c r="AAZ8" s="4" t="s">
        <v>4</v>
      </c>
      <c r="ABA8" s="5" t="s">
        <v>5</v>
      </c>
      <c r="ABB8" s="1181" t="s">
        <v>15</v>
      </c>
      <c r="ABC8" s="1181"/>
      <c r="ABD8" s="5" t="s">
        <v>4</v>
      </c>
      <c r="ABE8" s="5" t="s">
        <v>0</v>
      </c>
      <c r="ABF8" s="1181" t="s">
        <v>15</v>
      </c>
      <c r="ABG8" s="1181"/>
      <c r="ABH8" s="4" t="s">
        <v>4</v>
      </c>
      <c r="ABI8" s="5" t="s">
        <v>5</v>
      </c>
      <c r="ABJ8" s="1181" t="s">
        <v>15</v>
      </c>
      <c r="ABK8" s="1181"/>
      <c r="ABL8" s="5" t="s">
        <v>4</v>
      </c>
      <c r="ABM8" s="5" t="s">
        <v>0</v>
      </c>
      <c r="ABN8" s="1181" t="s">
        <v>15</v>
      </c>
      <c r="ABO8" s="1181"/>
      <c r="ABP8" s="4" t="s">
        <v>4</v>
      </c>
      <c r="ABQ8" s="5" t="s">
        <v>5</v>
      </c>
      <c r="ABR8" s="1181" t="s">
        <v>15</v>
      </c>
      <c r="ABS8" s="1181"/>
      <c r="ABT8" s="5" t="s">
        <v>4</v>
      </c>
      <c r="ABU8" s="5" t="s">
        <v>0</v>
      </c>
      <c r="ABV8" s="1181" t="s">
        <v>15</v>
      </c>
      <c r="ABW8" s="1181"/>
      <c r="ABX8" s="4" t="s">
        <v>4</v>
      </c>
      <c r="ABY8" s="5" t="s">
        <v>5</v>
      </c>
      <c r="ABZ8" s="1181" t="s">
        <v>15</v>
      </c>
      <c r="ACA8" s="1181"/>
      <c r="ACB8" s="5" t="s">
        <v>4</v>
      </c>
      <c r="ACC8" s="5" t="s">
        <v>0</v>
      </c>
      <c r="ACD8" s="1181" t="s">
        <v>15</v>
      </c>
      <c r="ACE8" s="1181"/>
      <c r="ACF8" s="4" t="s">
        <v>4</v>
      </c>
      <c r="ACG8" s="5" t="s">
        <v>5</v>
      </c>
      <c r="ACH8" s="1181" t="s">
        <v>15</v>
      </c>
      <c r="ACI8" s="1181"/>
      <c r="ACJ8" s="5" t="s">
        <v>4</v>
      </c>
      <c r="ACK8" s="5" t="s">
        <v>0</v>
      </c>
      <c r="ACL8" s="1181" t="s">
        <v>15</v>
      </c>
      <c r="ACM8" s="1181"/>
      <c r="ACN8" s="4" t="s">
        <v>4</v>
      </c>
      <c r="ACO8" s="5" t="s">
        <v>5</v>
      </c>
      <c r="ACP8" s="1181" t="s">
        <v>15</v>
      </c>
      <c r="ACQ8" s="1181"/>
      <c r="ACR8" s="5" t="s">
        <v>4</v>
      </c>
      <c r="ACS8" s="5" t="s">
        <v>0</v>
      </c>
      <c r="ACT8" s="1181" t="s">
        <v>15</v>
      </c>
      <c r="ACU8" s="1181"/>
      <c r="ACV8" s="4" t="s">
        <v>4</v>
      </c>
      <c r="ACW8" s="5" t="s">
        <v>5</v>
      </c>
      <c r="ACX8" s="1181" t="s">
        <v>15</v>
      </c>
      <c r="ACY8" s="1181"/>
      <c r="ACZ8" s="5" t="s">
        <v>4</v>
      </c>
      <c r="ADA8" s="5" t="s">
        <v>0</v>
      </c>
      <c r="ADB8" s="1181" t="s">
        <v>15</v>
      </c>
      <c r="ADC8" s="1181"/>
      <c r="ADD8" s="4" t="s">
        <v>4</v>
      </c>
      <c r="ADE8" s="5" t="s">
        <v>5</v>
      </c>
      <c r="ADF8" s="1181" t="s">
        <v>15</v>
      </c>
      <c r="ADG8" s="1181"/>
      <c r="ADH8" s="5" t="s">
        <v>4</v>
      </c>
      <c r="ADI8" s="5" t="s">
        <v>0</v>
      </c>
      <c r="ADJ8" s="1181" t="s">
        <v>15</v>
      </c>
      <c r="ADK8" s="1181"/>
      <c r="ADL8" s="4" t="s">
        <v>4</v>
      </c>
      <c r="ADM8" s="5" t="s">
        <v>5</v>
      </c>
      <c r="ADN8" s="1181" t="s">
        <v>15</v>
      </c>
      <c r="ADO8" s="1181"/>
      <c r="ADP8" s="5" t="s">
        <v>4</v>
      </c>
      <c r="ADQ8" s="5" t="s">
        <v>0</v>
      </c>
      <c r="ADR8" s="1181" t="s">
        <v>15</v>
      </c>
      <c r="ADS8" s="1181"/>
      <c r="ADT8" s="4" t="s">
        <v>4</v>
      </c>
      <c r="ADU8" s="5" t="s">
        <v>5</v>
      </c>
      <c r="ADV8" s="1181" t="s">
        <v>15</v>
      </c>
      <c r="ADW8" s="1181"/>
      <c r="ADX8" s="5" t="s">
        <v>4</v>
      </c>
      <c r="ADY8" s="5" t="s">
        <v>0</v>
      </c>
      <c r="ADZ8" s="1181" t="s">
        <v>15</v>
      </c>
      <c r="AEA8" s="1181"/>
      <c r="AEB8" s="4" t="s">
        <v>4</v>
      </c>
      <c r="AEC8" s="5" t="s">
        <v>5</v>
      </c>
      <c r="AED8" s="1181" t="s">
        <v>15</v>
      </c>
      <c r="AEE8" s="1181"/>
      <c r="AEF8" s="5" t="s">
        <v>4</v>
      </c>
      <c r="AEG8" s="5" t="s">
        <v>0</v>
      </c>
      <c r="AEH8" s="1181" t="s">
        <v>15</v>
      </c>
      <c r="AEI8" s="1181"/>
      <c r="AEJ8" s="4" t="s">
        <v>4</v>
      </c>
      <c r="AEK8" s="5" t="s">
        <v>5</v>
      </c>
      <c r="AEL8" s="1181" t="s">
        <v>15</v>
      </c>
      <c r="AEM8" s="1181"/>
      <c r="AEN8" s="5" t="s">
        <v>4</v>
      </c>
      <c r="AEO8" s="5" t="s">
        <v>0</v>
      </c>
      <c r="AEP8" s="1181" t="s">
        <v>15</v>
      </c>
      <c r="AEQ8" s="1181"/>
      <c r="AER8" s="4" t="s">
        <v>4</v>
      </c>
      <c r="AES8" s="5" t="s">
        <v>5</v>
      </c>
      <c r="AET8" s="1181" t="s">
        <v>15</v>
      </c>
      <c r="AEU8" s="1181"/>
      <c r="AEV8" s="5" t="s">
        <v>4</v>
      </c>
      <c r="AEW8" s="5" t="s">
        <v>0</v>
      </c>
      <c r="AEX8" s="1181" t="s">
        <v>15</v>
      </c>
      <c r="AEY8" s="1181"/>
      <c r="AEZ8" s="4" t="s">
        <v>4</v>
      </c>
      <c r="AFA8" s="5" t="s">
        <v>5</v>
      </c>
      <c r="AFB8" s="1181" t="s">
        <v>15</v>
      </c>
      <c r="AFC8" s="1181"/>
      <c r="AFD8" s="5" t="s">
        <v>4</v>
      </c>
      <c r="AFE8" s="5" t="s">
        <v>0</v>
      </c>
      <c r="AFF8" s="1181" t="s">
        <v>15</v>
      </c>
      <c r="AFG8" s="1181"/>
      <c r="AFH8" s="4" t="s">
        <v>4</v>
      </c>
      <c r="AFI8" s="5" t="s">
        <v>5</v>
      </c>
      <c r="AFJ8" s="1181" t="s">
        <v>15</v>
      </c>
      <c r="AFK8" s="1181"/>
      <c r="AFL8" s="5" t="s">
        <v>4</v>
      </c>
      <c r="AFM8" s="5" t="s">
        <v>0</v>
      </c>
      <c r="AFN8" s="1181" t="s">
        <v>15</v>
      </c>
      <c r="AFO8" s="1181"/>
      <c r="AFP8" s="4" t="s">
        <v>4</v>
      </c>
      <c r="AFQ8" s="5" t="s">
        <v>5</v>
      </c>
      <c r="AFR8" s="1181" t="s">
        <v>15</v>
      </c>
      <c r="AFS8" s="1181"/>
      <c r="AFT8" s="5" t="s">
        <v>4</v>
      </c>
      <c r="AFU8" s="5" t="s">
        <v>0</v>
      </c>
      <c r="AFV8" s="1181" t="s">
        <v>15</v>
      </c>
      <c r="AFW8" s="1181"/>
      <c r="AFX8" s="4" t="s">
        <v>4</v>
      </c>
      <c r="AFY8" s="5" t="s">
        <v>5</v>
      </c>
      <c r="AFZ8" s="1181" t="s">
        <v>15</v>
      </c>
      <c r="AGA8" s="1181"/>
      <c r="AGB8" s="5" t="s">
        <v>4</v>
      </c>
      <c r="AGC8" s="5" t="s">
        <v>0</v>
      </c>
      <c r="AGD8" s="1181" t="s">
        <v>15</v>
      </c>
      <c r="AGE8" s="1181"/>
      <c r="AGF8" s="4" t="s">
        <v>4</v>
      </c>
      <c r="AGG8" s="5" t="s">
        <v>5</v>
      </c>
      <c r="AGH8" s="1181" t="s">
        <v>15</v>
      </c>
      <c r="AGI8" s="1181"/>
      <c r="AGJ8" s="5" t="s">
        <v>4</v>
      </c>
      <c r="AGK8" s="5" t="s">
        <v>0</v>
      </c>
      <c r="AGL8" s="1181" t="s">
        <v>15</v>
      </c>
      <c r="AGM8" s="1181"/>
      <c r="AGN8" s="4" t="s">
        <v>4</v>
      </c>
      <c r="AGO8" s="5" t="s">
        <v>5</v>
      </c>
      <c r="AGP8" s="1181" t="s">
        <v>15</v>
      </c>
      <c r="AGQ8" s="1181"/>
      <c r="AGR8" s="5" t="s">
        <v>4</v>
      </c>
      <c r="AGS8" s="5" t="s">
        <v>0</v>
      </c>
      <c r="AGT8" s="1181" t="s">
        <v>15</v>
      </c>
      <c r="AGU8" s="1181"/>
      <c r="AGV8" s="4" t="s">
        <v>4</v>
      </c>
      <c r="AGW8" s="5" t="s">
        <v>5</v>
      </c>
      <c r="AGX8" s="1181" t="s">
        <v>15</v>
      </c>
      <c r="AGY8" s="1181"/>
      <c r="AGZ8" s="5" t="s">
        <v>4</v>
      </c>
      <c r="AHA8" s="5" t="s">
        <v>0</v>
      </c>
      <c r="AHB8" s="1181" t="s">
        <v>15</v>
      </c>
      <c r="AHC8" s="1181"/>
      <c r="AHD8" s="4" t="s">
        <v>4</v>
      </c>
      <c r="AHE8" s="5" t="s">
        <v>5</v>
      </c>
      <c r="AHF8" s="1181" t="s">
        <v>15</v>
      </c>
      <c r="AHG8" s="1181"/>
      <c r="AHH8" s="5" t="s">
        <v>4</v>
      </c>
      <c r="AHI8" s="5" t="s">
        <v>0</v>
      </c>
      <c r="AHJ8" s="1181" t="s">
        <v>15</v>
      </c>
      <c r="AHK8" s="1181"/>
      <c r="AHL8" s="4" t="s">
        <v>4</v>
      </c>
      <c r="AHM8" s="5" t="s">
        <v>5</v>
      </c>
      <c r="AHN8" s="1181" t="s">
        <v>15</v>
      </c>
      <c r="AHO8" s="1181"/>
      <c r="AHP8" s="5" t="s">
        <v>4</v>
      </c>
      <c r="AHQ8" s="5" t="s">
        <v>0</v>
      </c>
      <c r="AHR8" s="1181" t="s">
        <v>15</v>
      </c>
      <c r="AHS8" s="1181"/>
      <c r="AHT8" s="4" t="s">
        <v>4</v>
      </c>
      <c r="AHU8" s="5" t="s">
        <v>5</v>
      </c>
      <c r="AHV8" s="1181" t="s">
        <v>15</v>
      </c>
      <c r="AHW8" s="1181"/>
      <c r="AHX8" s="5" t="s">
        <v>4</v>
      </c>
      <c r="AHY8" s="5" t="s">
        <v>0</v>
      </c>
      <c r="AHZ8" s="1181" t="s">
        <v>15</v>
      </c>
      <c r="AIA8" s="1181"/>
      <c r="AIB8" s="4" t="s">
        <v>4</v>
      </c>
      <c r="AIC8" s="5" t="s">
        <v>5</v>
      </c>
      <c r="AID8" s="1181" t="s">
        <v>15</v>
      </c>
      <c r="AIE8" s="1181"/>
      <c r="AIF8" s="5" t="s">
        <v>4</v>
      </c>
      <c r="AIG8" s="5" t="s">
        <v>0</v>
      </c>
      <c r="AIH8" s="1181" t="s">
        <v>15</v>
      </c>
      <c r="AII8" s="1181"/>
      <c r="AIJ8" s="4" t="s">
        <v>4</v>
      </c>
      <c r="AIK8" s="5" t="s">
        <v>5</v>
      </c>
      <c r="AIL8" s="1181" t="s">
        <v>15</v>
      </c>
      <c r="AIM8" s="1181"/>
      <c r="AIN8" s="5" t="s">
        <v>4</v>
      </c>
      <c r="AIO8" s="5" t="s">
        <v>0</v>
      </c>
      <c r="AIP8" s="1181" t="s">
        <v>15</v>
      </c>
      <c r="AIQ8" s="1181"/>
      <c r="AIR8" s="4" t="s">
        <v>4</v>
      </c>
      <c r="AIS8" s="5" t="s">
        <v>5</v>
      </c>
      <c r="AIT8" s="1181" t="s">
        <v>15</v>
      </c>
      <c r="AIU8" s="1181"/>
      <c r="AIV8" s="5" t="s">
        <v>4</v>
      </c>
      <c r="AIW8" s="5" t="s">
        <v>0</v>
      </c>
      <c r="AIX8" s="1181" t="s">
        <v>15</v>
      </c>
      <c r="AIY8" s="1181"/>
      <c r="AIZ8" s="4" t="s">
        <v>4</v>
      </c>
      <c r="AJA8" s="5" t="s">
        <v>5</v>
      </c>
      <c r="AJB8" s="1181" t="s">
        <v>15</v>
      </c>
      <c r="AJC8" s="1181"/>
      <c r="AJD8" s="5" t="s">
        <v>4</v>
      </c>
      <c r="AJE8" s="5" t="s">
        <v>0</v>
      </c>
      <c r="AJF8" s="1181" t="s">
        <v>15</v>
      </c>
      <c r="AJG8" s="1181"/>
      <c r="AJH8" s="4" t="s">
        <v>4</v>
      </c>
      <c r="AJI8" s="5" t="s">
        <v>5</v>
      </c>
      <c r="AJJ8" s="1181" t="s">
        <v>15</v>
      </c>
      <c r="AJK8" s="1181"/>
      <c r="AJL8" s="5" t="s">
        <v>4</v>
      </c>
      <c r="AJM8" s="5" t="s">
        <v>0</v>
      </c>
      <c r="AJN8" s="1181" t="s">
        <v>15</v>
      </c>
      <c r="AJO8" s="1181"/>
      <c r="AJP8" s="4" t="s">
        <v>4</v>
      </c>
      <c r="AJQ8" s="5" t="s">
        <v>5</v>
      </c>
      <c r="AJR8" s="1181" t="s">
        <v>15</v>
      </c>
      <c r="AJS8" s="1181"/>
      <c r="AJT8" s="5" t="s">
        <v>4</v>
      </c>
      <c r="AJU8" s="5" t="s">
        <v>0</v>
      </c>
      <c r="AJV8" s="1181" t="s">
        <v>15</v>
      </c>
      <c r="AJW8" s="1181"/>
      <c r="AJX8" s="4" t="s">
        <v>4</v>
      </c>
      <c r="AJY8" s="5" t="s">
        <v>5</v>
      </c>
      <c r="AJZ8" s="1181" t="s">
        <v>15</v>
      </c>
      <c r="AKA8" s="1181"/>
      <c r="AKB8" s="5" t="s">
        <v>4</v>
      </c>
      <c r="AKC8" s="5" t="s">
        <v>0</v>
      </c>
      <c r="AKD8" s="1181" t="s">
        <v>15</v>
      </c>
      <c r="AKE8" s="1181"/>
      <c r="AKF8" s="4" t="s">
        <v>4</v>
      </c>
      <c r="AKG8" s="5" t="s">
        <v>5</v>
      </c>
      <c r="AKH8" s="1181" t="s">
        <v>15</v>
      </c>
      <c r="AKI8" s="1181"/>
      <c r="AKJ8" s="5" t="s">
        <v>4</v>
      </c>
      <c r="AKK8" s="5" t="s">
        <v>0</v>
      </c>
      <c r="AKL8" s="1181" t="s">
        <v>15</v>
      </c>
      <c r="AKM8" s="1181"/>
      <c r="AKN8" s="4" t="s">
        <v>4</v>
      </c>
      <c r="AKO8" s="5" t="s">
        <v>5</v>
      </c>
      <c r="AKP8" s="1181" t="s">
        <v>15</v>
      </c>
      <c r="AKQ8" s="1181"/>
      <c r="AKR8" s="5" t="s">
        <v>4</v>
      </c>
      <c r="AKS8" s="5" t="s">
        <v>0</v>
      </c>
      <c r="AKT8" s="1181" t="s">
        <v>15</v>
      </c>
      <c r="AKU8" s="1181"/>
      <c r="AKV8" s="4" t="s">
        <v>4</v>
      </c>
      <c r="AKW8" s="5" t="s">
        <v>5</v>
      </c>
      <c r="AKX8" s="1181" t="s">
        <v>15</v>
      </c>
      <c r="AKY8" s="1181"/>
      <c r="AKZ8" s="5" t="s">
        <v>4</v>
      </c>
      <c r="ALA8" s="5" t="s">
        <v>0</v>
      </c>
      <c r="ALB8" s="1181" t="s">
        <v>15</v>
      </c>
      <c r="ALC8" s="1181"/>
      <c r="ALD8" s="4" t="s">
        <v>4</v>
      </c>
      <c r="ALE8" s="5" t="s">
        <v>5</v>
      </c>
      <c r="ALF8" s="1181" t="s">
        <v>15</v>
      </c>
      <c r="ALG8" s="1181"/>
      <c r="ALH8" s="5" t="s">
        <v>4</v>
      </c>
      <c r="ALI8" s="5" t="s">
        <v>0</v>
      </c>
      <c r="ALJ8" s="1181" t="s">
        <v>15</v>
      </c>
      <c r="ALK8" s="1181"/>
      <c r="ALL8" s="4" t="s">
        <v>4</v>
      </c>
      <c r="ALM8" s="5" t="s">
        <v>5</v>
      </c>
      <c r="ALN8" s="1181" t="s">
        <v>15</v>
      </c>
      <c r="ALO8" s="1181"/>
      <c r="ALP8" s="5" t="s">
        <v>4</v>
      </c>
      <c r="ALQ8" s="5" t="s">
        <v>0</v>
      </c>
      <c r="ALR8" s="1181" t="s">
        <v>15</v>
      </c>
      <c r="ALS8" s="1181"/>
      <c r="ALT8" s="4" t="s">
        <v>4</v>
      </c>
      <c r="ALU8" s="5" t="s">
        <v>5</v>
      </c>
      <c r="ALV8" s="1181" t="s">
        <v>15</v>
      </c>
      <c r="ALW8" s="1181"/>
      <c r="ALX8" s="5" t="s">
        <v>4</v>
      </c>
      <c r="ALY8" s="5" t="s">
        <v>0</v>
      </c>
      <c r="ALZ8" s="1181" t="s">
        <v>15</v>
      </c>
      <c r="AMA8" s="1181"/>
      <c r="AMB8" s="4" t="s">
        <v>4</v>
      </c>
      <c r="AMC8" s="5" t="s">
        <v>5</v>
      </c>
      <c r="AMD8" s="1181" t="s">
        <v>15</v>
      </c>
      <c r="AME8" s="1181"/>
      <c r="AMF8" s="5" t="s">
        <v>4</v>
      </c>
      <c r="AMG8" s="5" t="s">
        <v>0</v>
      </c>
      <c r="AMH8" s="1181" t="s">
        <v>15</v>
      </c>
      <c r="AMI8" s="1181"/>
      <c r="AMJ8" s="4" t="s">
        <v>4</v>
      </c>
      <c r="AMK8" s="5" t="s">
        <v>5</v>
      </c>
      <c r="AML8" s="1181" t="s">
        <v>15</v>
      </c>
      <c r="AMM8" s="1181"/>
      <c r="AMN8" s="5" t="s">
        <v>4</v>
      </c>
      <c r="AMO8" s="5" t="s">
        <v>0</v>
      </c>
      <c r="AMP8" s="1181" t="s">
        <v>15</v>
      </c>
      <c r="AMQ8" s="1181"/>
      <c r="AMR8" s="4" t="s">
        <v>4</v>
      </c>
      <c r="AMS8" s="5" t="s">
        <v>5</v>
      </c>
      <c r="AMT8" s="1181" t="s">
        <v>15</v>
      </c>
      <c r="AMU8" s="1181"/>
      <c r="AMV8" s="5" t="s">
        <v>4</v>
      </c>
      <c r="AMW8" s="5" t="s">
        <v>0</v>
      </c>
      <c r="AMX8" s="1181" t="s">
        <v>15</v>
      </c>
      <c r="AMY8" s="1181"/>
      <c r="AMZ8" s="4" t="s">
        <v>4</v>
      </c>
      <c r="ANA8" s="5" t="s">
        <v>5</v>
      </c>
      <c r="ANB8" s="1181" t="s">
        <v>15</v>
      </c>
      <c r="ANC8" s="1181"/>
      <c r="AND8" s="5" t="s">
        <v>4</v>
      </c>
      <c r="ANE8" s="5" t="s">
        <v>0</v>
      </c>
      <c r="ANF8" s="1181" t="s">
        <v>15</v>
      </c>
      <c r="ANG8" s="1181"/>
      <c r="ANH8" s="4" t="s">
        <v>4</v>
      </c>
      <c r="ANI8" s="5" t="s">
        <v>5</v>
      </c>
      <c r="ANJ8" s="1181" t="s">
        <v>15</v>
      </c>
      <c r="ANK8" s="1181"/>
      <c r="ANL8" s="5" t="s">
        <v>4</v>
      </c>
      <c r="ANM8" s="5" t="s">
        <v>0</v>
      </c>
      <c r="ANN8" s="1181" t="s">
        <v>15</v>
      </c>
      <c r="ANO8" s="1181"/>
      <c r="ANP8" s="4" t="s">
        <v>4</v>
      </c>
      <c r="ANQ8" s="5" t="s">
        <v>5</v>
      </c>
      <c r="ANR8" s="1181" t="s">
        <v>15</v>
      </c>
      <c r="ANS8" s="1181"/>
      <c r="ANT8" s="5" t="s">
        <v>4</v>
      </c>
      <c r="ANU8" s="5" t="s">
        <v>0</v>
      </c>
      <c r="ANV8" s="1181" t="s">
        <v>15</v>
      </c>
      <c r="ANW8" s="1181"/>
      <c r="ANX8" s="4" t="s">
        <v>4</v>
      </c>
      <c r="ANY8" s="5" t="s">
        <v>5</v>
      </c>
      <c r="ANZ8" s="1181" t="s">
        <v>15</v>
      </c>
      <c r="AOA8" s="1181"/>
      <c r="AOB8" s="5" t="s">
        <v>4</v>
      </c>
      <c r="AOC8" s="5" t="s">
        <v>0</v>
      </c>
      <c r="AOD8" s="1181" t="s">
        <v>15</v>
      </c>
      <c r="AOE8" s="1181"/>
      <c r="AOF8" s="4" t="s">
        <v>4</v>
      </c>
      <c r="AOG8" s="5" t="s">
        <v>5</v>
      </c>
      <c r="AOH8" s="1181" t="s">
        <v>15</v>
      </c>
      <c r="AOI8" s="1181"/>
      <c r="AOJ8" s="5" t="s">
        <v>4</v>
      </c>
      <c r="AOK8" s="5" t="s">
        <v>0</v>
      </c>
      <c r="AOL8" s="1181" t="s">
        <v>15</v>
      </c>
      <c r="AOM8" s="1181"/>
      <c r="AON8" s="4" t="s">
        <v>4</v>
      </c>
      <c r="AOO8" s="5" t="s">
        <v>5</v>
      </c>
      <c r="AOP8" s="1181" t="s">
        <v>15</v>
      </c>
      <c r="AOQ8" s="1181"/>
      <c r="AOR8" s="5" t="s">
        <v>4</v>
      </c>
      <c r="AOS8" s="5" t="s">
        <v>0</v>
      </c>
      <c r="AOT8" s="1181" t="s">
        <v>15</v>
      </c>
      <c r="AOU8" s="1181"/>
      <c r="AOV8" s="4" t="s">
        <v>4</v>
      </c>
      <c r="AOW8" s="5" t="s">
        <v>5</v>
      </c>
      <c r="AOX8" s="1181" t="s">
        <v>15</v>
      </c>
      <c r="AOY8" s="1181"/>
      <c r="AOZ8" s="5" t="s">
        <v>4</v>
      </c>
      <c r="APA8" s="5" t="s">
        <v>0</v>
      </c>
      <c r="APB8" s="1181" t="s">
        <v>15</v>
      </c>
      <c r="APC8" s="1181"/>
      <c r="APD8" s="4" t="s">
        <v>4</v>
      </c>
      <c r="APE8" s="5" t="s">
        <v>5</v>
      </c>
      <c r="APF8" s="1181" t="s">
        <v>15</v>
      </c>
      <c r="APG8" s="1181"/>
      <c r="APH8" s="5" t="s">
        <v>4</v>
      </c>
      <c r="API8" s="5" t="s">
        <v>0</v>
      </c>
      <c r="APJ8" s="1181" t="s">
        <v>15</v>
      </c>
      <c r="APK8" s="1181"/>
      <c r="APL8" s="4" t="s">
        <v>4</v>
      </c>
      <c r="APM8" s="5" t="s">
        <v>5</v>
      </c>
      <c r="APN8" s="1181" t="s">
        <v>15</v>
      </c>
      <c r="APO8" s="1181"/>
      <c r="APP8" s="5" t="s">
        <v>4</v>
      </c>
      <c r="APQ8" s="5" t="s">
        <v>0</v>
      </c>
      <c r="APR8" s="1181" t="s">
        <v>15</v>
      </c>
      <c r="APS8" s="1181"/>
      <c r="APT8" s="4" t="s">
        <v>4</v>
      </c>
      <c r="APU8" s="5" t="s">
        <v>5</v>
      </c>
      <c r="APV8" s="1181" t="s">
        <v>15</v>
      </c>
      <c r="APW8" s="1181"/>
      <c r="APX8" s="5" t="s">
        <v>4</v>
      </c>
      <c r="APY8" s="5" t="s">
        <v>0</v>
      </c>
      <c r="APZ8" s="1181" t="s">
        <v>15</v>
      </c>
      <c r="AQA8" s="1181"/>
      <c r="AQB8" s="4" t="s">
        <v>4</v>
      </c>
      <c r="AQC8" s="5" t="s">
        <v>5</v>
      </c>
      <c r="AQD8" s="1181" t="s">
        <v>15</v>
      </c>
      <c r="AQE8" s="1181"/>
      <c r="AQF8" s="5" t="s">
        <v>4</v>
      </c>
      <c r="AQG8" s="5" t="s">
        <v>0</v>
      </c>
      <c r="AQH8" s="1181" t="s">
        <v>15</v>
      </c>
      <c r="AQI8" s="1181"/>
      <c r="AQJ8" s="4" t="s">
        <v>4</v>
      </c>
      <c r="AQK8" s="5" t="s">
        <v>5</v>
      </c>
      <c r="AQL8" s="1181" t="s">
        <v>15</v>
      </c>
      <c r="AQM8" s="1181"/>
      <c r="AQN8" s="5" t="s">
        <v>4</v>
      </c>
      <c r="AQO8" s="5" t="s">
        <v>0</v>
      </c>
      <c r="AQP8" s="1181" t="s">
        <v>15</v>
      </c>
      <c r="AQQ8" s="1181"/>
      <c r="AQR8" s="4" t="s">
        <v>4</v>
      </c>
      <c r="AQS8" s="5" t="s">
        <v>5</v>
      </c>
      <c r="AQT8" s="1181" t="s">
        <v>15</v>
      </c>
      <c r="AQU8" s="1181"/>
      <c r="AQV8" s="5" t="s">
        <v>4</v>
      </c>
      <c r="AQW8" s="5" t="s">
        <v>0</v>
      </c>
      <c r="AQX8" s="1181" t="s">
        <v>15</v>
      </c>
      <c r="AQY8" s="1181"/>
      <c r="AQZ8" s="4" t="s">
        <v>4</v>
      </c>
      <c r="ARA8" s="5" t="s">
        <v>5</v>
      </c>
      <c r="ARB8" s="1181" t="s">
        <v>15</v>
      </c>
      <c r="ARC8" s="1181"/>
      <c r="ARD8" s="5" t="s">
        <v>4</v>
      </c>
      <c r="ARE8" s="5" t="s">
        <v>0</v>
      </c>
      <c r="ARF8" s="1181" t="s">
        <v>15</v>
      </c>
      <c r="ARG8" s="1181"/>
      <c r="ARH8" s="4" t="s">
        <v>4</v>
      </c>
      <c r="ARI8" s="5" t="s">
        <v>5</v>
      </c>
      <c r="ARJ8" s="1181" t="s">
        <v>15</v>
      </c>
      <c r="ARK8" s="1181"/>
      <c r="ARL8" s="5" t="s">
        <v>4</v>
      </c>
      <c r="ARM8" s="5" t="s">
        <v>0</v>
      </c>
      <c r="ARN8" s="1181" t="s">
        <v>15</v>
      </c>
      <c r="ARO8" s="1181"/>
      <c r="ARP8" s="4" t="s">
        <v>4</v>
      </c>
      <c r="ARQ8" s="5" t="s">
        <v>5</v>
      </c>
      <c r="ARR8" s="1181" t="s">
        <v>15</v>
      </c>
      <c r="ARS8" s="1181"/>
      <c r="ART8" s="5" t="s">
        <v>4</v>
      </c>
      <c r="ARU8" s="5" t="s">
        <v>0</v>
      </c>
      <c r="ARV8" s="1181" t="s">
        <v>15</v>
      </c>
      <c r="ARW8" s="1181"/>
      <c r="ARX8" s="4" t="s">
        <v>4</v>
      </c>
      <c r="ARY8" s="5" t="s">
        <v>5</v>
      </c>
      <c r="ARZ8" s="1181" t="s">
        <v>15</v>
      </c>
      <c r="ASA8" s="1181"/>
      <c r="ASB8" s="5" t="s">
        <v>4</v>
      </c>
      <c r="ASC8" s="5" t="s">
        <v>0</v>
      </c>
      <c r="ASD8" s="1181" t="s">
        <v>15</v>
      </c>
      <c r="ASE8" s="1181"/>
      <c r="ASF8" s="4" t="s">
        <v>4</v>
      </c>
      <c r="ASG8" s="5" t="s">
        <v>5</v>
      </c>
      <c r="ASH8" s="1181" t="s">
        <v>15</v>
      </c>
      <c r="ASI8" s="1181"/>
      <c r="ASJ8" s="5" t="s">
        <v>4</v>
      </c>
      <c r="ASK8" s="5" t="s">
        <v>0</v>
      </c>
      <c r="ASL8" s="1181" t="s">
        <v>15</v>
      </c>
      <c r="ASM8" s="1181"/>
      <c r="ASN8" s="4" t="s">
        <v>4</v>
      </c>
      <c r="ASO8" s="5" t="s">
        <v>5</v>
      </c>
      <c r="ASP8" s="1181" t="s">
        <v>15</v>
      </c>
      <c r="ASQ8" s="1181"/>
      <c r="ASR8" s="5" t="s">
        <v>4</v>
      </c>
      <c r="ASS8" s="5" t="s">
        <v>0</v>
      </c>
      <c r="AST8" s="1181" t="s">
        <v>15</v>
      </c>
      <c r="ASU8" s="1181"/>
      <c r="ASV8" s="4" t="s">
        <v>4</v>
      </c>
      <c r="ASW8" s="5" t="s">
        <v>5</v>
      </c>
      <c r="ASX8" s="1181" t="s">
        <v>15</v>
      </c>
      <c r="ASY8" s="1181"/>
      <c r="ASZ8" s="5" t="s">
        <v>4</v>
      </c>
      <c r="ATA8" s="5" t="s">
        <v>0</v>
      </c>
      <c r="ATB8" s="1181" t="s">
        <v>15</v>
      </c>
      <c r="ATC8" s="1181"/>
      <c r="ATD8" s="4" t="s">
        <v>4</v>
      </c>
      <c r="ATE8" s="5" t="s">
        <v>5</v>
      </c>
      <c r="ATF8" s="1181" t="s">
        <v>15</v>
      </c>
      <c r="ATG8" s="1181"/>
      <c r="ATH8" s="5" t="s">
        <v>4</v>
      </c>
      <c r="ATI8" s="5" t="s">
        <v>0</v>
      </c>
      <c r="ATJ8" s="1181" t="s">
        <v>15</v>
      </c>
      <c r="ATK8" s="1181"/>
      <c r="ATL8" s="4" t="s">
        <v>4</v>
      </c>
      <c r="ATM8" s="5" t="s">
        <v>5</v>
      </c>
      <c r="ATN8" s="1181" t="s">
        <v>15</v>
      </c>
      <c r="ATO8" s="1181"/>
      <c r="ATP8" s="5" t="s">
        <v>4</v>
      </c>
      <c r="ATQ8" s="5" t="s">
        <v>0</v>
      </c>
      <c r="ATR8" s="1181" t="s">
        <v>15</v>
      </c>
      <c r="ATS8" s="1181"/>
      <c r="ATT8" s="4" t="s">
        <v>4</v>
      </c>
      <c r="ATU8" s="5" t="s">
        <v>5</v>
      </c>
      <c r="ATV8" s="1181" t="s">
        <v>15</v>
      </c>
      <c r="ATW8" s="1181"/>
      <c r="ATX8" s="5" t="s">
        <v>4</v>
      </c>
      <c r="ATY8" s="5" t="s">
        <v>0</v>
      </c>
      <c r="ATZ8" s="1181" t="s">
        <v>15</v>
      </c>
      <c r="AUA8" s="1181"/>
      <c r="AUB8" s="4" t="s">
        <v>4</v>
      </c>
      <c r="AUC8" s="5" t="s">
        <v>5</v>
      </c>
      <c r="AUD8" s="1181" t="s">
        <v>15</v>
      </c>
      <c r="AUE8" s="1181"/>
      <c r="AUF8" s="5" t="s">
        <v>4</v>
      </c>
      <c r="AUG8" s="5" t="s">
        <v>0</v>
      </c>
      <c r="AUH8" s="1181" t="s">
        <v>15</v>
      </c>
      <c r="AUI8" s="1181"/>
      <c r="AUJ8" s="4" t="s">
        <v>4</v>
      </c>
      <c r="AUK8" s="5" t="s">
        <v>5</v>
      </c>
      <c r="AUL8" s="1181" t="s">
        <v>15</v>
      </c>
      <c r="AUM8" s="1181"/>
      <c r="AUN8" s="5" t="s">
        <v>4</v>
      </c>
      <c r="AUO8" s="5" t="s">
        <v>0</v>
      </c>
      <c r="AUP8" s="1181" t="s">
        <v>15</v>
      </c>
      <c r="AUQ8" s="1181"/>
      <c r="AUR8" s="4" t="s">
        <v>4</v>
      </c>
      <c r="AUS8" s="5" t="s">
        <v>5</v>
      </c>
      <c r="AUT8" s="1181" t="s">
        <v>15</v>
      </c>
      <c r="AUU8" s="1181"/>
      <c r="AUV8" s="5" t="s">
        <v>4</v>
      </c>
      <c r="AUW8" s="5" t="s">
        <v>0</v>
      </c>
      <c r="AUX8" s="1181" t="s">
        <v>15</v>
      </c>
      <c r="AUY8" s="1181"/>
      <c r="AUZ8" s="4" t="s">
        <v>4</v>
      </c>
      <c r="AVA8" s="5" t="s">
        <v>5</v>
      </c>
      <c r="AVB8" s="1181" t="s">
        <v>15</v>
      </c>
      <c r="AVC8" s="1181"/>
      <c r="AVD8" s="5" t="s">
        <v>4</v>
      </c>
      <c r="AVE8" s="5" t="s">
        <v>0</v>
      </c>
      <c r="AVF8" s="1181" t="s">
        <v>15</v>
      </c>
      <c r="AVG8" s="1181"/>
      <c r="AVH8" s="4" t="s">
        <v>4</v>
      </c>
      <c r="AVI8" s="5" t="s">
        <v>5</v>
      </c>
      <c r="AVJ8" s="1181" t="s">
        <v>15</v>
      </c>
      <c r="AVK8" s="1181"/>
      <c r="AVL8" s="5" t="s">
        <v>4</v>
      </c>
      <c r="AVM8" s="5" t="s">
        <v>0</v>
      </c>
      <c r="AVN8" s="1181" t="s">
        <v>15</v>
      </c>
      <c r="AVO8" s="1181"/>
      <c r="AVP8" s="4" t="s">
        <v>4</v>
      </c>
      <c r="AVQ8" s="5" t="s">
        <v>5</v>
      </c>
      <c r="AVR8" s="1181" t="s">
        <v>15</v>
      </c>
      <c r="AVS8" s="1181"/>
      <c r="AVT8" s="5" t="s">
        <v>4</v>
      </c>
      <c r="AVU8" s="5" t="s">
        <v>0</v>
      </c>
      <c r="AVV8" s="1181" t="s">
        <v>15</v>
      </c>
      <c r="AVW8" s="1181"/>
      <c r="AVX8" s="4" t="s">
        <v>4</v>
      </c>
      <c r="AVY8" s="5" t="s">
        <v>5</v>
      </c>
      <c r="AVZ8" s="1181" t="s">
        <v>15</v>
      </c>
      <c r="AWA8" s="1181"/>
      <c r="AWB8" s="5" t="s">
        <v>4</v>
      </c>
      <c r="AWC8" s="5" t="s">
        <v>0</v>
      </c>
      <c r="AWD8" s="1181" t="s">
        <v>15</v>
      </c>
      <c r="AWE8" s="1181"/>
      <c r="AWF8" s="4" t="s">
        <v>4</v>
      </c>
      <c r="AWG8" s="5" t="s">
        <v>5</v>
      </c>
      <c r="AWH8" s="1181" t="s">
        <v>15</v>
      </c>
      <c r="AWI8" s="1181"/>
      <c r="AWJ8" s="5" t="s">
        <v>4</v>
      </c>
      <c r="AWK8" s="5" t="s">
        <v>0</v>
      </c>
      <c r="AWL8" s="1181" t="s">
        <v>15</v>
      </c>
      <c r="AWM8" s="1181"/>
      <c r="AWN8" s="4" t="s">
        <v>4</v>
      </c>
      <c r="AWO8" s="5" t="s">
        <v>5</v>
      </c>
      <c r="AWP8" s="1181" t="s">
        <v>15</v>
      </c>
      <c r="AWQ8" s="1181"/>
      <c r="AWR8" s="5" t="s">
        <v>4</v>
      </c>
      <c r="AWS8" s="5" t="s">
        <v>0</v>
      </c>
      <c r="AWT8" s="1181" t="s">
        <v>15</v>
      </c>
      <c r="AWU8" s="1181"/>
      <c r="AWV8" s="4" t="s">
        <v>4</v>
      </c>
      <c r="AWW8" s="5" t="s">
        <v>5</v>
      </c>
      <c r="AWX8" s="1181" t="s">
        <v>15</v>
      </c>
      <c r="AWY8" s="1181"/>
      <c r="AWZ8" s="5" t="s">
        <v>4</v>
      </c>
      <c r="AXA8" s="5" t="s">
        <v>0</v>
      </c>
      <c r="AXB8" s="1181" t="s">
        <v>15</v>
      </c>
      <c r="AXC8" s="1181"/>
      <c r="AXD8" s="4" t="s">
        <v>4</v>
      </c>
      <c r="AXE8" s="5" t="s">
        <v>5</v>
      </c>
      <c r="AXF8" s="1181" t="s">
        <v>15</v>
      </c>
      <c r="AXG8" s="1181"/>
      <c r="AXH8" s="5" t="s">
        <v>4</v>
      </c>
      <c r="AXI8" s="5" t="s">
        <v>0</v>
      </c>
      <c r="AXJ8" s="1181" t="s">
        <v>15</v>
      </c>
      <c r="AXK8" s="1181"/>
      <c r="AXL8" s="4" t="s">
        <v>4</v>
      </c>
      <c r="AXM8" s="5" t="s">
        <v>5</v>
      </c>
      <c r="AXN8" s="1181" t="s">
        <v>15</v>
      </c>
      <c r="AXO8" s="1181"/>
      <c r="AXP8" s="5" t="s">
        <v>4</v>
      </c>
      <c r="AXQ8" s="5" t="s">
        <v>0</v>
      </c>
      <c r="AXR8" s="1181" t="s">
        <v>15</v>
      </c>
      <c r="AXS8" s="1181"/>
      <c r="AXT8" s="4" t="s">
        <v>4</v>
      </c>
      <c r="AXU8" s="5" t="s">
        <v>5</v>
      </c>
      <c r="AXV8" s="1181" t="s">
        <v>15</v>
      </c>
      <c r="AXW8" s="1181"/>
      <c r="AXX8" s="5" t="s">
        <v>4</v>
      </c>
      <c r="AXY8" s="5" t="s">
        <v>0</v>
      </c>
      <c r="AXZ8" s="1181" t="s">
        <v>15</v>
      </c>
      <c r="AYA8" s="1181"/>
      <c r="AYB8" s="4" t="s">
        <v>4</v>
      </c>
      <c r="AYC8" s="5" t="s">
        <v>5</v>
      </c>
      <c r="AYD8" s="1181" t="s">
        <v>15</v>
      </c>
      <c r="AYE8" s="1181"/>
      <c r="AYF8" s="5" t="s">
        <v>4</v>
      </c>
      <c r="AYG8" s="5" t="s">
        <v>0</v>
      </c>
      <c r="AYH8" s="1181" t="s">
        <v>15</v>
      </c>
      <c r="AYI8" s="1181"/>
      <c r="AYJ8" s="4" t="s">
        <v>4</v>
      </c>
      <c r="AYK8" s="5" t="s">
        <v>5</v>
      </c>
      <c r="AYL8" s="1181" t="s">
        <v>15</v>
      </c>
      <c r="AYM8" s="1181"/>
      <c r="AYN8" s="5" t="s">
        <v>4</v>
      </c>
      <c r="AYO8" s="5" t="s">
        <v>0</v>
      </c>
      <c r="AYP8" s="1181" t="s">
        <v>15</v>
      </c>
      <c r="AYQ8" s="1181"/>
      <c r="AYR8" s="4" t="s">
        <v>4</v>
      </c>
      <c r="AYS8" s="5" t="s">
        <v>5</v>
      </c>
      <c r="AYT8" s="1181" t="s">
        <v>15</v>
      </c>
      <c r="AYU8" s="1181"/>
      <c r="AYV8" s="5" t="s">
        <v>4</v>
      </c>
      <c r="AYW8" s="5" t="s">
        <v>0</v>
      </c>
      <c r="AYX8" s="1181" t="s">
        <v>15</v>
      </c>
      <c r="AYY8" s="1181"/>
      <c r="AYZ8" s="4" t="s">
        <v>4</v>
      </c>
      <c r="AZA8" s="5" t="s">
        <v>5</v>
      </c>
      <c r="AZB8" s="1181" t="s">
        <v>15</v>
      </c>
      <c r="AZC8" s="1181"/>
      <c r="AZD8" s="5" t="s">
        <v>4</v>
      </c>
      <c r="AZE8" s="5" t="s">
        <v>0</v>
      </c>
      <c r="AZF8" s="1181" t="s">
        <v>15</v>
      </c>
      <c r="AZG8" s="1181"/>
      <c r="AZH8" s="4" t="s">
        <v>4</v>
      </c>
      <c r="AZI8" s="5" t="s">
        <v>5</v>
      </c>
      <c r="AZJ8" s="1181" t="s">
        <v>15</v>
      </c>
      <c r="AZK8" s="1181"/>
      <c r="AZL8" s="5" t="s">
        <v>4</v>
      </c>
      <c r="AZM8" s="5" t="s">
        <v>0</v>
      </c>
      <c r="AZN8" s="1181" t="s">
        <v>15</v>
      </c>
      <c r="AZO8" s="1181"/>
      <c r="AZP8" s="4" t="s">
        <v>4</v>
      </c>
      <c r="AZQ8" s="5" t="s">
        <v>5</v>
      </c>
      <c r="AZR8" s="1181" t="s">
        <v>15</v>
      </c>
      <c r="AZS8" s="1181"/>
      <c r="AZT8" s="5" t="s">
        <v>4</v>
      </c>
      <c r="AZU8" s="5" t="s">
        <v>0</v>
      </c>
      <c r="AZV8" s="1181" t="s">
        <v>15</v>
      </c>
      <c r="AZW8" s="1181"/>
      <c r="AZX8" s="4" t="s">
        <v>4</v>
      </c>
      <c r="AZY8" s="5" t="s">
        <v>5</v>
      </c>
      <c r="AZZ8" s="1181" t="s">
        <v>15</v>
      </c>
      <c r="BAA8" s="1181"/>
      <c r="BAB8" s="5" t="s">
        <v>4</v>
      </c>
      <c r="BAC8" s="5" t="s">
        <v>0</v>
      </c>
      <c r="BAD8" s="1181" t="s">
        <v>15</v>
      </c>
      <c r="BAE8" s="1181"/>
      <c r="BAF8" s="4" t="s">
        <v>4</v>
      </c>
      <c r="BAG8" s="5" t="s">
        <v>5</v>
      </c>
      <c r="BAH8" s="1181" t="s">
        <v>15</v>
      </c>
      <c r="BAI8" s="1181"/>
      <c r="BAJ8" s="5" t="s">
        <v>4</v>
      </c>
      <c r="BAK8" s="5" t="s">
        <v>0</v>
      </c>
      <c r="BAL8" s="1181" t="s">
        <v>15</v>
      </c>
      <c r="BAM8" s="1181"/>
      <c r="BAN8" s="4" t="s">
        <v>4</v>
      </c>
      <c r="BAO8" s="5" t="s">
        <v>5</v>
      </c>
      <c r="BAP8" s="1181" t="s">
        <v>15</v>
      </c>
      <c r="BAQ8" s="1181"/>
      <c r="BAR8" s="5" t="s">
        <v>4</v>
      </c>
      <c r="BAS8" s="5" t="s">
        <v>0</v>
      </c>
      <c r="BAT8" s="1181" t="s">
        <v>15</v>
      </c>
      <c r="BAU8" s="1181"/>
      <c r="BAV8" s="4" t="s">
        <v>4</v>
      </c>
      <c r="BAW8" s="5" t="s">
        <v>5</v>
      </c>
      <c r="BAX8" s="1181" t="s">
        <v>15</v>
      </c>
      <c r="BAY8" s="1181"/>
      <c r="BAZ8" s="5" t="s">
        <v>4</v>
      </c>
      <c r="BBA8" s="5" t="s">
        <v>0</v>
      </c>
      <c r="BBB8" s="1181" t="s">
        <v>15</v>
      </c>
      <c r="BBC8" s="1181"/>
      <c r="BBD8" s="4" t="s">
        <v>4</v>
      </c>
      <c r="BBE8" s="5" t="s">
        <v>5</v>
      </c>
      <c r="BBF8" s="1181" t="s">
        <v>15</v>
      </c>
      <c r="BBG8" s="1181"/>
      <c r="BBH8" s="5" t="s">
        <v>4</v>
      </c>
      <c r="BBI8" s="5" t="s">
        <v>0</v>
      </c>
      <c r="BBJ8" s="1181" t="s">
        <v>15</v>
      </c>
      <c r="BBK8" s="1181"/>
      <c r="BBL8" s="4" t="s">
        <v>4</v>
      </c>
      <c r="BBM8" s="5" t="s">
        <v>5</v>
      </c>
      <c r="BBN8" s="1181" t="s">
        <v>15</v>
      </c>
      <c r="BBO8" s="1181"/>
      <c r="BBP8" s="5" t="s">
        <v>4</v>
      </c>
      <c r="BBQ8" s="5" t="s">
        <v>0</v>
      </c>
      <c r="BBR8" s="1181" t="s">
        <v>15</v>
      </c>
      <c r="BBS8" s="1181"/>
      <c r="BBT8" s="4" t="s">
        <v>4</v>
      </c>
      <c r="BBU8" s="5" t="s">
        <v>5</v>
      </c>
      <c r="BBV8" s="1181" t="s">
        <v>15</v>
      </c>
      <c r="BBW8" s="1181"/>
      <c r="BBX8" s="5" t="s">
        <v>4</v>
      </c>
      <c r="BBY8" s="5" t="s">
        <v>0</v>
      </c>
      <c r="BBZ8" s="1181" t="s">
        <v>15</v>
      </c>
      <c r="BCA8" s="1181"/>
      <c r="BCB8" s="4" t="s">
        <v>4</v>
      </c>
      <c r="BCC8" s="5" t="s">
        <v>5</v>
      </c>
      <c r="BCD8" s="1181" t="s">
        <v>15</v>
      </c>
      <c r="BCE8" s="1181"/>
      <c r="BCF8" s="5" t="s">
        <v>4</v>
      </c>
      <c r="BCG8" s="5" t="s">
        <v>0</v>
      </c>
      <c r="BCH8" s="1181" t="s">
        <v>15</v>
      </c>
      <c r="BCI8" s="1181"/>
      <c r="BCJ8" s="4" t="s">
        <v>4</v>
      </c>
      <c r="BCK8" s="5" t="s">
        <v>5</v>
      </c>
      <c r="BCL8" s="1181" t="s">
        <v>15</v>
      </c>
      <c r="BCM8" s="1181"/>
      <c r="BCN8" s="5" t="s">
        <v>4</v>
      </c>
      <c r="BCO8" s="5" t="s">
        <v>0</v>
      </c>
      <c r="BCP8" s="1181" t="s">
        <v>15</v>
      </c>
      <c r="BCQ8" s="1181"/>
      <c r="BCR8" s="4" t="s">
        <v>4</v>
      </c>
      <c r="BCS8" s="5" t="s">
        <v>5</v>
      </c>
      <c r="BCT8" s="1181" t="s">
        <v>15</v>
      </c>
      <c r="BCU8" s="1181"/>
      <c r="BCV8" s="5" t="s">
        <v>4</v>
      </c>
      <c r="BCW8" s="5" t="s">
        <v>0</v>
      </c>
      <c r="BCX8" s="1181" t="s">
        <v>15</v>
      </c>
      <c r="BCY8" s="1181"/>
      <c r="BCZ8" s="4" t="s">
        <v>4</v>
      </c>
      <c r="BDA8" s="5" t="s">
        <v>5</v>
      </c>
      <c r="BDB8" s="1181" t="s">
        <v>15</v>
      </c>
      <c r="BDC8" s="1181"/>
      <c r="BDD8" s="5" t="s">
        <v>4</v>
      </c>
      <c r="BDE8" s="5" t="s">
        <v>0</v>
      </c>
      <c r="BDF8" s="1181" t="s">
        <v>15</v>
      </c>
      <c r="BDG8" s="1181"/>
      <c r="BDH8" s="4" t="s">
        <v>4</v>
      </c>
      <c r="BDI8" s="5" t="s">
        <v>5</v>
      </c>
      <c r="BDJ8" s="1181" t="s">
        <v>15</v>
      </c>
      <c r="BDK8" s="1181"/>
      <c r="BDL8" s="5" t="s">
        <v>4</v>
      </c>
      <c r="BDM8" s="5" t="s">
        <v>0</v>
      </c>
      <c r="BDN8" s="1181" t="s">
        <v>15</v>
      </c>
      <c r="BDO8" s="1181"/>
      <c r="BDP8" s="4" t="s">
        <v>4</v>
      </c>
      <c r="BDQ8" s="5" t="s">
        <v>5</v>
      </c>
      <c r="BDR8" s="1181" t="s">
        <v>15</v>
      </c>
      <c r="BDS8" s="1181"/>
      <c r="BDT8" s="5" t="s">
        <v>4</v>
      </c>
      <c r="BDU8" s="5" t="s">
        <v>0</v>
      </c>
      <c r="BDV8" s="1181" t="s">
        <v>15</v>
      </c>
      <c r="BDW8" s="1181"/>
      <c r="BDX8" s="4" t="s">
        <v>4</v>
      </c>
      <c r="BDY8" s="5" t="s">
        <v>5</v>
      </c>
      <c r="BDZ8" s="1181" t="s">
        <v>15</v>
      </c>
      <c r="BEA8" s="1181"/>
      <c r="BEB8" s="5" t="s">
        <v>4</v>
      </c>
      <c r="BEC8" s="5" t="s">
        <v>0</v>
      </c>
      <c r="BED8" s="1181" t="s">
        <v>15</v>
      </c>
      <c r="BEE8" s="1181"/>
      <c r="BEF8" s="4" t="s">
        <v>4</v>
      </c>
      <c r="BEG8" s="5" t="s">
        <v>5</v>
      </c>
      <c r="BEH8" s="1181" t="s">
        <v>15</v>
      </c>
      <c r="BEI8" s="1181"/>
      <c r="BEJ8" s="5" t="s">
        <v>4</v>
      </c>
      <c r="BEK8" s="5" t="s">
        <v>0</v>
      </c>
      <c r="BEL8" s="1181" t="s">
        <v>15</v>
      </c>
      <c r="BEM8" s="1181"/>
      <c r="BEN8" s="4" t="s">
        <v>4</v>
      </c>
      <c r="BEO8" s="5" t="s">
        <v>5</v>
      </c>
      <c r="BEP8" s="1181" t="s">
        <v>15</v>
      </c>
      <c r="BEQ8" s="1181"/>
      <c r="BER8" s="5" t="s">
        <v>4</v>
      </c>
      <c r="BES8" s="5" t="s">
        <v>0</v>
      </c>
      <c r="BET8" s="1181" t="s">
        <v>15</v>
      </c>
      <c r="BEU8" s="1181"/>
      <c r="BEV8" s="4" t="s">
        <v>4</v>
      </c>
      <c r="BEW8" s="5" t="s">
        <v>5</v>
      </c>
      <c r="BEX8" s="1181" t="s">
        <v>15</v>
      </c>
      <c r="BEY8" s="1181"/>
      <c r="BEZ8" s="5" t="s">
        <v>4</v>
      </c>
      <c r="BFA8" s="5" t="s">
        <v>0</v>
      </c>
      <c r="BFB8" s="1181" t="s">
        <v>15</v>
      </c>
      <c r="BFC8" s="1181"/>
      <c r="BFD8" s="4" t="s">
        <v>4</v>
      </c>
      <c r="BFE8" s="5" t="s">
        <v>5</v>
      </c>
      <c r="BFF8" s="1181" t="s">
        <v>15</v>
      </c>
      <c r="BFG8" s="1181"/>
      <c r="BFH8" s="5" t="s">
        <v>4</v>
      </c>
      <c r="BFI8" s="5" t="s">
        <v>0</v>
      </c>
      <c r="BFJ8" s="1181" t="s">
        <v>15</v>
      </c>
      <c r="BFK8" s="1181"/>
      <c r="BFL8" s="4" t="s">
        <v>4</v>
      </c>
      <c r="BFM8" s="5" t="s">
        <v>5</v>
      </c>
      <c r="BFN8" s="1181" t="s">
        <v>15</v>
      </c>
      <c r="BFO8" s="1181"/>
      <c r="BFP8" s="5" t="s">
        <v>4</v>
      </c>
      <c r="BFQ8" s="5" t="s">
        <v>0</v>
      </c>
      <c r="BFR8" s="1181" t="s">
        <v>15</v>
      </c>
      <c r="BFS8" s="1181"/>
      <c r="BFT8" s="4" t="s">
        <v>4</v>
      </c>
      <c r="BFU8" s="5" t="s">
        <v>5</v>
      </c>
      <c r="BFV8" s="1181" t="s">
        <v>15</v>
      </c>
      <c r="BFW8" s="1181"/>
      <c r="BFX8" s="5" t="s">
        <v>4</v>
      </c>
      <c r="BFY8" s="5" t="s">
        <v>0</v>
      </c>
      <c r="BFZ8" s="1181" t="s">
        <v>15</v>
      </c>
      <c r="BGA8" s="1181"/>
      <c r="BGB8" s="4" t="s">
        <v>4</v>
      </c>
      <c r="BGC8" s="5" t="s">
        <v>5</v>
      </c>
      <c r="BGD8" s="1181" t="s">
        <v>15</v>
      </c>
      <c r="BGE8" s="1181"/>
      <c r="BGF8" s="5" t="s">
        <v>4</v>
      </c>
      <c r="BGG8" s="5" t="s">
        <v>0</v>
      </c>
      <c r="BGH8" s="1181" t="s">
        <v>15</v>
      </c>
      <c r="BGI8" s="1181"/>
      <c r="BGJ8" s="4" t="s">
        <v>4</v>
      </c>
      <c r="BGK8" s="5" t="s">
        <v>5</v>
      </c>
      <c r="BGL8" s="1181" t="s">
        <v>15</v>
      </c>
      <c r="BGM8" s="1181"/>
      <c r="BGN8" s="5" t="s">
        <v>4</v>
      </c>
      <c r="BGO8" s="5" t="s">
        <v>0</v>
      </c>
      <c r="BGP8" s="1181" t="s">
        <v>15</v>
      </c>
      <c r="BGQ8" s="1181"/>
      <c r="BGR8" s="4" t="s">
        <v>4</v>
      </c>
      <c r="BGS8" s="5" t="s">
        <v>5</v>
      </c>
      <c r="BGT8" s="1181" t="s">
        <v>15</v>
      </c>
      <c r="BGU8" s="1181"/>
      <c r="BGV8" s="5" t="s">
        <v>4</v>
      </c>
      <c r="BGW8" s="5" t="s">
        <v>0</v>
      </c>
      <c r="BGX8" s="1181" t="s">
        <v>15</v>
      </c>
      <c r="BGY8" s="1181"/>
      <c r="BGZ8" s="4" t="s">
        <v>4</v>
      </c>
      <c r="BHA8" s="5" t="s">
        <v>5</v>
      </c>
      <c r="BHB8" s="1181" t="s">
        <v>15</v>
      </c>
      <c r="BHC8" s="1181"/>
      <c r="BHD8" s="5" t="s">
        <v>4</v>
      </c>
      <c r="BHE8" s="5" t="s">
        <v>0</v>
      </c>
      <c r="BHF8" s="1181" t="s">
        <v>15</v>
      </c>
      <c r="BHG8" s="1181"/>
      <c r="BHH8" s="4" t="s">
        <v>4</v>
      </c>
      <c r="BHI8" s="5" t="s">
        <v>5</v>
      </c>
      <c r="BHJ8" s="1181" t="s">
        <v>15</v>
      </c>
      <c r="BHK8" s="1181"/>
      <c r="BHL8" s="5" t="s">
        <v>4</v>
      </c>
      <c r="BHM8" s="5" t="s">
        <v>0</v>
      </c>
      <c r="BHN8" s="1181" t="s">
        <v>15</v>
      </c>
      <c r="BHO8" s="1181"/>
      <c r="BHP8" s="4" t="s">
        <v>4</v>
      </c>
      <c r="BHQ8" s="5" t="s">
        <v>5</v>
      </c>
      <c r="BHR8" s="1181" t="s">
        <v>15</v>
      </c>
      <c r="BHS8" s="1181"/>
      <c r="BHT8" s="5" t="s">
        <v>4</v>
      </c>
      <c r="BHU8" s="5" t="s">
        <v>0</v>
      </c>
      <c r="BHV8" s="1181" t="s">
        <v>15</v>
      </c>
      <c r="BHW8" s="1181"/>
      <c r="BHX8" s="4" t="s">
        <v>4</v>
      </c>
      <c r="BHY8" s="5" t="s">
        <v>5</v>
      </c>
      <c r="BHZ8" s="1181" t="s">
        <v>15</v>
      </c>
      <c r="BIA8" s="1181"/>
      <c r="BIB8" s="5" t="s">
        <v>4</v>
      </c>
      <c r="BIC8" s="5" t="s">
        <v>0</v>
      </c>
      <c r="BID8" s="1181" t="s">
        <v>15</v>
      </c>
      <c r="BIE8" s="1181"/>
      <c r="BIF8" s="4" t="s">
        <v>4</v>
      </c>
      <c r="BIG8" s="5" t="s">
        <v>5</v>
      </c>
      <c r="BIH8" s="1181" t="s">
        <v>15</v>
      </c>
      <c r="BII8" s="1181"/>
      <c r="BIJ8" s="5" t="s">
        <v>4</v>
      </c>
      <c r="BIK8" s="5" t="s">
        <v>0</v>
      </c>
      <c r="BIL8" s="1181" t="s">
        <v>15</v>
      </c>
      <c r="BIM8" s="1181"/>
      <c r="BIN8" s="4" t="s">
        <v>4</v>
      </c>
      <c r="BIO8" s="5" t="s">
        <v>5</v>
      </c>
      <c r="BIP8" s="1181" t="s">
        <v>15</v>
      </c>
      <c r="BIQ8" s="1181"/>
      <c r="BIR8" s="5" t="s">
        <v>4</v>
      </c>
      <c r="BIS8" s="5" t="s">
        <v>0</v>
      </c>
      <c r="BIT8" s="1181" t="s">
        <v>15</v>
      </c>
      <c r="BIU8" s="1181"/>
      <c r="BIV8" s="4" t="s">
        <v>4</v>
      </c>
      <c r="BIW8" s="5" t="s">
        <v>5</v>
      </c>
      <c r="BIX8" s="1181" t="s">
        <v>15</v>
      </c>
      <c r="BIY8" s="1181"/>
      <c r="BIZ8" s="5" t="s">
        <v>4</v>
      </c>
      <c r="BJA8" s="5" t="s">
        <v>0</v>
      </c>
      <c r="BJB8" s="1181" t="s">
        <v>15</v>
      </c>
      <c r="BJC8" s="1181"/>
      <c r="BJD8" s="4" t="s">
        <v>4</v>
      </c>
      <c r="BJE8" s="5" t="s">
        <v>5</v>
      </c>
      <c r="BJF8" s="1181" t="s">
        <v>15</v>
      </c>
      <c r="BJG8" s="1181"/>
      <c r="BJH8" s="5" t="s">
        <v>4</v>
      </c>
      <c r="BJI8" s="5" t="s">
        <v>0</v>
      </c>
      <c r="BJJ8" s="1181" t="s">
        <v>15</v>
      </c>
      <c r="BJK8" s="1181"/>
      <c r="BJL8" s="4" t="s">
        <v>4</v>
      </c>
      <c r="BJM8" s="5" t="s">
        <v>5</v>
      </c>
      <c r="BJN8" s="1181" t="s">
        <v>15</v>
      </c>
      <c r="BJO8" s="1181"/>
      <c r="BJP8" s="5" t="s">
        <v>4</v>
      </c>
      <c r="BJQ8" s="5" t="s">
        <v>0</v>
      </c>
      <c r="BJR8" s="1181" t="s">
        <v>15</v>
      </c>
      <c r="BJS8" s="1181"/>
      <c r="BJT8" s="4" t="s">
        <v>4</v>
      </c>
      <c r="BJU8" s="5" t="s">
        <v>5</v>
      </c>
      <c r="BJV8" s="1181" t="s">
        <v>15</v>
      </c>
      <c r="BJW8" s="1181"/>
      <c r="BJX8" s="5" t="s">
        <v>4</v>
      </c>
      <c r="BJY8" s="5" t="s">
        <v>0</v>
      </c>
      <c r="BJZ8" s="1181" t="s">
        <v>15</v>
      </c>
      <c r="BKA8" s="1181"/>
      <c r="BKB8" s="4" t="s">
        <v>4</v>
      </c>
      <c r="BKC8" s="5" t="s">
        <v>5</v>
      </c>
      <c r="BKD8" s="1181" t="s">
        <v>15</v>
      </c>
      <c r="BKE8" s="1181"/>
      <c r="BKF8" s="5" t="s">
        <v>4</v>
      </c>
      <c r="BKG8" s="5" t="s">
        <v>0</v>
      </c>
      <c r="BKH8" s="1181" t="s">
        <v>15</v>
      </c>
      <c r="BKI8" s="1181"/>
      <c r="BKJ8" s="4" t="s">
        <v>4</v>
      </c>
      <c r="BKK8" s="5" t="s">
        <v>5</v>
      </c>
      <c r="BKL8" s="1181" t="s">
        <v>15</v>
      </c>
      <c r="BKM8" s="1181"/>
      <c r="BKN8" s="5" t="s">
        <v>4</v>
      </c>
      <c r="BKO8" s="5" t="s">
        <v>0</v>
      </c>
      <c r="BKP8" s="1181" t="s">
        <v>15</v>
      </c>
      <c r="BKQ8" s="1181"/>
      <c r="BKR8" s="4" t="s">
        <v>4</v>
      </c>
      <c r="BKS8" s="5" t="s">
        <v>5</v>
      </c>
      <c r="BKT8" s="1181" t="s">
        <v>15</v>
      </c>
      <c r="BKU8" s="1181"/>
      <c r="BKV8" s="5" t="s">
        <v>4</v>
      </c>
      <c r="BKW8" s="5" t="s">
        <v>0</v>
      </c>
      <c r="BKX8" s="1181" t="s">
        <v>15</v>
      </c>
      <c r="BKY8" s="1181"/>
      <c r="BKZ8" s="4" t="s">
        <v>4</v>
      </c>
      <c r="BLA8" s="5" t="s">
        <v>5</v>
      </c>
      <c r="BLB8" s="1181" t="s">
        <v>15</v>
      </c>
      <c r="BLC8" s="1181"/>
      <c r="BLD8" s="5" t="s">
        <v>4</v>
      </c>
      <c r="BLE8" s="5" t="s">
        <v>0</v>
      </c>
      <c r="BLF8" s="1181" t="s">
        <v>15</v>
      </c>
      <c r="BLG8" s="1181"/>
      <c r="BLH8" s="4" t="s">
        <v>4</v>
      </c>
      <c r="BLI8" s="5" t="s">
        <v>5</v>
      </c>
      <c r="BLJ8" s="1181" t="s">
        <v>15</v>
      </c>
      <c r="BLK8" s="1181"/>
      <c r="BLL8" s="5" t="s">
        <v>4</v>
      </c>
      <c r="BLM8" s="5" t="s">
        <v>0</v>
      </c>
      <c r="BLN8" s="1181" t="s">
        <v>15</v>
      </c>
      <c r="BLO8" s="1181"/>
      <c r="BLP8" s="4" t="s">
        <v>4</v>
      </c>
      <c r="BLQ8" s="5" t="s">
        <v>5</v>
      </c>
      <c r="BLR8" s="1181" t="s">
        <v>15</v>
      </c>
      <c r="BLS8" s="1181"/>
      <c r="BLT8" s="5" t="s">
        <v>4</v>
      </c>
      <c r="BLU8" s="5" t="s">
        <v>0</v>
      </c>
      <c r="BLV8" s="1181" t="s">
        <v>15</v>
      </c>
      <c r="BLW8" s="1181"/>
      <c r="BLX8" s="4" t="s">
        <v>4</v>
      </c>
      <c r="BLY8" s="5" t="s">
        <v>5</v>
      </c>
      <c r="BLZ8" s="1181" t="s">
        <v>15</v>
      </c>
      <c r="BMA8" s="1181"/>
      <c r="BMB8" s="5" t="s">
        <v>4</v>
      </c>
      <c r="BMC8" s="5" t="s">
        <v>0</v>
      </c>
      <c r="BMD8" s="1181" t="s">
        <v>15</v>
      </c>
      <c r="BME8" s="1181"/>
      <c r="BMF8" s="4" t="s">
        <v>4</v>
      </c>
      <c r="BMG8" s="5" t="s">
        <v>5</v>
      </c>
      <c r="BMH8" s="1181" t="s">
        <v>15</v>
      </c>
      <c r="BMI8" s="1181"/>
      <c r="BMJ8" s="5" t="s">
        <v>4</v>
      </c>
      <c r="BMK8" s="5" t="s">
        <v>0</v>
      </c>
      <c r="BML8" s="1181" t="s">
        <v>15</v>
      </c>
      <c r="BMM8" s="1181"/>
      <c r="BMN8" s="4" t="s">
        <v>4</v>
      </c>
      <c r="BMO8" s="5" t="s">
        <v>5</v>
      </c>
      <c r="BMP8" s="1181" t="s">
        <v>15</v>
      </c>
      <c r="BMQ8" s="1181"/>
      <c r="BMR8" s="5" t="s">
        <v>4</v>
      </c>
      <c r="BMS8" s="5" t="s">
        <v>0</v>
      </c>
      <c r="BMT8" s="1181" t="s">
        <v>15</v>
      </c>
      <c r="BMU8" s="1181"/>
      <c r="BMV8" s="4" t="s">
        <v>4</v>
      </c>
      <c r="BMW8" s="5" t="s">
        <v>5</v>
      </c>
      <c r="BMX8" s="1181" t="s">
        <v>15</v>
      </c>
      <c r="BMY8" s="1181"/>
      <c r="BMZ8" s="5" t="s">
        <v>4</v>
      </c>
      <c r="BNA8" s="5" t="s">
        <v>0</v>
      </c>
      <c r="BNB8" s="1181" t="s">
        <v>15</v>
      </c>
      <c r="BNC8" s="1181"/>
      <c r="BND8" s="4" t="s">
        <v>4</v>
      </c>
      <c r="BNE8" s="5" t="s">
        <v>5</v>
      </c>
      <c r="BNF8" s="1181" t="s">
        <v>15</v>
      </c>
      <c r="BNG8" s="1181"/>
      <c r="BNH8" s="5" t="s">
        <v>4</v>
      </c>
      <c r="BNI8" s="5" t="s">
        <v>0</v>
      </c>
      <c r="BNJ8" s="1181" t="s">
        <v>15</v>
      </c>
      <c r="BNK8" s="1181"/>
      <c r="BNL8" s="4" t="s">
        <v>4</v>
      </c>
      <c r="BNM8" s="5" t="s">
        <v>5</v>
      </c>
      <c r="BNN8" s="1181" t="s">
        <v>15</v>
      </c>
      <c r="BNO8" s="1181"/>
      <c r="BNP8" s="5" t="s">
        <v>4</v>
      </c>
      <c r="BNQ8" s="5" t="s">
        <v>0</v>
      </c>
      <c r="BNR8" s="1181" t="s">
        <v>15</v>
      </c>
      <c r="BNS8" s="1181"/>
      <c r="BNT8" s="4" t="s">
        <v>4</v>
      </c>
      <c r="BNU8" s="5" t="s">
        <v>5</v>
      </c>
      <c r="BNV8" s="1181" t="s">
        <v>15</v>
      </c>
      <c r="BNW8" s="1181"/>
      <c r="BNX8" s="5" t="s">
        <v>4</v>
      </c>
      <c r="BNY8" s="5" t="s">
        <v>0</v>
      </c>
      <c r="BNZ8" s="1181" t="s">
        <v>15</v>
      </c>
      <c r="BOA8" s="1181"/>
      <c r="BOB8" s="4" t="s">
        <v>4</v>
      </c>
      <c r="BOC8" s="5" t="s">
        <v>5</v>
      </c>
      <c r="BOD8" s="1181" t="s">
        <v>15</v>
      </c>
      <c r="BOE8" s="1181"/>
      <c r="BOF8" s="5" t="s">
        <v>4</v>
      </c>
      <c r="BOG8" s="5" t="s">
        <v>0</v>
      </c>
      <c r="BOH8" s="1181" t="s">
        <v>15</v>
      </c>
      <c r="BOI8" s="1181"/>
      <c r="BOJ8" s="4" t="s">
        <v>4</v>
      </c>
      <c r="BOK8" s="5" t="s">
        <v>5</v>
      </c>
      <c r="BOL8" s="1181" t="s">
        <v>15</v>
      </c>
      <c r="BOM8" s="1181"/>
      <c r="BON8" s="5" t="s">
        <v>4</v>
      </c>
      <c r="BOO8" s="5" t="s">
        <v>0</v>
      </c>
      <c r="BOP8" s="1181" t="s">
        <v>15</v>
      </c>
      <c r="BOQ8" s="1181"/>
      <c r="BOR8" s="4" t="s">
        <v>4</v>
      </c>
      <c r="BOS8" s="5" t="s">
        <v>5</v>
      </c>
      <c r="BOT8" s="1181" t="s">
        <v>15</v>
      </c>
      <c r="BOU8" s="1181"/>
      <c r="BOV8" s="5" t="s">
        <v>4</v>
      </c>
      <c r="BOW8" s="5" t="s">
        <v>0</v>
      </c>
      <c r="BOX8" s="1181" t="s">
        <v>15</v>
      </c>
      <c r="BOY8" s="1181"/>
      <c r="BOZ8" s="4" t="s">
        <v>4</v>
      </c>
      <c r="BPA8" s="5" t="s">
        <v>5</v>
      </c>
      <c r="BPB8" s="1181" t="s">
        <v>15</v>
      </c>
      <c r="BPC8" s="1181"/>
      <c r="BPD8" s="5" t="s">
        <v>4</v>
      </c>
      <c r="BPE8" s="5" t="s">
        <v>0</v>
      </c>
      <c r="BPF8" s="1181" t="s">
        <v>15</v>
      </c>
      <c r="BPG8" s="1181"/>
      <c r="BPH8" s="4" t="s">
        <v>4</v>
      </c>
      <c r="BPI8" s="5" t="s">
        <v>5</v>
      </c>
      <c r="BPJ8" s="1181" t="s">
        <v>15</v>
      </c>
      <c r="BPK8" s="1181"/>
      <c r="BPL8" s="5" t="s">
        <v>4</v>
      </c>
      <c r="BPM8" s="5" t="s">
        <v>0</v>
      </c>
      <c r="BPN8" s="1181" t="s">
        <v>15</v>
      </c>
      <c r="BPO8" s="1181"/>
      <c r="BPP8" s="4" t="s">
        <v>4</v>
      </c>
      <c r="BPQ8" s="5" t="s">
        <v>5</v>
      </c>
      <c r="BPR8" s="1181" t="s">
        <v>15</v>
      </c>
      <c r="BPS8" s="1181"/>
      <c r="BPT8" s="5" t="s">
        <v>4</v>
      </c>
      <c r="BPU8" s="5" t="s">
        <v>0</v>
      </c>
      <c r="BPV8" s="1181" t="s">
        <v>15</v>
      </c>
      <c r="BPW8" s="1181"/>
      <c r="BPX8" s="4" t="s">
        <v>4</v>
      </c>
      <c r="BPY8" s="5" t="s">
        <v>5</v>
      </c>
      <c r="BPZ8" s="1181" t="s">
        <v>15</v>
      </c>
      <c r="BQA8" s="1181"/>
      <c r="BQB8" s="5" t="s">
        <v>4</v>
      </c>
      <c r="BQC8" s="5" t="s">
        <v>0</v>
      </c>
      <c r="BQD8" s="1181" t="s">
        <v>15</v>
      </c>
      <c r="BQE8" s="1181"/>
      <c r="BQF8" s="4" t="s">
        <v>4</v>
      </c>
      <c r="BQG8" s="5" t="s">
        <v>5</v>
      </c>
      <c r="BQH8" s="1181" t="s">
        <v>15</v>
      </c>
      <c r="BQI8" s="1181"/>
      <c r="BQJ8" s="5" t="s">
        <v>4</v>
      </c>
      <c r="BQK8" s="5" t="s">
        <v>0</v>
      </c>
      <c r="BQL8" s="1181" t="s">
        <v>15</v>
      </c>
      <c r="BQM8" s="1181"/>
      <c r="BQN8" s="4" t="s">
        <v>4</v>
      </c>
      <c r="BQO8" s="5" t="s">
        <v>5</v>
      </c>
      <c r="BQP8" s="1181" t="s">
        <v>15</v>
      </c>
      <c r="BQQ8" s="1181"/>
      <c r="BQR8" s="5" t="s">
        <v>4</v>
      </c>
      <c r="BQS8" s="5" t="s">
        <v>0</v>
      </c>
      <c r="BQT8" s="1181" t="s">
        <v>15</v>
      </c>
      <c r="BQU8" s="1181"/>
      <c r="BQV8" s="4" t="s">
        <v>4</v>
      </c>
      <c r="BQW8" s="5" t="s">
        <v>5</v>
      </c>
      <c r="BQX8" s="1181" t="s">
        <v>15</v>
      </c>
      <c r="BQY8" s="1181"/>
      <c r="BQZ8" s="5" t="s">
        <v>4</v>
      </c>
      <c r="BRA8" s="5" t="s">
        <v>0</v>
      </c>
      <c r="BRB8" s="1181" t="s">
        <v>15</v>
      </c>
      <c r="BRC8" s="1181"/>
      <c r="BRD8" s="4" t="s">
        <v>4</v>
      </c>
      <c r="BRE8" s="5" t="s">
        <v>5</v>
      </c>
      <c r="BRF8" s="1181" t="s">
        <v>15</v>
      </c>
      <c r="BRG8" s="1181"/>
      <c r="BRH8" s="5" t="s">
        <v>4</v>
      </c>
      <c r="BRI8" s="5" t="s">
        <v>0</v>
      </c>
      <c r="BRJ8" s="1181" t="s">
        <v>15</v>
      </c>
      <c r="BRK8" s="1181"/>
      <c r="BRL8" s="4" t="s">
        <v>4</v>
      </c>
      <c r="BRM8" s="5" t="s">
        <v>5</v>
      </c>
      <c r="BRN8" s="1181" t="s">
        <v>15</v>
      </c>
      <c r="BRO8" s="1181"/>
      <c r="BRP8" s="5" t="s">
        <v>4</v>
      </c>
      <c r="BRQ8" s="5" t="s">
        <v>0</v>
      </c>
      <c r="BRR8" s="1181" t="s">
        <v>15</v>
      </c>
      <c r="BRS8" s="1181"/>
      <c r="BRT8" s="4" t="s">
        <v>4</v>
      </c>
      <c r="BRU8" s="5" t="s">
        <v>5</v>
      </c>
      <c r="BRV8" s="1181" t="s">
        <v>15</v>
      </c>
      <c r="BRW8" s="1181"/>
      <c r="BRX8" s="5" t="s">
        <v>4</v>
      </c>
      <c r="BRY8" s="5" t="s">
        <v>0</v>
      </c>
      <c r="BRZ8" s="1181" t="s">
        <v>15</v>
      </c>
      <c r="BSA8" s="1181"/>
      <c r="BSB8" s="4" t="s">
        <v>4</v>
      </c>
      <c r="BSC8" s="5" t="s">
        <v>5</v>
      </c>
      <c r="BSD8" s="1181" t="s">
        <v>15</v>
      </c>
      <c r="BSE8" s="1181"/>
      <c r="BSF8" s="5" t="s">
        <v>4</v>
      </c>
      <c r="BSG8" s="5" t="s">
        <v>0</v>
      </c>
      <c r="BSH8" s="1181" t="s">
        <v>15</v>
      </c>
      <c r="BSI8" s="1181"/>
      <c r="BSJ8" s="4" t="s">
        <v>4</v>
      </c>
      <c r="BSK8" s="5" t="s">
        <v>5</v>
      </c>
      <c r="BSL8" s="1181" t="s">
        <v>15</v>
      </c>
      <c r="BSM8" s="1181"/>
      <c r="BSN8" s="5" t="s">
        <v>4</v>
      </c>
      <c r="BSO8" s="5" t="s">
        <v>0</v>
      </c>
      <c r="BSP8" s="1181" t="s">
        <v>15</v>
      </c>
      <c r="BSQ8" s="1181"/>
      <c r="BSR8" s="4" t="s">
        <v>4</v>
      </c>
      <c r="BSS8" s="5" t="s">
        <v>5</v>
      </c>
      <c r="BST8" s="1181" t="s">
        <v>15</v>
      </c>
      <c r="BSU8" s="1181"/>
      <c r="BSV8" s="5" t="s">
        <v>4</v>
      </c>
      <c r="BSW8" s="5" t="s">
        <v>0</v>
      </c>
      <c r="BSX8" s="1181" t="s">
        <v>15</v>
      </c>
      <c r="BSY8" s="1181"/>
      <c r="BSZ8" s="4" t="s">
        <v>4</v>
      </c>
      <c r="BTA8" s="5" t="s">
        <v>5</v>
      </c>
      <c r="BTB8" s="1181" t="s">
        <v>15</v>
      </c>
      <c r="BTC8" s="1181"/>
      <c r="BTD8" s="5" t="s">
        <v>4</v>
      </c>
      <c r="BTE8" s="5" t="s">
        <v>0</v>
      </c>
      <c r="BTF8" s="1181" t="s">
        <v>15</v>
      </c>
      <c r="BTG8" s="1181"/>
      <c r="BTH8" s="4" t="s">
        <v>4</v>
      </c>
      <c r="BTI8" s="5" t="s">
        <v>5</v>
      </c>
      <c r="BTJ8" s="1181" t="s">
        <v>15</v>
      </c>
      <c r="BTK8" s="1181"/>
      <c r="BTL8" s="5" t="s">
        <v>4</v>
      </c>
      <c r="BTM8" s="5" t="s">
        <v>0</v>
      </c>
      <c r="BTN8" s="1181" t="s">
        <v>15</v>
      </c>
      <c r="BTO8" s="1181"/>
      <c r="BTP8" s="4" t="s">
        <v>4</v>
      </c>
      <c r="BTQ8" s="5" t="s">
        <v>5</v>
      </c>
      <c r="BTR8" s="1181" t="s">
        <v>15</v>
      </c>
      <c r="BTS8" s="1181"/>
      <c r="BTT8" s="5" t="s">
        <v>4</v>
      </c>
      <c r="BTU8" s="5" t="s">
        <v>0</v>
      </c>
      <c r="BTV8" s="1181" t="s">
        <v>15</v>
      </c>
      <c r="BTW8" s="1181"/>
      <c r="BTX8" s="4" t="s">
        <v>4</v>
      </c>
      <c r="BTY8" s="5" t="s">
        <v>5</v>
      </c>
      <c r="BTZ8" s="1181" t="s">
        <v>15</v>
      </c>
      <c r="BUA8" s="1181"/>
      <c r="BUB8" s="5" t="s">
        <v>4</v>
      </c>
      <c r="BUC8" s="5" t="s">
        <v>0</v>
      </c>
      <c r="BUD8" s="1181" t="s">
        <v>15</v>
      </c>
      <c r="BUE8" s="1181"/>
      <c r="BUF8" s="4" t="s">
        <v>4</v>
      </c>
      <c r="BUG8" s="5" t="s">
        <v>5</v>
      </c>
      <c r="BUH8" s="1181" t="s">
        <v>15</v>
      </c>
      <c r="BUI8" s="1181"/>
      <c r="BUJ8" s="5" t="s">
        <v>4</v>
      </c>
      <c r="BUK8" s="5" t="s">
        <v>0</v>
      </c>
      <c r="BUL8" s="1181" t="s">
        <v>15</v>
      </c>
      <c r="BUM8" s="1181"/>
      <c r="BUN8" s="4" t="s">
        <v>4</v>
      </c>
      <c r="BUO8" s="5" t="s">
        <v>5</v>
      </c>
      <c r="BUP8" s="1181" t="s">
        <v>15</v>
      </c>
      <c r="BUQ8" s="1181"/>
      <c r="BUR8" s="5" t="s">
        <v>4</v>
      </c>
      <c r="BUS8" s="5" t="s">
        <v>0</v>
      </c>
      <c r="BUT8" s="1181" t="s">
        <v>15</v>
      </c>
      <c r="BUU8" s="1181"/>
      <c r="BUV8" s="4" t="s">
        <v>4</v>
      </c>
      <c r="BUW8" s="5" t="s">
        <v>5</v>
      </c>
      <c r="BUX8" s="1181" t="s">
        <v>15</v>
      </c>
      <c r="BUY8" s="1181"/>
      <c r="BUZ8" s="5" t="s">
        <v>4</v>
      </c>
      <c r="BVA8" s="5" t="s">
        <v>0</v>
      </c>
      <c r="BVB8" s="1181" t="s">
        <v>15</v>
      </c>
      <c r="BVC8" s="1181"/>
      <c r="BVD8" s="4" t="s">
        <v>4</v>
      </c>
      <c r="BVE8" s="5" t="s">
        <v>5</v>
      </c>
      <c r="BVF8" s="1181" t="s">
        <v>15</v>
      </c>
      <c r="BVG8" s="1181"/>
      <c r="BVH8" s="5" t="s">
        <v>4</v>
      </c>
      <c r="BVI8" s="5" t="s">
        <v>0</v>
      </c>
      <c r="BVJ8" s="1181" t="s">
        <v>15</v>
      </c>
      <c r="BVK8" s="1181"/>
      <c r="BVL8" s="4" t="s">
        <v>4</v>
      </c>
      <c r="BVM8" s="5" t="s">
        <v>5</v>
      </c>
      <c r="BVN8" s="1181" t="s">
        <v>15</v>
      </c>
      <c r="BVO8" s="1181"/>
      <c r="BVP8" s="5" t="s">
        <v>4</v>
      </c>
      <c r="BVQ8" s="5" t="s">
        <v>0</v>
      </c>
      <c r="BVR8" s="1181" t="s">
        <v>15</v>
      </c>
      <c r="BVS8" s="1181"/>
      <c r="BVT8" s="4" t="s">
        <v>4</v>
      </c>
      <c r="BVU8" s="5" t="s">
        <v>5</v>
      </c>
      <c r="BVV8" s="1181" t="s">
        <v>15</v>
      </c>
      <c r="BVW8" s="1181"/>
      <c r="BVX8" s="5" t="s">
        <v>4</v>
      </c>
      <c r="BVY8" s="5" t="s">
        <v>0</v>
      </c>
      <c r="BVZ8" s="1181" t="s">
        <v>15</v>
      </c>
      <c r="BWA8" s="1181"/>
      <c r="BWB8" s="4" t="s">
        <v>4</v>
      </c>
      <c r="BWC8" s="5" t="s">
        <v>5</v>
      </c>
      <c r="BWD8" s="1181" t="s">
        <v>15</v>
      </c>
      <c r="BWE8" s="1181"/>
      <c r="BWF8" s="5" t="s">
        <v>4</v>
      </c>
      <c r="BWG8" s="5" t="s">
        <v>0</v>
      </c>
      <c r="BWH8" s="1181" t="s">
        <v>15</v>
      </c>
      <c r="BWI8" s="1181"/>
      <c r="BWJ8" s="4" t="s">
        <v>4</v>
      </c>
      <c r="BWK8" s="5" t="s">
        <v>5</v>
      </c>
      <c r="BWL8" s="1181" t="s">
        <v>15</v>
      </c>
      <c r="BWM8" s="1181"/>
      <c r="BWN8" s="5" t="s">
        <v>4</v>
      </c>
      <c r="BWO8" s="5" t="s">
        <v>0</v>
      </c>
      <c r="BWP8" s="1181" t="s">
        <v>15</v>
      </c>
      <c r="BWQ8" s="1181"/>
      <c r="BWR8" s="4" t="s">
        <v>4</v>
      </c>
      <c r="BWS8" s="5" t="s">
        <v>5</v>
      </c>
      <c r="BWT8" s="1181" t="s">
        <v>15</v>
      </c>
      <c r="BWU8" s="1181"/>
      <c r="BWV8" s="5" t="s">
        <v>4</v>
      </c>
      <c r="BWW8" s="5" t="s">
        <v>0</v>
      </c>
      <c r="BWX8" s="1181" t="s">
        <v>15</v>
      </c>
      <c r="BWY8" s="1181"/>
      <c r="BWZ8" s="4" t="s">
        <v>4</v>
      </c>
      <c r="BXA8" s="5" t="s">
        <v>5</v>
      </c>
      <c r="BXB8" s="1181" t="s">
        <v>15</v>
      </c>
      <c r="BXC8" s="1181"/>
      <c r="BXD8" s="5" t="s">
        <v>4</v>
      </c>
      <c r="BXE8" s="5" t="s">
        <v>0</v>
      </c>
      <c r="BXF8" s="1181" t="s">
        <v>15</v>
      </c>
      <c r="BXG8" s="1181"/>
      <c r="BXH8" s="4" t="s">
        <v>4</v>
      </c>
      <c r="BXI8" s="5" t="s">
        <v>5</v>
      </c>
      <c r="BXJ8" s="1181" t="s">
        <v>15</v>
      </c>
      <c r="BXK8" s="1181"/>
      <c r="BXL8" s="5" t="s">
        <v>4</v>
      </c>
      <c r="BXM8" s="5" t="s">
        <v>0</v>
      </c>
      <c r="BXN8" s="1181" t="s">
        <v>15</v>
      </c>
      <c r="BXO8" s="1181"/>
      <c r="BXP8" s="4" t="s">
        <v>4</v>
      </c>
      <c r="BXQ8" s="5" t="s">
        <v>5</v>
      </c>
      <c r="BXR8" s="1181" t="s">
        <v>15</v>
      </c>
      <c r="BXS8" s="1181"/>
      <c r="BXT8" s="5" t="s">
        <v>4</v>
      </c>
      <c r="BXU8" s="5" t="s">
        <v>0</v>
      </c>
      <c r="BXV8" s="1181" t="s">
        <v>15</v>
      </c>
      <c r="BXW8" s="1181"/>
      <c r="BXX8" s="4" t="s">
        <v>4</v>
      </c>
      <c r="BXY8" s="5" t="s">
        <v>5</v>
      </c>
      <c r="BXZ8" s="1181" t="s">
        <v>15</v>
      </c>
      <c r="BYA8" s="1181"/>
      <c r="BYB8" s="5" t="s">
        <v>4</v>
      </c>
      <c r="BYC8" s="5" t="s">
        <v>0</v>
      </c>
      <c r="BYD8" s="1181" t="s">
        <v>15</v>
      </c>
      <c r="BYE8" s="1181"/>
      <c r="BYF8" s="4" t="s">
        <v>4</v>
      </c>
      <c r="BYG8" s="5" t="s">
        <v>5</v>
      </c>
      <c r="BYH8" s="1181" t="s">
        <v>15</v>
      </c>
      <c r="BYI8" s="1181"/>
      <c r="BYJ8" s="5" t="s">
        <v>4</v>
      </c>
      <c r="BYK8" s="5" t="s">
        <v>0</v>
      </c>
      <c r="BYL8" s="1181" t="s">
        <v>15</v>
      </c>
      <c r="BYM8" s="1181"/>
      <c r="BYN8" s="4" t="s">
        <v>4</v>
      </c>
      <c r="BYO8" s="5" t="s">
        <v>5</v>
      </c>
      <c r="BYP8" s="1181" t="s">
        <v>15</v>
      </c>
      <c r="BYQ8" s="1181"/>
      <c r="BYR8" s="5" t="s">
        <v>4</v>
      </c>
      <c r="BYS8" s="5" t="s">
        <v>0</v>
      </c>
      <c r="BYT8" s="1181" t="s">
        <v>15</v>
      </c>
      <c r="BYU8" s="1181"/>
      <c r="BYV8" s="4" t="s">
        <v>4</v>
      </c>
      <c r="BYW8" s="5" t="s">
        <v>5</v>
      </c>
      <c r="BYX8" s="1181" t="s">
        <v>15</v>
      </c>
      <c r="BYY8" s="1181"/>
      <c r="BYZ8" s="5" t="s">
        <v>4</v>
      </c>
      <c r="BZA8" s="5" t="s">
        <v>0</v>
      </c>
      <c r="BZB8" s="1181" t="s">
        <v>15</v>
      </c>
      <c r="BZC8" s="1181"/>
      <c r="BZD8" s="4" t="s">
        <v>4</v>
      </c>
      <c r="BZE8" s="5" t="s">
        <v>5</v>
      </c>
      <c r="BZF8" s="1181" t="s">
        <v>15</v>
      </c>
      <c r="BZG8" s="1181"/>
      <c r="BZH8" s="5" t="s">
        <v>4</v>
      </c>
      <c r="BZI8" s="5" t="s">
        <v>0</v>
      </c>
      <c r="BZJ8" s="1181" t="s">
        <v>15</v>
      </c>
      <c r="BZK8" s="1181"/>
      <c r="BZL8" s="4" t="s">
        <v>4</v>
      </c>
      <c r="BZM8" s="5" t="s">
        <v>5</v>
      </c>
      <c r="BZN8" s="1181" t="s">
        <v>15</v>
      </c>
      <c r="BZO8" s="1181"/>
      <c r="BZP8" s="5" t="s">
        <v>4</v>
      </c>
      <c r="BZQ8" s="5" t="s">
        <v>0</v>
      </c>
      <c r="BZR8" s="1181" t="s">
        <v>15</v>
      </c>
      <c r="BZS8" s="1181"/>
      <c r="BZT8" s="4" t="s">
        <v>4</v>
      </c>
      <c r="BZU8" s="5" t="s">
        <v>5</v>
      </c>
      <c r="BZV8" s="1181" t="s">
        <v>15</v>
      </c>
      <c r="BZW8" s="1181"/>
      <c r="BZX8" s="5" t="s">
        <v>4</v>
      </c>
      <c r="BZY8" s="5" t="s">
        <v>0</v>
      </c>
      <c r="BZZ8" s="1181" t="s">
        <v>15</v>
      </c>
      <c r="CAA8" s="1181"/>
      <c r="CAB8" s="4" t="s">
        <v>4</v>
      </c>
      <c r="CAC8" s="5" t="s">
        <v>5</v>
      </c>
      <c r="CAD8" s="1181" t="s">
        <v>15</v>
      </c>
      <c r="CAE8" s="1181"/>
      <c r="CAF8" s="5" t="s">
        <v>4</v>
      </c>
      <c r="CAG8" s="5" t="s">
        <v>0</v>
      </c>
      <c r="CAH8" s="1181" t="s">
        <v>15</v>
      </c>
      <c r="CAI8" s="1181"/>
      <c r="CAJ8" s="4" t="s">
        <v>4</v>
      </c>
      <c r="CAK8" s="5" t="s">
        <v>5</v>
      </c>
      <c r="CAL8" s="1181" t="s">
        <v>15</v>
      </c>
      <c r="CAM8" s="1181"/>
      <c r="CAN8" s="5" t="s">
        <v>4</v>
      </c>
      <c r="CAO8" s="5" t="s">
        <v>0</v>
      </c>
      <c r="CAP8" s="1181" t="s">
        <v>15</v>
      </c>
      <c r="CAQ8" s="1181"/>
      <c r="CAR8" s="4" t="s">
        <v>4</v>
      </c>
      <c r="CAS8" s="5" t="s">
        <v>5</v>
      </c>
      <c r="CAT8" s="1181" t="s">
        <v>15</v>
      </c>
      <c r="CAU8" s="1181"/>
      <c r="CAV8" s="5" t="s">
        <v>4</v>
      </c>
      <c r="CAW8" s="5" t="s">
        <v>0</v>
      </c>
      <c r="CAX8" s="1181" t="s">
        <v>15</v>
      </c>
      <c r="CAY8" s="1181"/>
      <c r="CAZ8" s="4" t="s">
        <v>4</v>
      </c>
      <c r="CBA8" s="5" t="s">
        <v>5</v>
      </c>
      <c r="CBB8" s="1181" t="s">
        <v>15</v>
      </c>
      <c r="CBC8" s="1181"/>
      <c r="CBD8" s="5" t="s">
        <v>4</v>
      </c>
      <c r="CBE8" s="5" t="s">
        <v>0</v>
      </c>
      <c r="CBF8" s="1181" t="s">
        <v>15</v>
      </c>
      <c r="CBG8" s="1181"/>
      <c r="CBH8" s="4" t="s">
        <v>4</v>
      </c>
      <c r="CBI8" s="5" t="s">
        <v>5</v>
      </c>
      <c r="CBJ8" s="1181" t="s">
        <v>15</v>
      </c>
      <c r="CBK8" s="1181"/>
      <c r="CBL8" s="5" t="s">
        <v>4</v>
      </c>
      <c r="CBM8" s="5" t="s">
        <v>0</v>
      </c>
      <c r="CBN8" s="1181" t="s">
        <v>15</v>
      </c>
      <c r="CBO8" s="1181"/>
      <c r="CBP8" s="4" t="s">
        <v>4</v>
      </c>
      <c r="CBQ8" s="5" t="s">
        <v>5</v>
      </c>
      <c r="CBR8" s="1181" t="s">
        <v>15</v>
      </c>
      <c r="CBS8" s="1181"/>
      <c r="CBT8" s="5" t="s">
        <v>4</v>
      </c>
      <c r="CBU8" s="5" t="s">
        <v>0</v>
      </c>
      <c r="CBV8" s="1181" t="s">
        <v>15</v>
      </c>
      <c r="CBW8" s="1181"/>
      <c r="CBX8" s="4" t="s">
        <v>4</v>
      </c>
      <c r="CBY8" s="5" t="s">
        <v>5</v>
      </c>
      <c r="CBZ8" s="1181" t="s">
        <v>15</v>
      </c>
      <c r="CCA8" s="1181"/>
      <c r="CCB8" s="5" t="s">
        <v>4</v>
      </c>
      <c r="CCC8" s="5" t="s">
        <v>0</v>
      </c>
      <c r="CCD8" s="1181" t="s">
        <v>15</v>
      </c>
      <c r="CCE8" s="1181"/>
      <c r="CCF8" s="4" t="s">
        <v>4</v>
      </c>
      <c r="CCG8" s="5" t="s">
        <v>5</v>
      </c>
      <c r="CCH8" s="1181" t="s">
        <v>15</v>
      </c>
      <c r="CCI8" s="1181"/>
      <c r="CCJ8" s="5" t="s">
        <v>4</v>
      </c>
      <c r="CCK8" s="5" t="s">
        <v>0</v>
      </c>
      <c r="CCL8" s="1181" t="s">
        <v>15</v>
      </c>
      <c r="CCM8" s="1181"/>
      <c r="CCN8" s="4" t="s">
        <v>4</v>
      </c>
      <c r="CCO8" s="5" t="s">
        <v>5</v>
      </c>
      <c r="CCP8" s="1181" t="s">
        <v>15</v>
      </c>
      <c r="CCQ8" s="1181"/>
      <c r="CCR8" s="5" t="s">
        <v>4</v>
      </c>
      <c r="CCS8" s="5" t="s">
        <v>0</v>
      </c>
      <c r="CCT8" s="1181" t="s">
        <v>15</v>
      </c>
      <c r="CCU8" s="1181"/>
      <c r="CCV8" s="4" t="s">
        <v>4</v>
      </c>
      <c r="CCW8" s="5" t="s">
        <v>5</v>
      </c>
      <c r="CCX8" s="1181" t="s">
        <v>15</v>
      </c>
      <c r="CCY8" s="1181"/>
      <c r="CCZ8" s="5" t="s">
        <v>4</v>
      </c>
      <c r="CDA8" s="5" t="s">
        <v>0</v>
      </c>
      <c r="CDB8" s="1181" t="s">
        <v>15</v>
      </c>
      <c r="CDC8" s="1181"/>
      <c r="CDD8" s="4" t="s">
        <v>4</v>
      </c>
      <c r="CDE8" s="5" t="s">
        <v>5</v>
      </c>
      <c r="CDF8" s="1181" t="s">
        <v>15</v>
      </c>
      <c r="CDG8" s="1181"/>
      <c r="CDH8" s="5" t="s">
        <v>4</v>
      </c>
      <c r="CDI8" s="5" t="s">
        <v>0</v>
      </c>
      <c r="CDJ8" s="1181" t="s">
        <v>15</v>
      </c>
      <c r="CDK8" s="1181"/>
      <c r="CDL8" s="4" t="s">
        <v>4</v>
      </c>
      <c r="CDM8" s="5" t="s">
        <v>5</v>
      </c>
      <c r="CDN8" s="1181" t="s">
        <v>15</v>
      </c>
      <c r="CDO8" s="1181"/>
      <c r="CDP8" s="5" t="s">
        <v>4</v>
      </c>
      <c r="CDQ8" s="5" t="s">
        <v>0</v>
      </c>
      <c r="CDR8" s="1181" t="s">
        <v>15</v>
      </c>
      <c r="CDS8" s="1181"/>
      <c r="CDT8" s="4" t="s">
        <v>4</v>
      </c>
      <c r="CDU8" s="5" t="s">
        <v>5</v>
      </c>
      <c r="CDV8" s="1181" t="s">
        <v>15</v>
      </c>
      <c r="CDW8" s="1181"/>
      <c r="CDX8" s="5" t="s">
        <v>4</v>
      </c>
      <c r="CDY8" s="5" t="s">
        <v>0</v>
      </c>
      <c r="CDZ8" s="1181" t="s">
        <v>15</v>
      </c>
      <c r="CEA8" s="1181"/>
      <c r="CEB8" s="4" t="s">
        <v>4</v>
      </c>
      <c r="CEC8" s="5" t="s">
        <v>5</v>
      </c>
      <c r="CED8" s="1181" t="s">
        <v>15</v>
      </c>
      <c r="CEE8" s="1181"/>
      <c r="CEF8" s="5" t="s">
        <v>4</v>
      </c>
      <c r="CEG8" s="5" t="s">
        <v>0</v>
      </c>
      <c r="CEH8" s="1181" t="s">
        <v>15</v>
      </c>
      <c r="CEI8" s="1181"/>
      <c r="CEJ8" s="4" t="s">
        <v>4</v>
      </c>
      <c r="CEK8" s="5" t="s">
        <v>5</v>
      </c>
      <c r="CEL8" s="1181" t="s">
        <v>15</v>
      </c>
      <c r="CEM8" s="1181"/>
      <c r="CEN8" s="5" t="s">
        <v>4</v>
      </c>
      <c r="CEO8" s="5" t="s">
        <v>0</v>
      </c>
      <c r="CEP8" s="1181" t="s">
        <v>15</v>
      </c>
      <c r="CEQ8" s="1181"/>
      <c r="CER8" s="4" t="s">
        <v>4</v>
      </c>
      <c r="CES8" s="5" t="s">
        <v>5</v>
      </c>
      <c r="CET8" s="1181" t="s">
        <v>15</v>
      </c>
      <c r="CEU8" s="1181"/>
      <c r="CEV8" s="5" t="s">
        <v>4</v>
      </c>
      <c r="CEW8" s="5" t="s">
        <v>0</v>
      </c>
      <c r="CEX8" s="1181" t="s">
        <v>15</v>
      </c>
      <c r="CEY8" s="1181"/>
      <c r="CEZ8" s="4" t="s">
        <v>4</v>
      </c>
      <c r="CFA8" s="5" t="s">
        <v>5</v>
      </c>
      <c r="CFB8" s="1181" t="s">
        <v>15</v>
      </c>
      <c r="CFC8" s="1181"/>
      <c r="CFD8" s="5" t="s">
        <v>4</v>
      </c>
      <c r="CFE8" s="5" t="s">
        <v>0</v>
      </c>
      <c r="CFF8" s="1181" t="s">
        <v>15</v>
      </c>
      <c r="CFG8" s="1181"/>
      <c r="CFH8" s="4" t="s">
        <v>4</v>
      </c>
      <c r="CFI8" s="5" t="s">
        <v>5</v>
      </c>
      <c r="CFJ8" s="1181" t="s">
        <v>15</v>
      </c>
      <c r="CFK8" s="1181"/>
      <c r="CFL8" s="5" t="s">
        <v>4</v>
      </c>
      <c r="CFM8" s="5" t="s">
        <v>0</v>
      </c>
      <c r="CFN8" s="1181" t="s">
        <v>15</v>
      </c>
      <c r="CFO8" s="1181"/>
      <c r="CFP8" s="4" t="s">
        <v>4</v>
      </c>
      <c r="CFQ8" s="5" t="s">
        <v>5</v>
      </c>
      <c r="CFR8" s="1181" t="s">
        <v>15</v>
      </c>
      <c r="CFS8" s="1181"/>
      <c r="CFT8" s="5" t="s">
        <v>4</v>
      </c>
      <c r="CFU8" s="5" t="s">
        <v>0</v>
      </c>
      <c r="CFV8" s="1181" t="s">
        <v>15</v>
      </c>
      <c r="CFW8" s="1181"/>
      <c r="CFX8" s="4" t="s">
        <v>4</v>
      </c>
      <c r="CFY8" s="5" t="s">
        <v>5</v>
      </c>
      <c r="CFZ8" s="1181" t="s">
        <v>15</v>
      </c>
      <c r="CGA8" s="1181"/>
      <c r="CGB8" s="5" t="s">
        <v>4</v>
      </c>
      <c r="CGC8" s="5" t="s">
        <v>0</v>
      </c>
      <c r="CGD8" s="1181" t="s">
        <v>15</v>
      </c>
      <c r="CGE8" s="1181"/>
      <c r="CGF8" s="4" t="s">
        <v>4</v>
      </c>
      <c r="CGG8" s="5" t="s">
        <v>5</v>
      </c>
      <c r="CGH8" s="1181" t="s">
        <v>15</v>
      </c>
      <c r="CGI8" s="1181"/>
      <c r="CGJ8" s="5" t="s">
        <v>4</v>
      </c>
      <c r="CGK8" s="5" t="s">
        <v>0</v>
      </c>
      <c r="CGL8" s="1181" t="s">
        <v>15</v>
      </c>
      <c r="CGM8" s="1181"/>
      <c r="CGN8" s="4" t="s">
        <v>4</v>
      </c>
      <c r="CGO8" s="5" t="s">
        <v>5</v>
      </c>
      <c r="CGP8" s="1181" t="s">
        <v>15</v>
      </c>
      <c r="CGQ8" s="1181"/>
      <c r="CGR8" s="5" t="s">
        <v>4</v>
      </c>
      <c r="CGS8" s="5" t="s">
        <v>0</v>
      </c>
      <c r="CGT8" s="1181" t="s">
        <v>15</v>
      </c>
      <c r="CGU8" s="1181"/>
      <c r="CGV8" s="4" t="s">
        <v>4</v>
      </c>
      <c r="CGW8" s="5" t="s">
        <v>5</v>
      </c>
      <c r="CGX8" s="1181" t="s">
        <v>15</v>
      </c>
      <c r="CGY8" s="1181"/>
      <c r="CGZ8" s="5" t="s">
        <v>4</v>
      </c>
      <c r="CHA8" s="5" t="s">
        <v>0</v>
      </c>
      <c r="CHB8" s="1181" t="s">
        <v>15</v>
      </c>
      <c r="CHC8" s="1181"/>
      <c r="CHD8" s="4" t="s">
        <v>4</v>
      </c>
      <c r="CHE8" s="5" t="s">
        <v>5</v>
      </c>
      <c r="CHF8" s="1181" t="s">
        <v>15</v>
      </c>
      <c r="CHG8" s="1181"/>
      <c r="CHH8" s="5" t="s">
        <v>4</v>
      </c>
      <c r="CHI8" s="5" t="s">
        <v>0</v>
      </c>
      <c r="CHJ8" s="1181" t="s">
        <v>15</v>
      </c>
      <c r="CHK8" s="1181"/>
      <c r="CHL8" s="4" t="s">
        <v>4</v>
      </c>
      <c r="CHM8" s="5" t="s">
        <v>5</v>
      </c>
      <c r="CHN8" s="1181" t="s">
        <v>15</v>
      </c>
      <c r="CHO8" s="1181"/>
      <c r="CHP8" s="5" t="s">
        <v>4</v>
      </c>
      <c r="CHQ8" s="5" t="s">
        <v>0</v>
      </c>
      <c r="CHR8" s="1181" t="s">
        <v>15</v>
      </c>
      <c r="CHS8" s="1181"/>
      <c r="CHT8" s="4" t="s">
        <v>4</v>
      </c>
      <c r="CHU8" s="5" t="s">
        <v>5</v>
      </c>
      <c r="CHV8" s="1181" t="s">
        <v>15</v>
      </c>
      <c r="CHW8" s="1181"/>
      <c r="CHX8" s="5" t="s">
        <v>4</v>
      </c>
      <c r="CHY8" s="5" t="s">
        <v>0</v>
      </c>
      <c r="CHZ8" s="1181" t="s">
        <v>15</v>
      </c>
      <c r="CIA8" s="1181"/>
      <c r="CIB8" s="4" t="s">
        <v>4</v>
      </c>
      <c r="CIC8" s="5" t="s">
        <v>5</v>
      </c>
      <c r="CID8" s="1181" t="s">
        <v>15</v>
      </c>
      <c r="CIE8" s="1181"/>
      <c r="CIF8" s="5" t="s">
        <v>4</v>
      </c>
      <c r="CIG8" s="5" t="s">
        <v>0</v>
      </c>
      <c r="CIH8" s="1181" t="s">
        <v>15</v>
      </c>
      <c r="CII8" s="1181"/>
      <c r="CIJ8" s="4" t="s">
        <v>4</v>
      </c>
      <c r="CIK8" s="5" t="s">
        <v>5</v>
      </c>
      <c r="CIL8" s="1181" t="s">
        <v>15</v>
      </c>
      <c r="CIM8" s="1181"/>
      <c r="CIN8" s="5" t="s">
        <v>4</v>
      </c>
      <c r="CIO8" s="5" t="s">
        <v>0</v>
      </c>
      <c r="CIP8" s="1181" t="s">
        <v>15</v>
      </c>
      <c r="CIQ8" s="1181"/>
      <c r="CIR8" s="4" t="s">
        <v>4</v>
      </c>
      <c r="CIS8" s="5" t="s">
        <v>5</v>
      </c>
      <c r="CIT8" s="1181" t="s">
        <v>15</v>
      </c>
      <c r="CIU8" s="1181"/>
      <c r="CIV8" s="5" t="s">
        <v>4</v>
      </c>
      <c r="CIW8" s="5" t="s">
        <v>0</v>
      </c>
      <c r="CIX8" s="1181" t="s">
        <v>15</v>
      </c>
      <c r="CIY8" s="1181"/>
      <c r="CIZ8" s="4" t="s">
        <v>4</v>
      </c>
      <c r="CJA8" s="5" t="s">
        <v>5</v>
      </c>
      <c r="CJB8" s="1181" t="s">
        <v>15</v>
      </c>
      <c r="CJC8" s="1181"/>
      <c r="CJD8" s="5" t="s">
        <v>4</v>
      </c>
      <c r="CJE8" s="5" t="s">
        <v>0</v>
      </c>
      <c r="CJF8" s="1181" t="s">
        <v>15</v>
      </c>
      <c r="CJG8" s="1181"/>
      <c r="CJH8" s="4" t="s">
        <v>4</v>
      </c>
      <c r="CJI8" s="5" t="s">
        <v>5</v>
      </c>
      <c r="CJJ8" s="1181" t="s">
        <v>15</v>
      </c>
      <c r="CJK8" s="1181"/>
      <c r="CJL8" s="5" t="s">
        <v>4</v>
      </c>
      <c r="CJM8" s="5" t="s">
        <v>0</v>
      </c>
      <c r="CJN8" s="1181" t="s">
        <v>15</v>
      </c>
      <c r="CJO8" s="1181"/>
      <c r="CJP8" s="4" t="s">
        <v>4</v>
      </c>
      <c r="CJQ8" s="5" t="s">
        <v>5</v>
      </c>
      <c r="CJR8" s="1181" t="s">
        <v>15</v>
      </c>
      <c r="CJS8" s="1181"/>
      <c r="CJT8" s="5" t="s">
        <v>4</v>
      </c>
      <c r="CJU8" s="5" t="s">
        <v>0</v>
      </c>
      <c r="CJV8" s="1181" t="s">
        <v>15</v>
      </c>
      <c r="CJW8" s="1181"/>
      <c r="CJX8" s="4" t="s">
        <v>4</v>
      </c>
      <c r="CJY8" s="5" t="s">
        <v>5</v>
      </c>
      <c r="CJZ8" s="1181" t="s">
        <v>15</v>
      </c>
      <c r="CKA8" s="1181"/>
      <c r="CKB8" s="5" t="s">
        <v>4</v>
      </c>
      <c r="CKC8" s="5" t="s">
        <v>0</v>
      </c>
      <c r="CKD8" s="1181" t="s">
        <v>15</v>
      </c>
      <c r="CKE8" s="1181"/>
      <c r="CKF8" s="4" t="s">
        <v>4</v>
      </c>
      <c r="CKG8" s="5" t="s">
        <v>5</v>
      </c>
      <c r="CKH8" s="1181" t="s">
        <v>15</v>
      </c>
      <c r="CKI8" s="1181"/>
      <c r="CKJ8" s="5" t="s">
        <v>4</v>
      </c>
      <c r="CKK8" s="5" t="s">
        <v>0</v>
      </c>
      <c r="CKL8" s="1181" t="s">
        <v>15</v>
      </c>
      <c r="CKM8" s="1181"/>
      <c r="CKN8" s="4" t="s">
        <v>4</v>
      </c>
      <c r="CKO8" s="5" t="s">
        <v>5</v>
      </c>
      <c r="CKP8" s="1181" t="s">
        <v>15</v>
      </c>
      <c r="CKQ8" s="1181"/>
      <c r="CKR8" s="5" t="s">
        <v>4</v>
      </c>
      <c r="CKS8" s="5" t="s">
        <v>0</v>
      </c>
      <c r="CKT8" s="1181" t="s">
        <v>15</v>
      </c>
      <c r="CKU8" s="1181"/>
      <c r="CKV8" s="4" t="s">
        <v>4</v>
      </c>
      <c r="CKW8" s="5" t="s">
        <v>5</v>
      </c>
      <c r="CKX8" s="1181" t="s">
        <v>15</v>
      </c>
      <c r="CKY8" s="1181"/>
      <c r="CKZ8" s="5" t="s">
        <v>4</v>
      </c>
      <c r="CLA8" s="5" t="s">
        <v>0</v>
      </c>
      <c r="CLB8" s="1181" t="s">
        <v>15</v>
      </c>
      <c r="CLC8" s="1181"/>
      <c r="CLD8" s="4" t="s">
        <v>4</v>
      </c>
      <c r="CLE8" s="5" t="s">
        <v>5</v>
      </c>
      <c r="CLF8" s="1181" t="s">
        <v>15</v>
      </c>
      <c r="CLG8" s="1181"/>
      <c r="CLH8" s="5" t="s">
        <v>4</v>
      </c>
      <c r="CLI8" s="5" t="s">
        <v>0</v>
      </c>
      <c r="CLJ8" s="1181" t="s">
        <v>15</v>
      </c>
      <c r="CLK8" s="1181"/>
      <c r="CLL8" s="4" t="s">
        <v>4</v>
      </c>
      <c r="CLM8" s="5" t="s">
        <v>5</v>
      </c>
      <c r="CLN8" s="1181" t="s">
        <v>15</v>
      </c>
      <c r="CLO8" s="1181"/>
      <c r="CLP8" s="5" t="s">
        <v>4</v>
      </c>
      <c r="CLQ8" s="5" t="s">
        <v>0</v>
      </c>
      <c r="CLR8" s="1181" t="s">
        <v>15</v>
      </c>
      <c r="CLS8" s="1181"/>
      <c r="CLT8" s="4" t="s">
        <v>4</v>
      </c>
      <c r="CLU8" s="5" t="s">
        <v>5</v>
      </c>
      <c r="CLV8" s="1181" t="s">
        <v>15</v>
      </c>
      <c r="CLW8" s="1181"/>
      <c r="CLX8" s="5" t="s">
        <v>4</v>
      </c>
      <c r="CLY8" s="5" t="s">
        <v>0</v>
      </c>
      <c r="CLZ8" s="1181" t="s">
        <v>15</v>
      </c>
      <c r="CMA8" s="1181"/>
      <c r="CMB8" s="4" t="s">
        <v>4</v>
      </c>
      <c r="CMC8" s="5" t="s">
        <v>5</v>
      </c>
      <c r="CMD8" s="1181" t="s">
        <v>15</v>
      </c>
      <c r="CME8" s="1181"/>
      <c r="CMF8" s="5" t="s">
        <v>4</v>
      </c>
      <c r="CMG8" s="5" t="s">
        <v>0</v>
      </c>
      <c r="CMH8" s="1181" t="s">
        <v>15</v>
      </c>
      <c r="CMI8" s="1181"/>
      <c r="CMJ8" s="4" t="s">
        <v>4</v>
      </c>
      <c r="CMK8" s="5" t="s">
        <v>5</v>
      </c>
      <c r="CML8" s="1181" t="s">
        <v>15</v>
      </c>
      <c r="CMM8" s="1181"/>
      <c r="CMN8" s="5" t="s">
        <v>4</v>
      </c>
      <c r="CMO8" s="5" t="s">
        <v>0</v>
      </c>
      <c r="CMP8" s="1181" t="s">
        <v>15</v>
      </c>
      <c r="CMQ8" s="1181"/>
      <c r="CMR8" s="4" t="s">
        <v>4</v>
      </c>
      <c r="CMS8" s="5" t="s">
        <v>5</v>
      </c>
      <c r="CMT8" s="1181" t="s">
        <v>15</v>
      </c>
      <c r="CMU8" s="1181"/>
      <c r="CMV8" s="5" t="s">
        <v>4</v>
      </c>
      <c r="CMW8" s="5" t="s">
        <v>0</v>
      </c>
      <c r="CMX8" s="1181" t="s">
        <v>15</v>
      </c>
      <c r="CMY8" s="1181"/>
      <c r="CMZ8" s="4" t="s">
        <v>4</v>
      </c>
      <c r="CNA8" s="5" t="s">
        <v>5</v>
      </c>
      <c r="CNB8" s="1181" t="s">
        <v>15</v>
      </c>
      <c r="CNC8" s="1181"/>
      <c r="CND8" s="5" t="s">
        <v>4</v>
      </c>
      <c r="CNE8" s="5" t="s">
        <v>0</v>
      </c>
      <c r="CNF8" s="1181" t="s">
        <v>15</v>
      </c>
      <c r="CNG8" s="1181"/>
      <c r="CNH8" s="4" t="s">
        <v>4</v>
      </c>
      <c r="CNI8" s="5" t="s">
        <v>5</v>
      </c>
      <c r="CNJ8" s="1181" t="s">
        <v>15</v>
      </c>
      <c r="CNK8" s="1181"/>
      <c r="CNL8" s="5" t="s">
        <v>4</v>
      </c>
      <c r="CNM8" s="5" t="s">
        <v>0</v>
      </c>
      <c r="CNN8" s="1181" t="s">
        <v>15</v>
      </c>
      <c r="CNO8" s="1181"/>
      <c r="CNP8" s="4" t="s">
        <v>4</v>
      </c>
      <c r="CNQ8" s="5" t="s">
        <v>5</v>
      </c>
      <c r="CNR8" s="1181" t="s">
        <v>15</v>
      </c>
      <c r="CNS8" s="1181"/>
      <c r="CNT8" s="5" t="s">
        <v>4</v>
      </c>
      <c r="CNU8" s="5" t="s">
        <v>0</v>
      </c>
      <c r="CNV8" s="1181" t="s">
        <v>15</v>
      </c>
      <c r="CNW8" s="1181"/>
      <c r="CNX8" s="4" t="s">
        <v>4</v>
      </c>
      <c r="CNY8" s="5" t="s">
        <v>5</v>
      </c>
      <c r="CNZ8" s="1181" t="s">
        <v>15</v>
      </c>
      <c r="COA8" s="1181"/>
      <c r="COB8" s="5" t="s">
        <v>4</v>
      </c>
      <c r="COC8" s="5" t="s">
        <v>0</v>
      </c>
      <c r="COD8" s="1181" t="s">
        <v>15</v>
      </c>
      <c r="COE8" s="1181"/>
      <c r="COF8" s="4" t="s">
        <v>4</v>
      </c>
      <c r="COG8" s="5" t="s">
        <v>5</v>
      </c>
      <c r="COH8" s="1181" t="s">
        <v>15</v>
      </c>
      <c r="COI8" s="1181"/>
      <c r="COJ8" s="5" t="s">
        <v>4</v>
      </c>
      <c r="COK8" s="5" t="s">
        <v>0</v>
      </c>
      <c r="COL8" s="1181" t="s">
        <v>15</v>
      </c>
      <c r="COM8" s="1181"/>
      <c r="CON8" s="4" t="s">
        <v>4</v>
      </c>
      <c r="COO8" s="5" t="s">
        <v>5</v>
      </c>
      <c r="COP8" s="1181" t="s">
        <v>15</v>
      </c>
      <c r="COQ8" s="1181"/>
      <c r="COR8" s="5" t="s">
        <v>4</v>
      </c>
      <c r="COS8" s="5" t="s">
        <v>0</v>
      </c>
      <c r="COT8" s="1181" t="s">
        <v>15</v>
      </c>
      <c r="COU8" s="1181"/>
      <c r="COV8" s="4" t="s">
        <v>4</v>
      </c>
      <c r="COW8" s="5" t="s">
        <v>5</v>
      </c>
      <c r="COX8" s="1181" t="s">
        <v>15</v>
      </c>
      <c r="COY8" s="1181"/>
      <c r="COZ8" s="5" t="s">
        <v>4</v>
      </c>
      <c r="CPA8" s="5" t="s">
        <v>0</v>
      </c>
      <c r="CPB8" s="1181" t="s">
        <v>15</v>
      </c>
      <c r="CPC8" s="1181"/>
      <c r="CPD8" s="4" t="s">
        <v>4</v>
      </c>
      <c r="CPE8" s="5" t="s">
        <v>5</v>
      </c>
      <c r="CPF8" s="1181" t="s">
        <v>15</v>
      </c>
      <c r="CPG8" s="1181"/>
      <c r="CPH8" s="5" t="s">
        <v>4</v>
      </c>
      <c r="CPI8" s="5" t="s">
        <v>0</v>
      </c>
      <c r="CPJ8" s="1181" t="s">
        <v>15</v>
      </c>
      <c r="CPK8" s="1181"/>
      <c r="CPL8" s="4" t="s">
        <v>4</v>
      </c>
      <c r="CPM8" s="5" t="s">
        <v>5</v>
      </c>
      <c r="CPN8" s="1181" t="s">
        <v>15</v>
      </c>
      <c r="CPO8" s="1181"/>
      <c r="CPP8" s="5" t="s">
        <v>4</v>
      </c>
      <c r="CPQ8" s="5" t="s">
        <v>0</v>
      </c>
      <c r="CPR8" s="1181" t="s">
        <v>15</v>
      </c>
      <c r="CPS8" s="1181"/>
      <c r="CPT8" s="4" t="s">
        <v>4</v>
      </c>
      <c r="CPU8" s="5" t="s">
        <v>5</v>
      </c>
      <c r="CPV8" s="1181" t="s">
        <v>15</v>
      </c>
      <c r="CPW8" s="1181"/>
      <c r="CPX8" s="5" t="s">
        <v>4</v>
      </c>
      <c r="CPY8" s="5" t="s">
        <v>0</v>
      </c>
      <c r="CPZ8" s="1181" t="s">
        <v>15</v>
      </c>
      <c r="CQA8" s="1181"/>
      <c r="CQB8" s="4" t="s">
        <v>4</v>
      </c>
      <c r="CQC8" s="5" t="s">
        <v>5</v>
      </c>
      <c r="CQD8" s="1181" t="s">
        <v>15</v>
      </c>
      <c r="CQE8" s="1181"/>
      <c r="CQF8" s="5" t="s">
        <v>4</v>
      </c>
      <c r="CQG8" s="5" t="s">
        <v>0</v>
      </c>
      <c r="CQH8" s="1181" t="s">
        <v>15</v>
      </c>
      <c r="CQI8" s="1181"/>
      <c r="CQJ8" s="4" t="s">
        <v>4</v>
      </c>
      <c r="CQK8" s="5" t="s">
        <v>5</v>
      </c>
      <c r="CQL8" s="1181" t="s">
        <v>15</v>
      </c>
      <c r="CQM8" s="1181"/>
      <c r="CQN8" s="5" t="s">
        <v>4</v>
      </c>
      <c r="CQO8" s="5" t="s">
        <v>0</v>
      </c>
      <c r="CQP8" s="1181" t="s">
        <v>15</v>
      </c>
      <c r="CQQ8" s="1181"/>
      <c r="CQR8" s="4" t="s">
        <v>4</v>
      </c>
      <c r="CQS8" s="5" t="s">
        <v>5</v>
      </c>
      <c r="CQT8" s="1181" t="s">
        <v>15</v>
      </c>
      <c r="CQU8" s="1181"/>
      <c r="CQV8" s="5" t="s">
        <v>4</v>
      </c>
      <c r="CQW8" s="5" t="s">
        <v>0</v>
      </c>
      <c r="CQX8" s="1181" t="s">
        <v>15</v>
      </c>
      <c r="CQY8" s="1181"/>
      <c r="CQZ8" s="4" t="s">
        <v>4</v>
      </c>
      <c r="CRA8" s="5" t="s">
        <v>5</v>
      </c>
      <c r="CRB8" s="1181" t="s">
        <v>15</v>
      </c>
      <c r="CRC8" s="1181"/>
      <c r="CRD8" s="5" t="s">
        <v>4</v>
      </c>
      <c r="CRE8" s="5" t="s">
        <v>0</v>
      </c>
      <c r="CRF8" s="1181" t="s">
        <v>15</v>
      </c>
      <c r="CRG8" s="1181"/>
      <c r="CRH8" s="4" t="s">
        <v>4</v>
      </c>
      <c r="CRI8" s="5" t="s">
        <v>5</v>
      </c>
      <c r="CRJ8" s="1181" t="s">
        <v>15</v>
      </c>
      <c r="CRK8" s="1181"/>
      <c r="CRL8" s="5" t="s">
        <v>4</v>
      </c>
      <c r="CRM8" s="5" t="s">
        <v>0</v>
      </c>
      <c r="CRN8" s="1181" t="s">
        <v>15</v>
      </c>
      <c r="CRO8" s="1181"/>
      <c r="CRP8" s="4" t="s">
        <v>4</v>
      </c>
      <c r="CRQ8" s="5" t="s">
        <v>5</v>
      </c>
      <c r="CRR8" s="1181" t="s">
        <v>15</v>
      </c>
      <c r="CRS8" s="1181"/>
      <c r="CRT8" s="5" t="s">
        <v>4</v>
      </c>
      <c r="CRU8" s="5" t="s">
        <v>0</v>
      </c>
      <c r="CRV8" s="1181" t="s">
        <v>15</v>
      </c>
      <c r="CRW8" s="1181"/>
      <c r="CRX8" s="4" t="s">
        <v>4</v>
      </c>
      <c r="CRY8" s="5" t="s">
        <v>5</v>
      </c>
      <c r="CRZ8" s="1181" t="s">
        <v>15</v>
      </c>
      <c r="CSA8" s="1181"/>
      <c r="CSB8" s="5" t="s">
        <v>4</v>
      </c>
      <c r="CSC8" s="5" t="s">
        <v>0</v>
      </c>
      <c r="CSD8" s="1181" t="s">
        <v>15</v>
      </c>
      <c r="CSE8" s="1181"/>
      <c r="CSF8" s="4" t="s">
        <v>4</v>
      </c>
      <c r="CSG8" s="5" t="s">
        <v>5</v>
      </c>
      <c r="CSH8" s="1181" t="s">
        <v>15</v>
      </c>
      <c r="CSI8" s="1181"/>
      <c r="CSJ8" s="5" t="s">
        <v>4</v>
      </c>
      <c r="CSK8" s="5" t="s">
        <v>0</v>
      </c>
      <c r="CSL8" s="1181" t="s">
        <v>15</v>
      </c>
      <c r="CSM8" s="1181"/>
      <c r="CSN8" s="4" t="s">
        <v>4</v>
      </c>
      <c r="CSO8" s="5" t="s">
        <v>5</v>
      </c>
      <c r="CSP8" s="1181" t="s">
        <v>15</v>
      </c>
      <c r="CSQ8" s="1181"/>
      <c r="CSR8" s="5" t="s">
        <v>4</v>
      </c>
      <c r="CSS8" s="5" t="s">
        <v>0</v>
      </c>
      <c r="CST8" s="1181" t="s">
        <v>15</v>
      </c>
      <c r="CSU8" s="1181"/>
      <c r="CSV8" s="4" t="s">
        <v>4</v>
      </c>
      <c r="CSW8" s="5" t="s">
        <v>5</v>
      </c>
      <c r="CSX8" s="1181" t="s">
        <v>15</v>
      </c>
      <c r="CSY8" s="1181"/>
      <c r="CSZ8" s="5" t="s">
        <v>4</v>
      </c>
      <c r="CTA8" s="5" t="s">
        <v>0</v>
      </c>
      <c r="CTB8" s="1181" t="s">
        <v>15</v>
      </c>
      <c r="CTC8" s="1181"/>
      <c r="CTD8" s="4" t="s">
        <v>4</v>
      </c>
      <c r="CTE8" s="5" t="s">
        <v>5</v>
      </c>
      <c r="CTF8" s="1181" t="s">
        <v>15</v>
      </c>
      <c r="CTG8" s="1181"/>
      <c r="CTH8" s="5" t="s">
        <v>4</v>
      </c>
      <c r="CTI8" s="5" t="s">
        <v>0</v>
      </c>
      <c r="CTJ8" s="1181" t="s">
        <v>15</v>
      </c>
      <c r="CTK8" s="1181"/>
      <c r="CTL8" s="4" t="s">
        <v>4</v>
      </c>
      <c r="CTM8" s="5" t="s">
        <v>5</v>
      </c>
      <c r="CTN8" s="1181" t="s">
        <v>15</v>
      </c>
      <c r="CTO8" s="1181"/>
      <c r="CTP8" s="5" t="s">
        <v>4</v>
      </c>
      <c r="CTQ8" s="5" t="s">
        <v>0</v>
      </c>
      <c r="CTR8" s="1181" t="s">
        <v>15</v>
      </c>
      <c r="CTS8" s="1181"/>
      <c r="CTT8" s="4" t="s">
        <v>4</v>
      </c>
      <c r="CTU8" s="5" t="s">
        <v>5</v>
      </c>
      <c r="CTV8" s="1181" t="s">
        <v>15</v>
      </c>
      <c r="CTW8" s="1181"/>
      <c r="CTX8" s="5" t="s">
        <v>4</v>
      </c>
      <c r="CTY8" s="5" t="s">
        <v>0</v>
      </c>
      <c r="CTZ8" s="1181" t="s">
        <v>15</v>
      </c>
      <c r="CUA8" s="1181"/>
      <c r="CUB8" s="4" t="s">
        <v>4</v>
      </c>
      <c r="CUC8" s="5" t="s">
        <v>5</v>
      </c>
      <c r="CUD8" s="1181" t="s">
        <v>15</v>
      </c>
      <c r="CUE8" s="1181"/>
      <c r="CUF8" s="5" t="s">
        <v>4</v>
      </c>
      <c r="CUG8" s="5" t="s">
        <v>0</v>
      </c>
      <c r="CUH8" s="1181" t="s">
        <v>15</v>
      </c>
      <c r="CUI8" s="1181"/>
      <c r="CUJ8" s="4" t="s">
        <v>4</v>
      </c>
      <c r="CUK8" s="5" t="s">
        <v>5</v>
      </c>
      <c r="CUL8" s="1181" t="s">
        <v>15</v>
      </c>
      <c r="CUM8" s="1181"/>
      <c r="CUN8" s="5" t="s">
        <v>4</v>
      </c>
      <c r="CUO8" s="5" t="s">
        <v>0</v>
      </c>
      <c r="CUP8" s="1181" t="s">
        <v>15</v>
      </c>
      <c r="CUQ8" s="1181"/>
      <c r="CUR8" s="4" t="s">
        <v>4</v>
      </c>
      <c r="CUS8" s="5" t="s">
        <v>5</v>
      </c>
      <c r="CUT8" s="1181" t="s">
        <v>15</v>
      </c>
      <c r="CUU8" s="1181"/>
      <c r="CUV8" s="5" t="s">
        <v>4</v>
      </c>
      <c r="CUW8" s="5" t="s">
        <v>0</v>
      </c>
      <c r="CUX8" s="1181" t="s">
        <v>15</v>
      </c>
      <c r="CUY8" s="1181"/>
      <c r="CUZ8" s="4" t="s">
        <v>4</v>
      </c>
      <c r="CVA8" s="5" t="s">
        <v>5</v>
      </c>
      <c r="CVB8" s="1181" t="s">
        <v>15</v>
      </c>
      <c r="CVC8" s="1181"/>
      <c r="CVD8" s="5" t="s">
        <v>4</v>
      </c>
      <c r="CVE8" s="5" t="s">
        <v>0</v>
      </c>
      <c r="CVF8" s="1181" t="s">
        <v>15</v>
      </c>
      <c r="CVG8" s="1181"/>
      <c r="CVH8" s="4" t="s">
        <v>4</v>
      </c>
      <c r="CVI8" s="5" t="s">
        <v>5</v>
      </c>
      <c r="CVJ8" s="1181" t="s">
        <v>15</v>
      </c>
      <c r="CVK8" s="1181"/>
      <c r="CVL8" s="5" t="s">
        <v>4</v>
      </c>
      <c r="CVM8" s="5" t="s">
        <v>0</v>
      </c>
      <c r="CVN8" s="1181" t="s">
        <v>15</v>
      </c>
      <c r="CVO8" s="1181"/>
      <c r="CVP8" s="4" t="s">
        <v>4</v>
      </c>
      <c r="CVQ8" s="5" t="s">
        <v>5</v>
      </c>
      <c r="CVR8" s="1181" t="s">
        <v>15</v>
      </c>
      <c r="CVS8" s="1181"/>
      <c r="CVT8" s="5" t="s">
        <v>4</v>
      </c>
      <c r="CVU8" s="5" t="s">
        <v>0</v>
      </c>
      <c r="CVV8" s="1181" t="s">
        <v>15</v>
      </c>
      <c r="CVW8" s="1181"/>
      <c r="CVX8" s="4" t="s">
        <v>4</v>
      </c>
      <c r="CVY8" s="5" t="s">
        <v>5</v>
      </c>
      <c r="CVZ8" s="1181" t="s">
        <v>15</v>
      </c>
      <c r="CWA8" s="1181"/>
      <c r="CWB8" s="5" t="s">
        <v>4</v>
      </c>
      <c r="CWC8" s="5" t="s">
        <v>0</v>
      </c>
      <c r="CWD8" s="1181" t="s">
        <v>15</v>
      </c>
      <c r="CWE8" s="1181"/>
      <c r="CWF8" s="4" t="s">
        <v>4</v>
      </c>
      <c r="CWG8" s="5" t="s">
        <v>5</v>
      </c>
      <c r="CWH8" s="1181" t="s">
        <v>15</v>
      </c>
      <c r="CWI8" s="1181"/>
      <c r="CWJ8" s="5" t="s">
        <v>4</v>
      </c>
      <c r="CWK8" s="5" t="s">
        <v>0</v>
      </c>
      <c r="CWL8" s="1181" t="s">
        <v>15</v>
      </c>
      <c r="CWM8" s="1181"/>
      <c r="CWN8" s="4" t="s">
        <v>4</v>
      </c>
      <c r="CWO8" s="5" t="s">
        <v>5</v>
      </c>
      <c r="CWP8" s="1181" t="s">
        <v>15</v>
      </c>
      <c r="CWQ8" s="1181"/>
      <c r="CWR8" s="5" t="s">
        <v>4</v>
      </c>
      <c r="CWS8" s="5" t="s">
        <v>0</v>
      </c>
      <c r="CWT8" s="1181" t="s">
        <v>15</v>
      </c>
      <c r="CWU8" s="1181"/>
      <c r="CWV8" s="4" t="s">
        <v>4</v>
      </c>
      <c r="CWW8" s="5" t="s">
        <v>5</v>
      </c>
      <c r="CWX8" s="1181" t="s">
        <v>15</v>
      </c>
      <c r="CWY8" s="1181"/>
      <c r="CWZ8" s="5" t="s">
        <v>4</v>
      </c>
      <c r="CXA8" s="5" t="s">
        <v>0</v>
      </c>
      <c r="CXB8" s="1181" t="s">
        <v>15</v>
      </c>
      <c r="CXC8" s="1181"/>
      <c r="CXD8" s="4" t="s">
        <v>4</v>
      </c>
      <c r="CXE8" s="5" t="s">
        <v>5</v>
      </c>
      <c r="CXF8" s="1181" t="s">
        <v>15</v>
      </c>
      <c r="CXG8" s="1181"/>
      <c r="CXH8" s="5" t="s">
        <v>4</v>
      </c>
      <c r="CXI8" s="5" t="s">
        <v>0</v>
      </c>
      <c r="CXJ8" s="1181" t="s">
        <v>15</v>
      </c>
      <c r="CXK8" s="1181"/>
      <c r="CXL8" s="4" t="s">
        <v>4</v>
      </c>
      <c r="CXM8" s="5" t="s">
        <v>5</v>
      </c>
      <c r="CXN8" s="1181" t="s">
        <v>15</v>
      </c>
      <c r="CXO8" s="1181"/>
      <c r="CXP8" s="5" t="s">
        <v>4</v>
      </c>
      <c r="CXQ8" s="5" t="s">
        <v>0</v>
      </c>
      <c r="CXR8" s="1181" t="s">
        <v>15</v>
      </c>
      <c r="CXS8" s="1181"/>
      <c r="CXT8" s="4" t="s">
        <v>4</v>
      </c>
      <c r="CXU8" s="5" t="s">
        <v>5</v>
      </c>
      <c r="CXV8" s="1181" t="s">
        <v>15</v>
      </c>
      <c r="CXW8" s="1181"/>
      <c r="CXX8" s="5" t="s">
        <v>4</v>
      </c>
      <c r="CXY8" s="5" t="s">
        <v>0</v>
      </c>
      <c r="CXZ8" s="1181" t="s">
        <v>15</v>
      </c>
      <c r="CYA8" s="1181"/>
      <c r="CYB8" s="4" t="s">
        <v>4</v>
      </c>
      <c r="CYC8" s="5" t="s">
        <v>5</v>
      </c>
      <c r="CYD8" s="1181" t="s">
        <v>15</v>
      </c>
      <c r="CYE8" s="1181"/>
      <c r="CYF8" s="5" t="s">
        <v>4</v>
      </c>
      <c r="CYG8" s="5" t="s">
        <v>0</v>
      </c>
      <c r="CYH8" s="1181" t="s">
        <v>15</v>
      </c>
      <c r="CYI8" s="1181"/>
      <c r="CYJ8" s="4" t="s">
        <v>4</v>
      </c>
      <c r="CYK8" s="5" t="s">
        <v>5</v>
      </c>
      <c r="CYL8" s="1181" t="s">
        <v>15</v>
      </c>
      <c r="CYM8" s="1181"/>
      <c r="CYN8" s="5" t="s">
        <v>4</v>
      </c>
      <c r="CYO8" s="5" t="s">
        <v>0</v>
      </c>
      <c r="CYP8" s="1181" t="s">
        <v>15</v>
      </c>
      <c r="CYQ8" s="1181"/>
      <c r="CYR8" s="4" t="s">
        <v>4</v>
      </c>
      <c r="CYS8" s="5" t="s">
        <v>5</v>
      </c>
      <c r="CYT8" s="1181" t="s">
        <v>15</v>
      </c>
      <c r="CYU8" s="1181"/>
      <c r="CYV8" s="5" t="s">
        <v>4</v>
      </c>
      <c r="CYW8" s="5" t="s">
        <v>0</v>
      </c>
      <c r="CYX8" s="1181" t="s">
        <v>15</v>
      </c>
      <c r="CYY8" s="1181"/>
      <c r="CYZ8" s="4" t="s">
        <v>4</v>
      </c>
      <c r="CZA8" s="5" t="s">
        <v>5</v>
      </c>
      <c r="CZB8" s="1181" t="s">
        <v>15</v>
      </c>
      <c r="CZC8" s="1181"/>
      <c r="CZD8" s="5" t="s">
        <v>4</v>
      </c>
      <c r="CZE8" s="5" t="s">
        <v>0</v>
      </c>
      <c r="CZF8" s="1181" t="s">
        <v>15</v>
      </c>
      <c r="CZG8" s="1181"/>
      <c r="CZH8" s="4" t="s">
        <v>4</v>
      </c>
      <c r="CZI8" s="5" t="s">
        <v>5</v>
      </c>
      <c r="CZJ8" s="1181" t="s">
        <v>15</v>
      </c>
      <c r="CZK8" s="1181"/>
      <c r="CZL8" s="5" t="s">
        <v>4</v>
      </c>
      <c r="CZM8" s="5" t="s">
        <v>0</v>
      </c>
      <c r="CZN8" s="1181" t="s">
        <v>15</v>
      </c>
      <c r="CZO8" s="1181"/>
      <c r="CZP8" s="4" t="s">
        <v>4</v>
      </c>
      <c r="CZQ8" s="5" t="s">
        <v>5</v>
      </c>
      <c r="CZR8" s="1181" t="s">
        <v>15</v>
      </c>
      <c r="CZS8" s="1181"/>
      <c r="CZT8" s="5" t="s">
        <v>4</v>
      </c>
      <c r="CZU8" s="5" t="s">
        <v>0</v>
      </c>
      <c r="CZV8" s="1181" t="s">
        <v>15</v>
      </c>
      <c r="CZW8" s="1181"/>
      <c r="CZX8" s="4" t="s">
        <v>4</v>
      </c>
      <c r="CZY8" s="5" t="s">
        <v>5</v>
      </c>
      <c r="CZZ8" s="1181" t="s">
        <v>15</v>
      </c>
      <c r="DAA8" s="1181"/>
      <c r="DAB8" s="5" t="s">
        <v>4</v>
      </c>
      <c r="DAC8" s="5" t="s">
        <v>0</v>
      </c>
      <c r="DAD8" s="1181" t="s">
        <v>15</v>
      </c>
      <c r="DAE8" s="1181"/>
      <c r="DAF8" s="4" t="s">
        <v>4</v>
      </c>
      <c r="DAG8" s="5" t="s">
        <v>5</v>
      </c>
      <c r="DAH8" s="1181" t="s">
        <v>15</v>
      </c>
      <c r="DAI8" s="1181"/>
      <c r="DAJ8" s="5" t="s">
        <v>4</v>
      </c>
      <c r="DAK8" s="5" t="s">
        <v>0</v>
      </c>
      <c r="DAL8" s="1181" t="s">
        <v>15</v>
      </c>
      <c r="DAM8" s="1181"/>
      <c r="DAN8" s="4" t="s">
        <v>4</v>
      </c>
      <c r="DAO8" s="5" t="s">
        <v>5</v>
      </c>
      <c r="DAP8" s="1181" t="s">
        <v>15</v>
      </c>
      <c r="DAQ8" s="1181"/>
      <c r="DAR8" s="5" t="s">
        <v>4</v>
      </c>
      <c r="DAS8" s="5" t="s">
        <v>0</v>
      </c>
      <c r="DAT8" s="1181" t="s">
        <v>15</v>
      </c>
      <c r="DAU8" s="1181"/>
      <c r="DAV8" s="4" t="s">
        <v>4</v>
      </c>
      <c r="DAW8" s="5" t="s">
        <v>5</v>
      </c>
      <c r="DAX8" s="1181" t="s">
        <v>15</v>
      </c>
      <c r="DAY8" s="1181"/>
      <c r="DAZ8" s="5" t="s">
        <v>4</v>
      </c>
      <c r="DBA8" s="5" t="s">
        <v>0</v>
      </c>
      <c r="DBB8" s="1181" t="s">
        <v>15</v>
      </c>
      <c r="DBC8" s="1181"/>
      <c r="DBD8" s="4" t="s">
        <v>4</v>
      </c>
      <c r="DBE8" s="5" t="s">
        <v>5</v>
      </c>
      <c r="DBF8" s="1181" t="s">
        <v>15</v>
      </c>
      <c r="DBG8" s="1181"/>
      <c r="DBH8" s="5" t="s">
        <v>4</v>
      </c>
      <c r="DBI8" s="5" t="s">
        <v>0</v>
      </c>
      <c r="DBJ8" s="1181" t="s">
        <v>15</v>
      </c>
      <c r="DBK8" s="1181"/>
      <c r="DBL8" s="4" t="s">
        <v>4</v>
      </c>
      <c r="DBM8" s="5" t="s">
        <v>5</v>
      </c>
      <c r="DBN8" s="1181" t="s">
        <v>15</v>
      </c>
      <c r="DBO8" s="1181"/>
      <c r="DBP8" s="5" t="s">
        <v>4</v>
      </c>
      <c r="DBQ8" s="5" t="s">
        <v>0</v>
      </c>
      <c r="DBR8" s="1181" t="s">
        <v>15</v>
      </c>
      <c r="DBS8" s="1181"/>
      <c r="DBT8" s="4" t="s">
        <v>4</v>
      </c>
      <c r="DBU8" s="5" t="s">
        <v>5</v>
      </c>
      <c r="DBV8" s="1181" t="s">
        <v>15</v>
      </c>
      <c r="DBW8" s="1181"/>
      <c r="DBX8" s="5" t="s">
        <v>4</v>
      </c>
      <c r="DBY8" s="5" t="s">
        <v>0</v>
      </c>
      <c r="DBZ8" s="1181" t="s">
        <v>15</v>
      </c>
      <c r="DCA8" s="1181"/>
      <c r="DCB8" s="4" t="s">
        <v>4</v>
      </c>
      <c r="DCC8" s="5" t="s">
        <v>5</v>
      </c>
      <c r="DCD8" s="1181" t="s">
        <v>15</v>
      </c>
      <c r="DCE8" s="1181"/>
      <c r="DCF8" s="5" t="s">
        <v>4</v>
      </c>
      <c r="DCG8" s="5" t="s">
        <v>0</v>
      </c>
      <c r="DCH8" s="1181" t="s">
        <v>15</v>
      </c>
      <c r="DCI8" s="1181"/>
      <c r="DCJ8" s="4" t="s">
        <v>4</v>
      </c>
      <c r="DCK8" s="5" t="s">
        <v>5</v>
      </c>
      <c r="DCL8" s="1181" t="s">
        <v>15</v>
      </c>
      <c r="DCM8" s="1181"/>
      <c r="DCN8" s="5" t="s">
        <v>4</v>
      </c>
      <c r="DCO8" s="5" t="s">
        <v>0</v>
      </c>
      <c r="DCP8" s="1181" t="s">
        <v>15</v>
      </c>
      <c r="DCQ8" s="1181"/>
      <c r="DCR8" s="4" t="s">
        <v>4</v>
      </c>
      <c r="DCS8" s="5" t="s">
        <v>5</v>
      </c>
      <c r="DCT8" s="1181" t="s">
        <v>15</v>
      </c>
      <c r="DCU8" s="1181"/>
      <c r="DCV8" s="5" t="s">
        <v>4</v>
      </c>
      <c r="DCW8" s="5" t="s">
        <v>0</v>
      </c>
      <c r="DCX8" s="1181" t="s">
        <v>15</v>
      </c>
      <c r="DCY8" s="1181"/>
      <c r="DCZ8" s="4" t="s">
        <v>4</v>
      </c>
      <c r="DDA8" s="5" t="s">
        <v>5</v>
      </c>
      <c r="DDB8" s="1181" t="s">
        <v>15</v>
      </c>
      <c r="DDC8" s="1181"/>
      <c r="DDD8" s="5" t="s">
        <v>4</v>
      </c>
      <c r="DDE8" s="5" t="s">
        <v>0</v>
      </c>
      <c r="DDF8" s="1181" t="s">
        <v>15</v>
      </c>
      <c r="DDG8" s="1181"/>
      <c r="DDH8" s="4" t="s">
        <v>4</v>
      </c>
      <c r="DDI8" s="5" t="s">
        <v>5</v>
      </c>
      <c r="DDJ8" s="1181" t="s">
        <v>15</v>
      </c>
      <c r="DDK8" s="1181"/>
      <c r="DDL8" s="5" t="s">
        <v>4</v>
      </c>
      <c r="DDM8" s="5" t="s">
        <v>0</v>
      </c>
      <c r="DDN8" s="1181" t="s">
        <v>15</v>
      </c>
      <c r="DDO8" s="1181"/>
      <c r="DDP8" s="4" t="s">
        <v>4</v>
      </c>
      <c r="DDQ8" s="5" t="s">
        <v>5</v>
      </c>
      <c r="DDR8" s="1181" t="s">
        <v>15</v>
      </c>
      <c r="DDS8" s="1181"/>
      <c r="DDT8" s="5" t="s">
        <v>4</v>
      </c>
      <c r="DDU8" s="5" t="s">
        <v>0</v>
      </c>
      <c r="DDV8" s="1181" t="s">
        <v>15</v>
      </c>
      <c r="DDW8" s="1181"/>
      <c r="DDX8" s="4" t="s">
        <v>4</v>
      </c>
      <c r="DDY8" s="5" t="s">
        <v>5</v>
      </c>
      <c r="DDZ8" s="1181" t="s">
        <v>15</v>
      </c>
      <c r="DEA8" s="1181"/>
      <c r="DEB8" s="5" t="s">
        <v>4</v>
      </c>
      <c r="DEC8" s="5" t="s">
        <v>0</v>
      </c>
      <c r="DED8" s="1181" t="s">
        <v>15</v>
      </c>
      <c r="DEE8" s="1181"/>
      <c r="DEF8" s="4" t="s">
        <v>4</v>
      </c>
      <c r="DEG8" s="5" t="s">
        <v>5</v>
      </c>
      <c r="DEH8" s="1181" t="s">
        <v>15</v>
      </c>
      <c r="DEI8" s="1181"/>
      <c r="DEJ8" s="5" t="s">
        <v>4</v>
      </c>
      <c r="DEK8" s="5" t="s">
        <v>0</v>
      </c>
      <c r="DEL8" s="1181" t="s">
        <v>15</v>
      </c>
      <c r="DEM8" s="1181"/>
      <c r="DEN8" s="4" t="s">
        <v>4</v>
      </c>
      <c r="DEO8" s="5" t="s">
        <v>5</v>
      </c>
      <c r="DEP8" s="1181" t="s">
        <v>15</v>
      </c>
      <c r="DEQ8" s="1181"/>
      <c r="DER8" s="5" t="s">
        <v>4</v>
      </c>
      <c r="DES8" s="5" t="s">
        <v>0</v>
      </c>
      <c r="DET8" s="1181" t="s">
        <v>15</v>
      </c>
      <c r="DEU8" s="1181"/>
      <c r="DEV8" s="4" t="s">
        <v>4</v>
      </c>
      <c r="DEW8" s="5" t="s">
        <v>5</v>
      </c>
      <c r="DEX8" s="1181" t="s">
        <v>15</v>
      </c>
      <c r="DEY8" s="1181"/>
      <c r="DEZ8" s="5" t="s">
        <v>4</v>
      </c>
      <c r="DFA8" s="5" t="s">
        <v>0</v>
      </c>
      <c r="DFB8" s="1181" t="s">
        <v>15</v>
      </c>
      <c r="DFC8" s="1181"/>
      <c r="DFD8" s="4" t="s">
        <v>4</v>
      </c>
      <c r="DFE8" s="5" t="s">
        <v>5</v>
      </c>
      <c r="DFF8" s="1181" t="s">
        <v>15</v>
      </c>
      <c r="DFG8" s="1181"/>
      <c r="DFH8" s="5" t="s">
        <v>4</v>
      </c>
      <c r="DFI8" s="5" t="s">
        <v>0</v>
      </c>
      <c r="DFJ8" s="1181" t="s">
        <v>15</v>
      </c>
      <c r="DFK8" s="1181"/>
      <c r="DFL8" s="4" t="s">
        <v>4</v>
      </c>
      <c r="DFM8" s="5" t="s">
        <v>5</v>
      </c>
      <c r="DFN8" s="1181" t="s">
        <v>15</v>
      </c>
      <c r="DFO8" s="1181"/>
      <c r="DFP8" s="5" t="s">
        <v>4</v>
      </c>
      <c r="DFQ8" s="5" t="s">
        <v>0</v>
      </c>
      <c r="DFR8" s="1181" t="s">
        <v>15</v>
      </c>
      <c r="DFS8" s="1181"/>
      <c r="DFT8" s="4" t="s">
        <v>4</v>
      </c>
      <c r="DFU8" s="5" t="s">
        <v>5</v>
      </c>
      <c r="DFV8" s="1181" t="s">
        <v>15</v>
      </c>
      <c r="DFW8" s="1181"/>
      <c r="DFX8" s="5" t="s">
        <v>4</v>
      </c>
      <c r="DFY8" s="5" t="s">
        <v>0</v>
      </c>
      <c r="DFZ8" s="1181" t="s">
        <v>15</v>
      </c>
      <c r="DGA8" s="1181"/>
      <c r="DGB8" s="4" t="s">
        <v>4</v>
      </c>
      <c r="DGC8" s="5" t="s">
        <v>5</v>
      </c>
      <c r="DGD8" s="1181" t="s">
        <v>15</v>
      </c>
      <c r="DGE8" s="1181"/>
      <c r="DGF8" s="5" t="s">
        <v>4</v>
      </c>
      <c r="DGG8" s="5" t="s">
        <v>0</v>
      </c>
      <c r="DGH8" s="1181" t="s">
        <v>15</v>
      </c>
      <c r="DGI8" s="1181"/>
      <c r="DGJ8" s="4" t="s">
        <v>4</v>
      </c>
      <c r="DGK8" s="5" t="s">
        <v>5</v>
      </c>
      <c r="DGL8" s="1181" t="s">
        <v>15</v>
      </c>
      <c r="DGM8" s="1181"/>
      <c r="DGN8" s="5" t="s">
        <v>4</v>
      </c>
      <c r="DGO8" s="5" t="s">
        <v>0</v>
      </c>
      <c r="DGP8" s="1181" t="s">
        <v>15</v>
      </c>
      <c r="DGQ8" s="1181"/>
      <c r="DGR8" s="4" t="s">
        <v>4</v>
      </c>
      <c r="DGS8" s="5" t="s">
        <v>5</v>
      </c>
      <c r="DGT8" s="1181" t="s">
        <v>15</v>
      </c>
      <c r="DGU8" s="1181"/>
      <c r="DGV8" s="5" t="s">
        <v>4</v>
      </c>
      <c r="DGW8" s="5" t="s">
        <v>0</v>
      </c>
      <c r="DGX8" s="1181" t="s">
        <v>15</v>
      </c>
      <c r="DGY8" s="1181"/>
      <c r="DGZ8" s="4" t="s">
        <v>4</v>
      </c>
      <c r="DHA8" s="5" t="s">
        <v>5</v>
      </c>
      <c r="DHB8" s="1181" t="s">
        <v>15</v>
      </c>
      <c r="DHC8" s="1181"/>
      <c r="DHD8" s="5" t="s">
        <v>4</v>
      </c>
      <c r="DHE8" s="5" t="s">
        <v>0</v>
      </c>
      <c r="DHF8" s="1181" t="s">
        <v>15</v>
      </c>
      <c r="DHG8" s="1181"/>
      <c r="DHH8" s="4" t="s">
        <v>4</v>
      </c>
      <c r="DHI8" s="5" t="s">
        <v>5</v>
      </c>
      <c r="DHJ8" s="1181" t="s">
        <v>15</v>
      </c>
      <c r="DHK8" s="1181"/>
      <c r="DHL8" s="5" t="s">
        <v>4</v>
      </c>
      <c r="DHM8" s="5" t="s">
        <v>0</v>
      </c>
      <c r="DHN8" s="1181" t="s">
        <v>15</v>
      </c>
      <c r="DHO8" s="1181"/>
      <c r="DHP8" s="4" t="s">
        <v>4</v>
      </c>
      <c r="DHQ8" s="5" t="s">
        <v>5</v>
      </c>
      <c r="DHR8" s="1181" t="s">
        <v>15</v>
      </c>
      <c r="DHS8" s="1181"/>
      <c r="DHT8" s="5" t="s">
        <v>4</v>
      </c>
      <c r="DHU8" s="5" t="s">
        <v>0</v>
      </c>
      <c r="DHV8" s="1181" t="s">
        <v>15</v>
      </c>
      <c r="DHW8" s="1181"/>
      <c r="DHX8" s="4" t="s">
        <v>4</v>
      </c>
      <c r="DHY8" s="5" t="s">
        <v>5</v>
      </c>
      <c r="DHZ8" s="1181" t="s">
        <v>15</v>
      </c>
      <c r="DIA8" s="1181"/>
      <c r="DIB8" s="5" t="s">
        <v>4</v>
      </c>
      <c r="DIC8" s="5" t="s">
        <v>0</v>
      </c>
      <c r="DID8" s="1181" t="s">
        <v>15</v>
      </c>
      <c r="DIE8" s="1181"/>
      <c r="DIF8" s="4" t="s">
        <v>4</v>
      </c>
      <c r="DIG8" s="5" t="s">
        <v>5</v>
      </c>
      <c r="DIH8" s="1181" t="s">
        <v>15</v>
      </c>
      <c r="DII8" s="1181"/>
      <c r="DIJ8" s="5" t="s">
        <v>4</v>
      </c>
      <c r="DIK8" s="5" t="s">
        <v>0</v>
      </c>
      <c r="DIL8" s="1181" t="s">
        <v>15</v>
      </c>
      <c r="DIM8" s="1181"/>
      <c r="DIN8" s="4" t="s">
        <v>4</v>
      </c>
      <c r="DIO8" s="5" t="s">
        <v>5</v>
      </c>
      <c r="DIP8" s="1181" t="s">
        <v>15</v>
      </c>
      <c r="DIQ8" s="1181"/>
      <c r="DIR8" s="5" t="s">
        <v>4</v>
      </c>
      <c r="DIS8" s="5" t="s">
        <v>0</v>
      </c>
      <c r="DIT8" s="1181" t="s">
        <v>15</v>
      </c>
      <c r="DIU8" s="1181"/>
      <c r="DIV8" s="4" t="s">
        <v>4</v>
      </c>
      <c r="DIW8" s="5" t="s">
        <v>5</v>
      </c>
      <c r="DIX8" s="1181" t="s">
        <v>15</v>
      </c>
      <c r="DIY8" s="1181"/>
      <c r="DIZ8" s="5" t="s">
        <v>4</v>
      </c>
      <c r="DJA8" s="5" t="s">
        <v>0</v>
      </c>
      <c r="DJB8" s="1181" t="s">
        <v>15</v>
      </c>
      <c r="DJC8" s="1181"/>
      <c r="DJD8" s="4" t="s">
        <v>4</v>
      </c>
      <c r="DJE8" s="5" t="s">
        <v>5</v>
      </c>
      <c r="DJF8" s="1181" t="s">
        <v>15</v>
      </c>
      <c r="DJG8" s="1181"/>
      <c r="DJH8" s="5" t="s">
        <v>4</v>
      </c>
      <c r="DJI8" s="5" t="s">
        <v>0</v>
      </c>
      <c r="DJJ8" s="1181" t="s">
        <v>15</v>
      </c>
      <c r="DJK8" s="1181"/>
      <c r="DJL8" s="4" t="s">
        <v>4</v>
      </c>
      <c r="DJM8" s="5" t="s">
        <v>5</v>
      </c>
      <c r="DJN8" s="1181" t="s">
        <v>15</v>
      </c>
      <c r="DJO8" s="1181"/>
      <c r="DJP8" s="5" t="s">
        <v>4</v>
      </c>
      <c r="DJQ8" s="5" t="s">
        <v>0</v>
      </c>
      <c r="DJR8" s="1181" t="s">
        <v>15</v>
      </c>
      <c r="DJS8" s="1181"/>
      <c r="DJT8" s="4" t="s">
        <v>4</v>
      </c>
      <c r="DJU8" s="5" t="s">
        <v>5</v>
      </c>
      <c r="DJV8" s="1181" t="s">
        <v>15</v>
      </c>
      <c r="DJW8" s="1181"/>
      <c r="DJX8" s="5" t="s">
        <v>4</v>
      </c>
      <c r="DJY8" s="5" t="s">
        <v>0</v>
      </c>
      <c r="DJZ8" s="1181" t="s">
        <v>15</v>
      </c>
      <c r="DKA8" s="1181"/>
      <c r="DKB8" s="4" t="s">
        <v>4</v>
      </c>
      <c r="DKC8" s="5" t="s">
        <v>5</v>
      </c>
      <c r="DKD8" s="1181" t="s">
        <v>15</v>
      </c>
      <c r="DKE8" s="1181"/>
      <c r="DKF8" s="5" t="s">
        <v>4</v>
      </c>
      <c r="DKG8" s="5" t="s">
        <v>0</v>
      </c>
      <c r="DKH8" s="1181" t="s">
        <v>15</v>
      </c>
      <c r="DKI8" s="1181"/>
      <c r="DKJ8" s="4" t="s">
        <v>4</v>
      </c>
      <c r="DKK8" s="5" t="s">
        <v>5</v>
      </c>
      <c r="DKL8" s="1181" t="s">
        <v>15</v>
      </c>
      <c r="DKM8" s="1181"/>
      <c r="DKN8" s="5" t="s">
        <v>4</v>
      </c>
      <c r="DKO8" s="5" t="s">
        <v>0</v>
      </c>
      <c r="DKP8" s="1181" t="s">
        <v>15</v>
      </c>
      <c r="DKQ8" s="1181"/>
      <c r="DKR8" s="4" t="s">
        <v>4</v>
      </c>
      <c r="DKS8" s="5" t="s">
        <v>5</v>
      </c>
      <c r="DKT8" s="1181" t="s">
        <v>15</v>
      </c>
      <c r="DKU8" s="1181"/>
      <c r="DKV8" s="5" t="s">
        <v>4</v>
      </c>
      <c r="DKW8" s="5" t="s">
        <v>0</v>
      </c>
      <c r="DKX8" s="1181" t="s">
        <v>15</v>
      </c>
      <c r="DKY8" s="1181"/>
      <c r="DKZ8" s="4" t="s">
        <v>4</v>
      </c>
      <c r="DLA8" s="5" t="s">
        <v>5</v>
      </c>
      <c r="DLB8" s="1181" t="s">
        <v>15</v>
      </c>
      <c r="DLC8" s="1181"/>
      <c r="DLD8" s="5" t="s">
        <v>4</v>
      </c>
      <c r="DLE8" s="5" t="s">
        <v>0</v>
      </c>
      <c r="DLF8" s="1181" t="s">
        <v>15</v>
      </c>
      <c r="DLG8" s="1181"/>
      <c r="DLH8" s="4" t="s">
        <v>4</v>
      </c>
      <c r="DLI8" s="5" t="s">
        <v>5</v>
      </c>
      <c r="DLJ8" s="1181" t="s">
        <v>15</v>
      </c>
      <c r="DLK8" s="1181"/>
      <c r="DLL8" s="5" t="s">
        <v>4</v>
      </c>
      <c r="DLM8" s="5" t="s">
        <v>0</v>
      </c>
      <c r="DLN8" s="1181" t="s">
        <v>15</v>
      </c>
      <c r="DLO8" s="1181"/>
      <c r="DLP8" s="4" t="s">
        <v>4</v>
      </c>
      <c r="DLQ8" s="5" t="s">
        <v>5</v>
      </c>
      <c r="DLR8" s="1181" t="s">
        <v>15</v>
      </c>
      <c r="DLS8" s="1181"/>
      <c r="DLT8" s="5" t="s">
        <v>4</v>
      </c>
      <c r="DLU8" s="5" t="s">
        <v>0</v>
      </c>
      <c r="DLV8" s="1181" t="s">
        <v>15</v>
      </c>
      <c r="DLW8" s="1181"/>
      <c r="DLX8" s="4" t="s">
        <v>4</v>
      </c>
      <c r="DLY8" s="5" t="s">
        <v>5</v>
      </c>
      <c r="DLZ8" s="1181" t="s">
        <v>15</v>
      </c>
      <c r="DMA8" s="1181"/>
      <c r="DMB8" s="5" t="s">
        <v>4</v>
      </c>
      <c r="DMC8" s="5" t="s">
        <v>0</v>
      </c>
      <c r="DMD8" s="1181" t="s">
        <v>15</v>
      </c>
      <c r="DME8" s="1181"/>
      <c r="DMF8" s="4" t="s">
        <v>4</v>
      </c>
      <c r="DMG8" s="5" t="s">
        <v>5</v>
      </c>
      <c r="DMH8" s="1181" t="s">
        <v>15</v>
      </c>
      <c r="DMI8" s="1181"/>
      <c r="DMJ8" s="5" t="s">
        <v>4</v>
      </c>
      <c r="DMK8" s="5" t="s">
        <v>0</v>
      </c>
      <c r="DML8" s="1181" t="s">
        <v>15</v>
      </c>
      <c r="DMM8" s="1181"/>
      <c r="DMN8" s="4" t="s">
        <v>4</v>
      </c>
      <c r="DMO8" s="5" t="s">
        <v>5</v>
      </c>
      <c r="DMP8" s="1181" t="s">
        <v>15</v>
      </c>
      <c r="DMQ8" s="1181"/>
      <c r="DMR8" s="5" t="s">
        <v>4</v>
      </c>
      <c r="DMS8" s="5" t="s">
        <v>0</v>
      </c>
      <c r="DMT8" s="1181" t="s">
        <v>15</v>
      </c>
      <c r="DMU8" s="1181"/>
      <c r="DMV8" s="4" t="s">
        <v>4</v>
      </c>
      <c r="DMW8" s="5" t="s">
        <v>5</v>
      </c>
      <c r="DMX8" s="1181" t="s">
        <v>15</v>
      </c>
      <c r="DMY8" s="1181"/>
      <c r="DMZ8" s="5" t="s">
        <v>4</v>
      </c>
      <c r="DNA8" s="5" t="s">
        <v>0</v>
      </c>
      <c r="DNB8" s="1181" t="s">
        <v>15</v>
      </c>
      <c r="DNC8" s="1181"/>
      <c r="DND8" s="4" t="s">
        <v>4</v>
      </c>
      <c r="DNE8" s="5" t="s">
        <v>5</v>
      </c>
      <c r="DNF8" s="1181" t="s">
        <v>15</v>
      </c>
      <c r="DNG8" s="1181"/>
      <c r="DNH8" s="5" t="s">
        <v>4</v>
      </c>
      <c r="DNI8" s="5" t="s">
        <v>0</v>
      </c>
      <c r="DNJ8" s="1181" t="s">
        <v>15</v>
      </c>
      <c r="DNK8" s="1181"/>
      <c r="DNL8" s="4" t="s">
        <v>4</v>
      </c>
      <c r="DNM8" s="5" t="s">
        <v>5</v>
      </c>
      <c r="DNN8" s="1181" t="s">
        <v>15</v>
      </c>
      <c r="DNO8" s="1181"/>
      <c r="DNP8" s="5" t="s">
        <v>4</v>
      </c>
      <c r="DNQ8" s="5" t="s">
        <v>0</v>
      </c>
      <c r="DNR8" s="1181" t="s">
        <v>15</v>
      </c>
      <c r="DNS8" s="1181"/>
      <c r="DNT8" s="4" t="s">
        <v>4</v>
      </c>
      <c r="DNU8" s="5" t="s">
        <v>5</v>
      </c>
      <c r="DNV8" s="1181" t="s">
        <v>15</v>
      </c>
      <c r="DNW8" s="1181"/>
      <c r="DNX8" s="5" t="s">
        <v>4</v>
      </c>
      <c r="DNY8" s="5" t="s">
        <v>0</v>
      </c>
      <c r="DNZ8" s="1181" t="s">
        <v>15</v>
      </c>
      <c r="DOA8" s="1181"/>
      <c r="DOB8" s="4" t="s">
        <v>4</v>
      </c>
      <c r="DOC8" s="5" t="s">
        <v>5</v>
      </c>
      <c r="DOD8" s="1181" t="s">
        <v>15</v>
      </c>
      <c r="DOE8" s="1181"/>
      <c r="DOF8" s="5" t="s">
        <v>4</v>
      </c>
      <c r="DOG8" s="5" t="s">
        <v>0</v>
      </c>
      <c r="DOH8" s="1181" t="s">
        <v>15</v>
      </c>
      <c r="DOI8" s="1181"/>
      <c r="DOJ8" s="4" t="s">
        <v>4</v>
      </c>
      <c r="DOK8" s="5" t="s">
        <v>5</v>
      </c>
      <c r="DOL8" s="1181" t="s">
        <v>15</v>
      </c>
      <c r="DOM8" s="1181"/>
      <c r="DON8" s="5" t="s">
        <v>4</v>
      </c>
      <c r="DOO8" s="5" t="s">
        <v>0</v>
      </c>
      <c r="DOP8" s="1181" t="s">
        <v>15</v>
      </c>
      <c r="DOQ8" s="1181"/>
      <c r="DOR8" s="4" t="s">
        <v>4</v>
      </c>
      <c r="DOS8" s="5" t="s">
        <v>5</v>
      </c>
      <c r="DOT8" s="1181" t="s">
        <v>15</v>
      </c>
      <c r="DOU8" s="1181"/>
      <c r="DOV8" s="5" t="s">
        <v>4</v>
      </c>
      <c r="DOW8" s="5" t="s">
        <v>0</v>
      </c>
      <c r="DOX8" s="1181" t="s">
        <v>15</v>
      </c>
      <c r="DOY8" s="1181"/>
      <c r="DOZ8" s="4" t="s">
        <v>4</v>
      </c>
      <c r="DPA8" s="5" t="s">
        <v>5</v>
      </c>
      <c r="DPB8" s="1181" t="s">
        <v>15</v>
      </c>
      <c r="DPC8" s="1181"/>
      <c r="DPD8" s="5" t="s">
        <v>4</v>
      </c>
      <c r="DPE8" s="5" t="s">
        <v>0</v>
      </c>
      <c r="DPF8" s="1181" t="s">
        <v>15</v>
      </c>
      <c r="DPG8" s="1181"/>
      <c r="DPH8" s="4" t="s">
        <v>4</v>
      </c>
      <c r="DPI8" s="5" t="s">
        <v>5</v>
      </c>
      <c r="DPJ8" s="1181" t="s">
        <v>15</v>
      </c>
      <c r="DPK8" s="1181"/>
      <c r="DPL8" s="5" t="s">
        <v>4</v>
      </c>
      <c r="DPM8" s="5" t="s">
        <v>0</v>
      </c>
      <c r="DPN8" s="1181" t="s">
        <v>15</v>
      </c>
      <c r="DPO8" s="1181"/>
      <c r="DPP8" s="4" t="s">
        <v>4</v>
      </c>
      <c r="DPQ8" s="5" t="s">
        <v>5</v>
      </c>
      <c r="DPR8" s="1181" t="s">
        <v>15</v>
      </c>
      <c r="DPS8" s="1181"/>
      <c r="DPT8" s="5" t="s">
        <v>4</v>
      </c>
      <c r="DPU8" s="5" t="s">
        <v>0</v>
      </c>
      <c r="DPV8" s="1181" t="s">
        <v>15</v>
      </c>
      <c r="DPW8" s="1181"/>
      <c r="DPX8" s="4" t="s">
        <v>4</v>
      </c>
      <c r="DPY8" s="5" t="s">
        <v>5</v>
      </c>
      <c r="DPZ8" s="1181" t="s">
        <v>15</v>
      </c>
      <c r="DQA8" s="1181"/>
      <c r="DQB8" s="5" t="s">
        <v>4</v>
      </c>
      <c r="DQC8" s="5" t="s">
        <v>0</v>
      </c>
      <c r="DQD8" s="1181" t="s">
        <v>15</v>
      </c>
      <c r="DQE8" s="1181"/>
      <c r="DQF8" s="4" t="s">
        <v>4</v>
      </c>
      <c r="DQG8" s="5" t="s">
        <v>5</v>
      </c>
      <c r="DQH8" s="1181" t="s">
        <v>15</v>
      </c>
      <c r="DQI8" s="1181"/>
      <c r="DQJ8" s="5" t="s">
        <v>4</v>
      </c>
      <c r="DQK8" s="5" t="s">
        <v>0</v>
      </c>
      <c r="DQL8" s="1181" t="s">
        <v>15</v>
      </c>
      <c r="DQM8" s="1181"/>
      <c r="DQN8" s="4" t="s">
        <v>4</v>
      </c>
      <c r="DQO8" s="5" t="s">
        <v>5</v>
      </c>
      <c r="DQP8" s="1181" t="s">
        <v>15</v>
      </c>
      <c r="DQQ8" s="1181"/>
      <c r="DQR8" s="5" t="s">
        <v>4</v>
      </c>
      <c r="DQS8" s="5" t="s">
        <v>0</v>
      </c>
      <c r="DQT8" s="1181" t="s">
        <v>15</v>
      </c>
      <c r="DQU8" s="1181"/>
      <c r="DQV8" s="4" t="s">
        <v>4</v>
      </c>
      <c r="DQW8" s="5" t="s">
        <v>5</v>
      </c>
      <c r="DQX8" s="1181" t="s">
        <v>15</v>
      </c>
      <c r="DQY8" s="1181"/>
      <c r="DQZ8" s="5" t="s">
        <v>4</v>
      </c>
      <c r="DRA8" s="5" t="s">
        <v>0</v>
      </c>
      <c r="DRB8" s="1181" t="s">
        <v>15</v>
      </c>
      <c r="DRC8" s="1181"/>
      <c r="DRD8" s="4" t="s">
        <v>4</v>
      </c>
      <c r="DRE8" s="5" t="s">
        <v>5</v>
      </c>
      <c r="DRF8" s="1181" t="s">
        <v>15</v>
      </c>
      <c r="DRG8" s="1181"/>
      <c r="DRH8" s="5" t="s">
        <v>4</v>
      </c>
      <c r="DRI8" s="5" t="s">
        <v>0</v>
      </c>
      <c r="DRJ8" s="1181" t="s">
        <v>15</v>
      </c>
      <c r="DRK8" s="1181"/>
      <c r="DRL8" s="4" t="s">
        <v>4</v>
      </c>
      <c r="DRM8" s="5" t="s">
        <v>5</v>
      </c>
      <c r="DRN8" s="1181" t="s">
        <v>15</v>
      </c>
      <c r="DRO8" s="1181"/>
      <c r="DRP8" s="5" t="s">
        <v>4</v>
      </c>
      <c r="DRQ8" s="5" t="s">
        <v>0</v>
      </c>
      <c r="DRR8" s="1181" t="s">
        <v>15</v>
      </c>
      <c r="DRS8" s="1181"/>
      <c r="DRT8" s="4" t="s">
        <v>4</v>
      </c>
      <c r="DRU8" s="5" t="s">
        <v>5</v>
      </c>
      <c r="DRV8" s="1181" t="s">
        <v>15</v>
      </c>
      <c r="DRW8" s="1181"/>
      <c r="DRX8" s="5" t="s">
        <v>4</v>
      </c>
      <c r="DRY8" s="5" t="s">
        <v>0</v>
      </c>
      <c r="DRZ8" s="1181" t="s">
        <v>15</v>
      </c>
      <c r="DSA8" s="1181"/>
      <c r="DSB8" s="4" t="s">
        <v>4</v>
      </c>
      <c r="DSC8" s="5" t="s">
        <v>5</v>
      </c>
      <c r="DSD8" s="1181" t="s">
        <v>15</v>
      </c>
      <c r="DSE8" s="1181"/>
      <c r="DSF8" s="5" t="s">
        <v>4</v>
      </c>
      <c r="DSG8" s="5" t="s">
        <v>0</v>
      </c>
      <c r="DSH8" s="1181" t="s">
        <v>15</v>
      </c>
      <c r="DSI8" s="1181"/>
      <c r="DSJ8" s="4" t="s">
        <v>4</v>
      </c>
      <c r="DSK8" s="5" t="s">
        <v>5</v>
      </c>
      <c r="DSL8" s="1181" t="s">
        <v>15</v>
      </c>
      <c r="DSM8" s="1181"/>
      <c r="DSN8" s="5" t="s">
        <v>4</v>
      </c>
      <c r="DSO8" s="5" t="s">
        <v>0</v>
      </c>
      <c r="DSP8" s="1181" t="s">
        <v>15</v>
      </c>
      <c r="DSQ8" s="1181"/>
      <c r="DSR8" s="4" t="s">
        <v>4</v>
      </c>
      <c r="DSS8" s="5" t="s">
        <v>5</v>
      </c>
      <c r="DST8" s="1181" t="s">
        <v>15</v>
      </c>
      <c r="DSU8" s="1181"/>
      <c r="DSV8" s="5" t="s">
        <v>4</v>
      </c>
      <c r="DSW8" s="5" t="s">
        <v>0</v>
      </c>
      <c r="DSX8" s="1181" t="s">
        <v>15</v>
      </c>
      <c r="DSY8" s="1181"/>
      <c r="DSZ8" s="4" t="s">
        <v>4</v>
      </c>
      <c r="DTA8" s="5" t="s">
        <v>5</v>
      </c>
      <c r="DTB8" s="1181" t="s">
        <v>15</v>
      </c>
      <c r="DTC8" s="1181"/>
      <c r="DTD8" s="5" t="s">
        <v>4</v>
      </c>
      <c r="DTE8" s="5" t="s">
        <v>0</v>
      </c>
      <c r="DTF8" s="1181" t="s">
        <v>15</v>
      </c>
      <c r="DTG8" s="1181"/>
      <c r="DTH8" s="4" t="s">
        <v>4</v>
      </c>
      <c r="DTI8" s="5" t="s">
        <v>5</v>
      </c>
      <c r="DTJ8" s="1181" t="s">
        <v>15</v>
      </c>
      <c r="DTK8" s="1181"/>
      <c r="DTL8" s="5" t="s">
        <v>4</v>
      </c>
      <c r="DTM8" s="5" t="s">
        <v>0</v>
      </c>
      <c r="DTN8" s="1181" t="s">
        <v>15</v>
      </c>
      <c r="DTO8" s="1181"/>
      <c r="DTP8" s="4" t="s">
        <v>4</v>
      </c>
      <c r="DTQ8" s="5" t="s">
        <v>5</v>
      </c>
      <c r="DTR8" s="1181" t="s">
        <v>15</v>
      </c>
      <c r="DTS8" s="1181"/>
      <c r="DTT8" s="5" t="s">
        <v>4</v>
      </c>
      <c r="DTU8" s="5" t="s">
        <v>0</v>
      </c>
      <c r="DTV8" s="1181" t="s">
        <v>15</v>
      </c>
      <c r="DTW8" s="1181"/>
      <c r="DTX8" s="4" t="s">
        <v>4</v>
      </c>
      <c r="DTY8" s="5" t="s">
        <v>5</v>
      </c>
      <c r="DTZ8" s="1181" t="s">
        <v>15</v>
      </c>
      <c r="DUA8" s="1181"/>
      <c r="DUB8" s="5" t="s">
        <v>4</v>
      </c>
      <c r="DUC8" s="5" t="s">
        <v>0</v>
      </c>
      <c r="DUD8" s="1181" t="s">
        <v>15</v>
      </c>
      <c r="DUE8" s="1181"/>
      <c r="DUF8" s="4" t="s">
        <v>4</v>
      </c>
      <c r="DUG8" s="5" t="s">
        <v>5</v>
      </c>
      <c r="DUH8" s="1181" t="s">
        <v>15</v>
      </c>
      <c r="DUI8" s="1181"/>
      <c r="DUJ8" s="5" t="s">
        <v>4</v>
      </c>
      <c r="DUK8" s="5" t="s">
        <v>0</v>
      </c>
      <c r="DUL8" s="1181" t="s">
        <v>15</v>
      </c>
      <c r="DUM8" s="1181"/>
      <c r="DUN8" s="4" t="s">
        <v>4</v>
      </c>
      <c r="DUO8" s="5" t="s">
        <v>5</v>
      </c>
      <c r="DUP8" s="1181" t="s">
        <v>15</v>
      </c>
      <c r="DUQ8" s="1181"/>
      <c r="DUR8" s="5" t="s">
        <v>4</v>
      </c>
      <c r="DUS8" s="5" t="s">
        <v>0</v>
      </c>
      <c r="DUT8" s="1181" t="s">
        <v>15</v>
      </c>
      <c r="DUU8" s="1181"/>
      <c r="DUV8" s="4" t="s">
        <v>4</v>
      </c>
      <c r="DUW8" s="5" t="s">
        <v>5</v>
      </c>
      <c r="DUX8" s="1181" t="s">
        <v>15</v>
      </c>
      <c r="DUY8" s="1181"/>
      <c r="DUZ8" s="5" t="s">
        <v>4</v>
      </c>
      <c r="DVA8" s="5" t="s">
        <v>0</v>
      </c>
      <c r="DVB8" s="1181" t="s">
        <v>15</v>
      </c>
      <c r="DVC8" s="1181"/>
      <c r="DVD8" s="4" t="s">
        <v>4</v>
      </c>
      <c r="DVE8" s="5" t="s">
        <v>5</v>
      </c>
      <c r="DVF8" s="1181" t="s">
        <v>15</v>
      </c>
      <c r="DVG8" s="1181"/>
      <c r="DVH8" s="5" t="s">
        <v>4</v>
      </c>
      <c r="DVI8" s="5" t="s">
        <v>0</v>
      </c>
      <c r="DVJ8" s="1181" t="s">
        <v>15</v>
      </c>
      <c r="DVK8" s="1181"/>
      <c r="DVL8" s="4" t="s">
        <v>4</v>
      </c>
      <c r="DVM8" s="5" t="s">
        <v>5</v>
      </c>
      <c r="DVN8" s="1181" t="s">
        <v>15</v>
      </c>
      <c r="DVO8" s="1181"/>
      <c r="DVP8" s="5" t="s">
        <v>4</v>
      </c>
      <c r="DVQ8" s="5" t="s">
        <v>0</v>
      </c>
      <c r="DVR8" s="1181" t="s">
        <v>15</v>
      </c>
      <c r="DVS8" s="1181"/>
      <c r="DVT8" s="4" t="s">
        <v>4</v>
      </c>
      <c r="DVU8" s="5" t="s">
        <v>5</v>
      </c>
      <c r="DVV8" s="1181" t="s">
        <v>15</v>
      </c>
      <c r="DVW8" s="1181"/>
      <c r="DVX8" s="5" t="s">
        <v>4</v>
      </c>
      <c r="DVY8" s="5" t="s">
        <v>0</v>
      </c>
      <c r="DVZ8" s="1181" t="s">
        <v>15</v>
      </c>
      <c r="DWA8" s="1181"/>
      <c r="DWB8" s="4" t="s">
        <v>4</v>
      </c>
      <c r="DWC8" s="5" t="s">
        <v>5</v>
      </c>
      <c r="DWD8" s="1181" t="s">
        <v>15</v>
      </c>
      <c r="DWE8" s="1181"/>
      <c r="DWF8" s="5" t="s">
        <v>4</v>
      </c>
      <c r="DWG8" s="5" t="s">
        <v>0</v>
      </c>
      <c r="DWH8" s="1181" t="s">
        <v>15</v>
      </c>
      <c r="DWI8" s="1181"/>
      <c r="DWJ8" s="4" t="s">
        <v>4</v>
      </c>
      <c r="DWK8" s="5" t="s">
        <v>5</v>
      </c>
      <c r="DWL8" s="1181" t="s">
        <v>15</v>
      </c>
      <c r="DWM8" s="1181"/>
      <c r="DWN8" s="5" t="s">
        <v>4</v>
      </c>
      <c r="DWO8" s="5" t="s">
        <v>0</v>
      </c>
      <c r="DWP8" s="1181" t="s">
        <v>15</v>
      </c>
      <c r="DWQ8" s="1181"/>
      <c r="DWR8" s="4" t="s">
        <v>4</v>
      </c>
      <c r="DWS8" s="5" t="s">
        <v>5</v>
      </c>
      <c r="DWT8" s="1181" t="s">
        <v>15</v>
      </c>
      <c r="DWU8" s="1181"/>
      <c r="DWV8" s="5" t="s">
        <v>4</v>
      </c>
      <c r="DWW8" s="5" t="s">
        <v>0</v>
      </c>
      <c r="DWX8" s="1181" t="s">
        <v>15</v>
      </c>
      <c r="DWY8" s="1181"/>
      <c r="DWZ8" s="4" t="s">
        <v>4</v>
      </c>
      <c r="DXA8" s="5" t="s">
        <v>5</v>
      </c>
      <c r="DXB8" s="1181" t="s">
        <v>15</v>
      </c>
      <c r="DXC8" s="1181"/>
      <c r="DXD8" s="5" t="s">
        <v>4</v>
      </c>
      <c r="DXE8" s="5" t="s">
        <v>0</v>
      </c>
      <c r="DXF8" s="1181" t="s">
        <v>15</v>
      </c>
      <c r="DXG8" s="1181"/>
      <c r="DXH8" s="4" t="s">
        <v>4</v>
      </c>
      <c r="DXI8" s="5" t="s">
        <v>5</v>
      </c>
      <c r="DXJ8" s="1181" t="s">
        <v>15</v>
      </c>
      <c r="DXK8" s="1181"/>
      <c r="DXL8" s="5" t="s">
        <v>4</v>
      </c>
      <c r="DXM8" s="5" t="s">
        <v>0</v>
      </c>
      <c r="DXN8" s="1181" t="s">
        <v>15</v>
      </c>
      <c r="DXO8" s="1181"/>
      <c r="DXP8" s="4" t="s">
        <v>4</v>
      </c>
      <c r="DXQ8" s="5" t="s">
        <v>5</v>
      </c>
      <c r="DXR8" s="1181" t="s">
        <v>15</v>
      </c>
      <c r="DXS8" s="1181"/>
      <c r="DXT8" s="5" t="s">
        <v>4</v>
      </c>
      <c r="DXU8" s="5" t="s">
        <v>0</v>
      </c>
      <c r="DXV8" s="1181" t="s">
        <v>15</v>
      </c>
      <c r="DXW8" s="1181"/>
      <c r="DXX8" s="4" t="s">
        <v>4</v>
      </c>
      <c r="DXY8" s="5" t="s">
        <v>5</v>
      </c>
      <c r="DXZ8" s="1181" t="s">
        <v>15</v>
      </c>
      <c r="DYA8" s="1181"/>
      <c r="DYB8" s="5" t="s">
        <v>4</v>
      </c>
      <c r="DYC8" s="5" t="s">
        <v>0</v>
      </c>
      <c r="DYD8" s="1181" t="s">
        <v>15</v>
      </c>
      <c r="DYE8" s="1181"/>
      <c r="DYF8" s="4" t="s">
        <v>4</v>
      </c>
      <c r="DYG8" s="5" t="s">
        <v>5</v>
      </c>
      <c r="DYH8" s="1181" t="s">
        <v>15</v>
      </c>
      <c r="DYI8" s="1181"/>
      <c r="DYJ8" s="5" t="s">
        <v>4</v>
      </c>
      <c r="DYK8" s="5" t="s">
        <v>0</v>
      </c>
      <c r="DYL8" s="1181" t="s">
        <v>15</v>
      </c>
      <c r="DYM8" s="1181"/>
      <c r="DYN8" s="4" t="s">
        <v>4</v>
      </c>
      <c r="DYO8" s="5" t="s">
        <v>5</v>
      </c>
      <c r="DYP8" s="1181" t="s">
        <v>15</v>
      </c>
      <c r="DYQ8" s="1181"/>
      <c r="DYR8" s="5" t="s">
        <v>4</v>
      </c>
      <c r="DYS8" s="5" t="s">
        <v>0</v>
      </c>
      <c r="DYT8" s="1181" t="s">
        <v>15</v>
      </c>
      <c r="DYU8" s="1181"/>
      <c r="DYV8" s="4" t="s">
        <v>4</v>
      </c>
      <c r="DYW8" s="5" t="s">
        <v>5</v>
      </c>
      <c r="DYX8" s="1181" t="s">
        <v>15</v>
      </c>
      <c r="DYY8" s="1181"/>
      <c r="DYZ8" s="5" t="s">
        <v>4</v>
      </c>
      <c r="DZA8" s="5" t="s">
        <v>0</v>
      </c>
      <c r="DZB8" s="1181" t="s">
        <v>15</v>
      </c>
      <c r="DZC8" s="1181"/>
      <c r="DZD8" s="4" t="s">
        <v>4</v>
      </c>
      <c r="DZE8" s="5" t="s">
        <v>5</v>
      </c>
      <c r="DZF8" s="1181" t="s">
        <v>15</v>
      </c>
      <c r="DZG8" s="1181"/>
      <c r="DZH8" s="5" t="s">
        <v>4</v>
      </c>
      <c r="DZI8" s="5" t="s">
        <v>0</v>
      </c>
      <c r="DZJ8" s="1181" t="s">
        <v>15</v>
      </c>
      <c r="DZK8" s="1181"/>
      <c r="DZL8" s="4" t="s">
        <v>4</v>
      </c>
      <c r="DZM8" s="5" t="s">
        <v>5</v>
      </c>
      <c r="DZN8" s="1181" t="s">
        <v>15</v>
      </c>
      <c r="DZO8" s="1181"/>
      <c r="DZP8" s="5" t="s">
        <v>4</v>
      </c>
      <c r="DZQ8" s="5" t="s">
        <v>0</v>
      </c>
      <c r="DZR8" s="1181" t="s">
        <v>15</v>
      </c>
      <c r="DZS8" s="1181"/>
      <c r="DZT8" s="4" t="s">
        <v>4</v>
      </c>
      <c r="DZU8" s="5" t="s">
        <v>5</v>
      </c>
      <c r="DZV8" s="1181" t="s">
        <v>15</v>
      </c>
      <c r="DZW8" s="1181"/>
      <c r="DZX8" s="5" t="s">
        <v>4</v>
      </c>
      <c r="DZY8" s="5" t="s">
        <v>0</v>
      </c>
      <c r="DZZ8" s="1181" t="s">
        <v>15</v>
      </c>
      <c r="EAA8" s="1181"/>
      <c r="EAB8" s="4" t="s">
        <v>4</v>
      </c>
      <c r="EAC8" s="5" t="s">
        <v>5</v>
      </c>
      <c r="EAD8" s="1181" t="s">
        <v>15</v>
      </c>
      <c r="EAE8" s="1181"/>
      <c r="EAF8" s="5" t="s">
        <v>4</v>
      </c>
      <c r="EAG8" s="5" t="s">
        <v>0</v>
      </c>
      <c r="EAH8" s="1181" t="s">
        <v>15</v>
      </c>
      <c r="EAI8" s="1181"/>
      <c r="EAJ8" s="4" t="s">
        <v>4</v>
      </c>
      <c r="EAK8" s="5" t="s">
        <v>5</v>
      </c>
      <c r="EAL8" s="1181" t="s">
        <v>15</v>
      </c>
      <c r="EAM8" s="1181"/>
      <c r="EAN8" s="5" t="s">
        <v>4</v>
      </c>
      <c r="EAO8" s="5" t="s">
        <v>0</v>
      </c>
      <c r="EAP8" s="1181" t="s">
        <v>15</v>
      </c>
      <c r="EAQ8" s="1181"/>
      <c r="EAR8" s="4" t="s">
        <v>4</v>
      </c>
      <c r="EAS8" s="5" t="s">
        <v>5</v>
      </c>
      <c r="EAT8" s="1181" t="s">
        <v>15</v>
      </c>
      <c r="EAU8" s="1181"/>
      <c r="EAV8" s="5" t="s">
        <v>4</v>
      </c>
      <c r="EAW8" s="5" t="s">
        <v>0</v>
      </c>
      <c r="EAX8" s="1181" t="s">
        <v>15</v>
      </c>
      <c r="EAY8" s="1181"/>
      <c r="EAZ8" s="4" t="s">
        <v>4</v>
      </c>
      <c r="EBA8" s="5" t="s">
        <v>5</v>
      </c>
      <c r="EBB8" s="1181" t="s">
        <v>15</v>
      </c>
      <c r="EBC8" s="1181"/>
      <c r="EBD8" s="5" t="s">
        <v>4</v>
      </c>
      <c r="EBE8" s="5" t="s">
        <v>0</v>
      </c>
      <c r="EBF8" s="1181" t="s">
        <v>15</v>
      </c>
      <c r="EBG8" s="1181"/>
      <c r="EBH8" s="4" t="s">
        <v>4</v>
      </c>
      <c r="EBI8" s="5" t="s">
        <v>5</v>
      </c>
      <c r="EBJ8" s="1181" t="s">
        <v>15</v>
      </c>
      <c r="EBK8" s="1181"/>
      <c r="EBL8" s="5" t="s">
        <v>4</v>
      </c>
      <c r="EBM8" s="5" t="s">
        <v>0</v>
      </c>
      <c r="EBN8" s="1181" t="s">
        <v>15</v>
      </c>
      <c r="EBO8" s="1181"/>
      <c r="EBP8" s="4" t="s">
        <v>4</v>
      </c>
      <c r="EBQ8" s="5" t="s">
        <v>5</v>
      </c>
      <c r="EBR8" s="1181" t="s">
        <v>15</v>
      </c>
      <c r="EBS8" s="1181"/>
      <c r="EBT8" s="5" t="s">
        <v>4</v>
      </c>
      <c r="EBU8" s="5" t="s">
        <v>0</v>
      </c>
      <c r="EBV8" s="1181" t="s">
        <v>15</v>
      </c>
      <c r="EBW8" s="1181"/>
      <c r="EBX8" s="4" t="s">
        <v>4</v>
      </c>
      <c r="EBY8" s="5" t="s">
        <v>5</v>
      </c>
      <c r="EBZ8" s="1181" t="s">
        <v>15</v>
      </c>
      <c r="ECA8" s="1181"/>
      <c r="ECB8" s="5" t="s">
        <v>4</v>
      </c>
      <c r="ECC8" s="5" t="s">
        <v>0</v>
      </c>
      <c r="ECD8" s="1181" t="s">
        <v>15</v>
      </c>
      <c r="ECE8" s="1181"/>
      <c r="ECF8" s="4" t="s">
        <v>4</v>
      </c>
      <c r="ECG8" s="5" t="s">
        <v>5</v>
      </c>
      <c r="ECH8" s="1181" t="s">
        <v>15</v>
      </c>
      <c r="ECI8" s="1181"/>
      <c r="ECJ8" s="5" t="s">
        <v>4</v>
      </c>
      <c r="ECK8" s="5" t="s">
        <v>0</v>
      </c>
      <c r="ECL8" s="1181" t="s">
        <v>15</v>
      </c>
      <c r="ECM8" s="1181"/>
      <c r="ECN8" s="4" t="s">
        <v>4</v>
      </c>
      <c r="ECO8" s="5" t="s">
        <v>5</v>
      </c>
      <c r="ECP8" s="1181" t="s">
        <v>15</v>
      </c>
      <c r="ECQ8" s="1181"/>
      <c r="ECR8" s="5" t="s">
        <v>4</v>
      </c>
      <c r="ECS8" s="5" t="s">
        <v>0</v>
      </c>
      <c r="ECT8" s="1181" t="s">
        <v>15</v>
      </c>
      <c r="ECU8" s="1181"/>
      <c r="ECV8" s="4" t="s">
        <v>4</v>
      </c>
      <c r="ECW8" s="5" t="s">
        <v>5</v>
      </c>
      <c r="ECX8" s="1181" t="s">
        <v>15</v>
      </c>
      <c r="ECY8" s="1181"/>
      <c r="ECZ8" s="5" t="s">
        <v>4</v>
      </c>
      <c r="EDA8" s="5" t="s">
        <v>0</v>
      </c>
      <c r="EDB8" s="1181" t="s">
        <v>15</v>
      </c>
      <c r="EDC8" s="1181"/>
      <c r="EDD8" s="4" t="s">
        <v>4</v>
      </c>
      <c r="EDE8" s="5" t="s">
        <v>5</v>
      </c>
      <c r="EDF8" s="1181" t="s">
        <v>15</v>
      </c>
      <c r="EDG8" s="1181"/>
      <c r="EDH8" s="5" t="s">
        <v>4</v>
      </c>
      <c r="EDI8" s="5" t="s">
        <v>0</v>
      </c>
      <c r="EDJ8" s="1181" t="s">
        <v>15</v>
      </c>
      <c r="EDK8" s="1181"/>
      <c r="EDL8" s="4" t="s">
        <v>4</v>
      </c>
      <c r="EDM8" s="5" t="s">
        <v>5</v>
      </c>
      <c r="EDN8" s="1181" t="s">
        <v>15</v>
      </c>
      <c r="EDO8" s="1181"/>
      <c r="EDP8" s="5" t="s">
        <v>4</v>
      </c>
      <c r="EDQ8" s="5" t="s">
        <v>0</v>
      </c>
      <c r="EDR8" s="1181" t="s">
        <v>15</v>
      </c>
      <c r="EDS8" s="1181"/>
      <c r="EDT8" s="4" t="s">
        <v>4</v>
      </c>
      <c r="EDU8" s="5" t="s">
        <v>5</v>
      </c>
      <c r="EDV8" s="1181" t="s">
        <v>15</v>
      </c>
      <c r="EDW8" s="1181"/>
      <c r="EDX8" s="5" t="s">
        <v>4</v>
      </c>
      <c r="EDY8" s="5" t="s">
        <v>0</v>
      </c>
      <c r="EDZ8" s="1181" t="s">
        <v>15</v>
      </c>
      <c r="EEA8" s="1181"/>
      <c r="EEB8" s="4" t="s">
        <v>4</v>
      </c>
      <c r="EEC8" s="5" t="s">
        <v>5</v>
      </c>
      <c r="EED8" s="1181" t="s">
        <v>15</v>
      </c>
      <c r="EEE8" s="1181"/>
      <c r="EEF8" s="5" t="s">
        <v>4</v>
      </c>
      <c r="EEG8" s="5" t="s">
        <v>0</v>
      </c>
      <c r="EEH8" s="1181" t="s">
        <v>15</v>
      </c>
      <c r="EEI8" s="1181"/>
      <c r="EEJ8" s="4" t="s">
        <v>4</v>
      </c>
      <c r="EEK8" s="5" t="s">
        <v>5</v>
      </c>
      <c r="EEL8" s="1181" t="s">
        <v>15</v>
      </c>
      <c r="EEM8" s="1181"/>
      <c r="EEN8" s="5" t="s">
        <v>4</v>
      </c>
      <c r="EEO8" s="5" t="s">
        <v>0</v>
      </c>
      <c r="EEP8" s="1181" t="s">
        <v>15</v>
      </c>
      <c r="EEQ8" s="1181"/>
      <c r="EER8" s="4" t="s">
        <v>4</v>
      </c>
      <c r="EES8" s="5" t="s">
        <v>5</v>
      </c>
      <c r="EET8" s="1181" t="s">
        <v>15</v>
      </c>
      <c r="EEU8" s="1181"/>
      <c r="EEV8" s="5" t="s">
        <v>4</v>
      </c>
      <c r="EEW8" s="5" t="s">
        <v>0</v>
      </c>
      <c r="EEX8" s="1181" t="s">
        <v>15</v>
      </c>
      <c r="EEY8" s="1181"/>
      <c r="EEZ8" s="4" t="s">
        <v>4</v>
      </c>
      <c r="EFA8" s="5" t="s">
        <v>5</v>
      </c>
      <c r="EFB8" s="1181" t="s">
        <v>15</v>
      </c>
      <c r="EFC8" s="1181"/>
      <c r="EFD8" s="5" t="s">
        <v>4</v>
      </c>
      <c r="EFE8" s="5" t="s">
        <v>0</v>
      </c>
      <c r="EFF8" s="1181" t="s">
        <v>15</v>
      </c>
      <c r="EFG8" s="1181"/>
      <c r="EFH8" s="4" t="s">
        <v>4</v>
      </c>
      <c r="EFI8" s="5" t="s">
        <v>5</v>
      </c>
      <c r="EFJ8" s="1181" t="s">
        <v>15</v>
      </c>
      <c r="EFK8" s="1181"/>
      <c r="EFL8" s="5" t="s">
        <v>4</v>
      </c>
      <c r="EFM8" s="5" t="s">
        <v>0</v>
      </c>
      <c r="EFN8" s="1181" t="s">
        <v>15</v>
      </c>
      <c r="EFO8" s="1181"/>
      <c r="EFP8" s="4" t="s">
        <v>4</v>
      </c>
      <c r="EFQ8" s="5" t="s">
        <v>5</v>
      </c>
      <c r="EFR8" s="1181" t="s">
        <v>15</v>
      </c>
      <c r="EFS8" s="1181"/>
      <c r="EFT8" s="5" t="s">
        <v>4</v>
      </c>
      <c r="EFU8" s="5" t="s">
        <v>0</v>
      </c>
      <c r="EFV8" s="1181" t="s">
        <v>15</v>
      </c>
      <c r="EFW8" s="1181"/>
      <c r="EFX8" s="4" t="s">
        <v>4</v>
      </c>
      <c r="EFY8" s="5" t="s">
        <v>5</v>
      </c>
      <c r="EFZ8" s="1181" t="s">
        <v>15</v>
      </c>
      <c r="EGA8" s="1181"/>
      <c r="EGB8" s="5" t="s">
        <v>4</v>
      </c>
      <c r="EGC8" s="5" t="s">
        <v>0</v>
      </c>
      <c r="EGD8" s="1181" t="s">
        <v>15</v>
      </c>
      <c r="EGE8" s="1181"/>
      <c r="EGF8" s="4" t="s">
        <v>4</v>
      </c>
      <c r="EGG8" s="5" t="s">
        <v>5</v>
      </c>
      <c r="EGH8" s="1181" t="s">
        <v>15</v>
      </c>
      <c r="EGI8" s="1181"/>
      <c r="EGJ8" s="5" t="s">
        <v>4</v>
      </c>
      <c r="EGK8" s="5" t="s">
        <v>0</v>
      </c>
      <c r="EGL8" s="1181" t="s">
        <v>15</v>
      </c>
      <c r="EGM8" s="1181"/>
      <c r="EGN8" s="4" t="s">
        <v>4</v>
      </c>
      <c r="EGO8" s="5" t="s">
        <v>5</v>
      </c>
      <c r="EGP8" s="1181" t="s">
        <v>15</v>
      </c>
      <c r="EGQ8" s="1181"/>
      <c r="EGR8" s="5" t="s">
        <v>4</v>
      </c>
      <c r="EGS8" s="5" t="s">
        <v>0</v>
      </c>
      <c r="EGT8" s="1181" t="s">
        <v>15</v>
      </c>
      <c r="EGU8" s="1181"/>
      <c r="EGV8" s="4" t="s">
        <v>4</v>
      </c>
      <c r="EGW8" s="5" t="s">
        <v>5</v>
      </c>
      <c r="EGX8" s="1181" t="s">
        <v>15</v>
      </c>
      <c r="EGY8" s="1181"/>
      <c r="EGZ8" s="5" t="s">
        <v>4</v>
      </c>
      <c r="EHA8" s="5" t="s">
        <v>0</v>
      </c>
      <c r="EHB8" s="1181" t="s">
        <v>15</v>
      </c>
      <c r="EHC8" s="1181"/>
      <c r="EHD8" s="4" t="s">
        <v>4</v>
      </c>
      <c r="EHE8" s="5" t="s">
        <v>5</v>
      </c>
      <c r="EHF8" s="1181" t="s">
        <v>15</v>
      </c>
      <c r="EHG8" s="1181"/>
      <c r="EHH8" s="5" t="s">
        <v>4</v>
      </c>
      <c r="EHI8" s="5" t="s">
        <v>0</v>
      </c>
      <c r="EHJ8" s="1181" t="s">
        <v>15</v>
      </c>
      <c r="EHK8" s="1181"/>
      <c r="EHL8" s="4" t="s">
        <v>4</v>
      </c>
      <c r="EHM8" s="5" t="s">
        <v>5</v>
      </c>
      <c r="EHN8" s="1181" t="s">
        <v>15</v>
      </c>
      <c r="EHO8" s="1181"/>
      <c r="EHP8" s="5" t="s">
        <v>4</v>
      </c>
      <c r="EHQ8" s="5" t="s">
        <v>0</v>
      </c>
      <c r="EHR8" s="1181" t="s">
        <v>15</v>
      </c>
      <c r="EHS8" s="1181"/>
      <c r="EHT8" s="4" t="s">
        <v>4</v>
      </c>
      <c r="EHU8" s="5" t="s">
        <v>5</v>
      </c>
      <c r="EHV8" s="1181" t="s">
        <v>15</v>
      </c>
      <c r="EHW8" s="1181"/>
      <c r="EHX8" s="5" t="s">
        <v>4</v>
      </c>
      <c r="EHY8" s="5" t="s">
        <v>0</v>
      </c>
      <c r="EHZ8" s="1181" t="s">
        <v>15</v>
      </c>
      <c r="EIA8" s="1181"/>
      <c r="EIB8" s="4" t="s">
        <v>4</v>
      </c>
      <c r="EIC8" s="5" t="s">
        <v>5</v>
      </c>
      <c r="EID8" s="1181" t="s">
        <v>15</v>
      </c>
      <c r="EIE8" s="1181"/>
      <c r="EIF8" s="5" t="s">
        <v>4</v>
      </c>
      <c r="EIG8" s="5" t="s">
        <v>0</v>
      </c>
      <c r="EIH8" s="1181" t="s">
        <v>15</v>
      </c>
      <c r="EII8" s="1181"/>
      <c r="EIJ8" s="4" t="s">
        <v>4</v>
      </c>
      <c r="EIK8" s="5" t="s">
        <v>5</v>
      </c>
      <c r="EIL8" s="1181" t="s">
        <v>15</v>
      </c>
      <c r="EIM8" s="1181"/>
      <c r="EIN8" s="5" t="s">
        <v>4</v>
      </c>
      <c r="EIO8" s="5" t="s">
        <v>0</v>
      </c>
      <c r="EIP8" s="1181" t="s">
        <v>15</v>
      </c>
      <c r="EIQ8" s="1181"/>
      <c r="EIR8" s="4" t="s">
        <v>4</v>
      </c>
      <c r="EIS8" s="5" t="s">
        <v>5</v>
      </c>
      <c r="EIT8" s="1181" t="s">
        <v>15</v>
      </c>
      <c r="EIU8" s="1181"/>
      <c r="EIV8" s="5" t="s">
        <v>4</v>
      </c>
      <c r="EIW8" s="5" t="s">
        <v>0</v>
      </c>
      <c r="EIX8" s="1181" t="s">
        <v>15</v>
      </c>
      <c r="EIY8" s="1181"/>
      <c r="EIZ8" s="4" t="s">
        <v>4</v>
      </c>
      <c r="EJA8" s="5" t="s">
        <v>5</v>
      </c>
      <c r="EJB8" s="1181" t="s">
        <v>15</v>
      </c>
      <c r="EJC8" s="1181"/>
      <c r="EJD8" s="5" t="s">
        <v>4</v>
      </c>
      <c r="EJE8" s="5" t="s">
        <v>0</v>
      </c>
      <c r="EJF8" s="1181" t="s">
        <v>15</v>
      </c>
      <c r="EJG8" s="1181"/>
      <c r="EJH8" s="4" t="s">
        <v>4</v>
      </c>
      <c r="EJI8" s="5" t="s">
        <v>5</v>
      </c>
      <c r="EJJ8" s="1181" t="s">
        <v>15</v>
      </c>
      <c r="EJK8" s="1181"/>
      <c r="EJL8" s="5" t="s">
        <v>4</v>
      </c>
      <c r="EJM8" s="5" t="s">
        <v>0</v>
      </c>
      <c r="EJN8" s="1181" t="s">
        <v>15</v>
      </c>
      <c r="EJO8" s="1181"/>
      <c r="EJP8" s="4" t="s">
        <v>4</v>
      </c>
      <c r="EJQ8" s="5" t="s">
        <v>5</v>
      </c>
      <c r="EJR8" s="1181" t="s">
        <v>15</v>
      </c>
      <c r="EJS8" s="1181"/>
      <c r="EJT8" s="5" t="s">
        <v>4</v>
      </c>
      <c r="EJU8" s="5" t="s">
        <v>0</v>
      </c>
      <c r="EJV8" s="1181" t="s">
        <v>15</v>
      </c>
      <c r="EJW8" s="1181"/>
      <c r="EJX8" s="4" t="s">
        <v>4</v>
      </c>
      <c r="EJY8" s="5" t="s">
        <v>5</v>
      </c>
      <c r="EJZ8" s="1181" t="s">
        <v>15</v>
      </c>
      <c r="EKA8" s="1181"/>
      <c r="EKB8" s="5" t="s">
        <v>4</v>
      </c>
      <c r="EKC8" s="5" t="s">
        <v>0</v>
      </c>
      <c r="EKD8" s="1181" t="s">
        <v>15</v>
      </c>
      <c r="EKE8" s="1181"/>
      <c r="EKF8" s="4" t="s">
        <v>4</v>
      </c>
      <c r="EKG8" s="5" t="s">
        <v>5</v>
      </c>
      <c r="EKH8" s="1181" t="s">
        <v>15</v>
      </c>
      <c r="EKI8" s="1181"/>
      <c r="EKJ8" s="5" t="s">
        <v>4</v>
      </c>
      <c r="EKK8" s="5" t="s">
        <v>0</v>
      </c>
      <c r="EKL8" s="1181" t="s">
        <v>15</v>
      </c>
      <c r="EKM8" s="1181"/>
      <c r="EKN8" s="4" t="s">
        <v>4</v>
      </c>
      <c r="EKO8" s="5" t="s">
        <v>5</v>
      </c>
      <c r="EKP8" s="1181" t="s">
        <v>15</v>
      </c>
      <c r="EKQ8" s="1181"/>
      <c r="EKR8" s="5" t="s">
        <v>4</v>
      </c>
      <c r="EKS8" s="5" t="s">
        <v>0</v>
      </c>
      <c r="EKT8" s="1181" t="s">
        <v>15</v>
      </c>
      <c r="EKU8" s="1181"/>
      <c r="EKV8" s="4" t="s">
        <v>4</v>
      </c>
      <c r="EKW8" s="5" t="s">
        <v>5</v>
      </c>
      <c r="EKX8" s="1181" t="s">
        <v>15</v>
      </c>
      <c r="EKY8" s="1181"/>
      <c r="EKZ8" s="5" t="s">
        <v>4</v>
      </c>
      <c r="ELA8" s="5" t="s">
        <v>0</v>
      </c>
      <c r="ELB8" s="1181" t="s">
        <v>15</v>
      </c>
      <c r="ELC8" s="1181"/>
      <c r="ELD8" s="4" t="s">
        <v>4</v>
      </c>
      <c r="ELE8" s="5" t="s">
        <v>5</v>
      </c>
      <c r="ELF8" s="1181" t="s">
        <v>15</v>
      </c>
      <c r="ELG8" s="1181"/>
      <c r="ELH8" s="5" t="s">
        <v>4</v>
      </c>
      <c r="ELI8" s="5" t="s">
        <v>0</v>
      </c>
      <c r="ELJ8" s="1181" t="s">
        <v>15</v>
      </c>
      <c r="ELK8" s="1181"/>
      <c r="ELL8" s="4" t="s">
        <v>4</v>
      </c>
      <c r="ELM8" s="5" t="s">
        <v>5</v>
      </c>
      <c r="ELN8" s="1181" t="s">
        <v>15</v>
      </c>
      <c r="ELO8" s="1181"/>
      <c r="ELP8" s="5" t="s">
        <v>4</v>
      </c>
      <c r="ELQ8" s="5" t="s">
        <v>0</v>
      </c>
      <c r="ELR8" s="1181" t="s">
        <v>15</v>
      </c>
      <c r="ELS8" s="1181"/>
      <c r="ELT8" s="4" t="s">
        <v>4</v>
      </c>
      <c r="ELU8" s="5" t="s">
        <v>5</v>
      </c>
      <c r="ELV8" s="1181" t="s">
        <v>15</v>
      </c>
      <c r="ELW8" s="1181"/>
      <c r="ELX8" s="5" t="s">
        <v>4</v>
      </c>
      <c r="ELY8" s="5" t="s">
        <v>0</v>
      </c>
      <c r="ELZ8" s="1181" t="s">
        <v>15</v>
      </c>
      <c r="EMA8" s="1181"/>
      <c r="EMB8" s="4" t="s">
        <v>4</v>
      </c>
      <c r="EMC8" s="5" t="s">
        <v>5</v>
      </c>
      <c r="EMD8" s="1181" t="s">
        <v>15</v>
      </c>
      <c r="EME8" s="1181"/>
      <c r="EMF8" s="5" t="s">
        <v>4</v>
      </c>
      <c r="EMG8" s="5" t="s">
        <v>0</v>
      </c>
      <c r="EMH8" s="1181" t="s">
        <v>15</v>
      </c>
      <c r="EMI8" s="1181"/>
      <c r="EMJ8" s="4" t="s">
        <v>4</v>
      </c>
      <c r="EMK8" s="5" t="s">
        <v>5</v>
      </c>
      <c r="EML8" s="1181" t="s">
        <v>15</v>
      </c>
      <c r="EMM8" s="1181"/>
      <c r="EMN8" s="5" t="s">
        <v>4</v>
      </c>
      <c r="EMO8" s="5" t="s">
        <v>0</v>
      </c>
      <c r="EMP8" s="1181" t="s">
        <v>15</v>
      </c>
      <c r="EMQ8" s="1181"/>
      <c r="EMR8" s="4" t="s">
        <v>4</v>
      </c>
      <c r="EMS8" s="5" t="s">
        <v>5</v>
      </c>
      <c r="EMT8" s="1181" t="s">
        <v>15</v>
      </c>
      <c r="EMU8" s="1181"/>
      <c r="EMV8" s="5" t="s">
        <v>4</v>
      </c>
      <c r="EMW8" s="5" t="s">
        <v>0</v>
      </c>
      <c r="EMX8" s="1181" t="s">
        <v>15</v>
      </c>
      <c r="EMY8" s="1181"/>
      <c r="EMZ8" s="4" t="s">
        <v>4</v>
      </c>
      <c r="ENA8" s="5" t="s">
        <v>5</v>
      </c>
      <c r="ENB8" s="1181" t="s">
        <v>15</v>
      </c>
      <c r="ENC8" s="1181"/>
      <c r="END8" s="5" t="s">
        <v>4</v>
      </c>
      <c r="ENE8" s="5" t="s">
        <v>0</v>
      </c>
      <c r="ENF8" s="1181" t="s">
        <v>15</v>
      </c>
      <c r="ENG8" s="1181"/>
      <c r="ENH8" s="4" t="s">
        <v>4</v>
      </c>
      <c r="ENI8" s="5" t="s">
        <v>5</v>
      </c>
      <c r="ENJ8" s="1181" t="s">
        <v>15</v>
      </c>
      <c r="ENK8" s="1181"/>
      <c r="ENL8" s="5" t="s">
        <v>4</v>
      </c>
      <c r="ENM8" s="5" t="s">
        <v>0</v>
      </c>
      <c r="ENN8" s="1181" t="s">
        <v>15</v>
      </c>
      <c r="ENO8" s="1181"/>
      <c r="ENP8" s="4" t="s">
        <v>4</v>
      </c>
      <c r="ENQ8" s="5" t="s">
        <v>5</v>
      </c>
      <c r="ENR8" s="1181" t="s">
        <v>15</v>
      </c>
      <c r="ENS8" s="1181"/>
      <c r="ENT8" s="5" t="s">
        <v>4</v>
      </c>
      <c r="ENU8" s="5" t="s">
        <v>0</v>
      </c>
      <c r="ENV8" s="1181" t="s">
        <v>15</v>
      </c>
      <c r="ENW8" s="1181"/>
      <c r="ENX8" s="4" t="s">
        <v>4</v>
      </c>
      <c r="ENY8" s="5" t="s">
        <v>5</v>
      </c>
      <c r="ENZ8" s="1181" t="s">
        <v>15</v>
      </c>
      <c r="EOA8" s="1181"/>
      <c r="EOB8" s="5" t="s">
        <v>4</v>
      </c>
      <c r="EOC8" s="5" t="s">
        <v>0</v>
      </c>
      <c r="EOD8" s="1181" t="s">
        <v>15</v>
      </c>
      <c r="EOE8" s="1181"/>
      <c r="EOF8" s="4" t="s">
        <v>4</v>
      </c>
      <c r="EOG8" s="5" t="s">
        <v>5</v>
      </c>
      <c r="EOH8" s="1181" t="s">
        <v>15</v>
      </c>
      <c r="EOI8" s="1181"/>
      <c r="EOJ8" s="5" t="s">
        <v>4</v>
      </c>
      <c r="EOK8" s="5" t="s">
        <v>0</v>
      </c>
      <c r="EOL8" s="1181" t="s">
        <v>15</v>
      </c>
      <c r="EOM8" s="1181"/>
      <c r="EON8" s="4" t="s">
        <v>4</v>
      </c>
      <c r="EOO8" s="5" t="s">
        <v>5</v>
      </c>
      <c r="EOP8" s="1181" t="s">
        <v>15</v>
      </c>
      <c r="EOQ8" s="1181"/>
      <c r="EOR8" s="5" t="s">
        <v>4</v>
      </c>
      <c r="EOS8" s="5" t="s">
        <v>0</v>
      </c>
      <c r="EOT8" s="1181" t="s">
        <v>15</v>
      </c>
      <c r="EOU8" s="1181"/>
      <c r="EOV8" s="4" t="s">
        <v>4</v>
      </c>
      <c r="EOW8" s="5" t="s">
        <v>5</v>
      </c>
      <c r="EOX8" s="1181" t="s">
        <v>15</v>
      </c>
      <c r="EOY8" s="1181"/>
      <c r="EOZ8" s="5" t="s">
        <v>4</v>
      </c>
      <c r="EPA8" s="5" t="s">
        <v>0</v>
      </c>
      <c r="EPB8" s="1181" t="s">
        <v>15</v>
      </c>
      <c r="EPC8" s="1181"/>
      <c r="EPD8" s="4" t="s">
        <v>4</v>
      </c>
      <c r="EPE8" s="5" t="s">
        <v>5</v>
      </c>
      <c r="EPF8" s="1181" t="s">
        <v>15</v>
      </c>
      <c r="EPG8" s="1181"/>
      <c r="EPH8" s="5" t="s">
        <v>4</v>
      </c>
      <c r="EPI8" s="5" t="s">
        <v>0</v>
      </c>
      <c r="EPJ8" s="1181" t="s">
        <v>15</v>
      </c>
      <c r="EPK8" s="1181"/>
      <c r="EPL8" s="4" t="s">
        <v>4</v>
      </c>
      <c r="EPM8" s="5" t="s">
        <v>5</v>
      </c>
      <c r="EPN8" s="1181" t="s">
        <v>15</v>
      </c>
      <c r="EPO8" s="1181"/>
      <c r="EPP8" s="5" t="s">
        <v>4</v>
      </c>
      <c r="EPQ8" s="5" t="s">
        <v>0</v>
      </c>
      <c r="EPR8" s="1181" t="s">
        <v>15</v>
      </c>
      <c r="EPS8" s="1181"/>
      <c r="EPT8" s="4" t="s">
        <v>4</v>
      </c>
      <c r="EPU8" s="5" t="s">
        <v>5</v>
      </c>
      <c r="EPV8" s="1181" t="s">
        <v>15</v>
      </c>
      <c r="EPW8" s="1181"/>
      <c r="EPX8" s="5" t="s">
        <v>4</v>
      </c>
      <c r="EPY8" s="5" t="s">
        <v>0</v>
      </c>
      <c r="EPZ8" s="1181" t="s">
        <v>15</v>
      </c>
      <c r="EQA8" s="1181"/>
      <c r="EQB8" s="4" t="s">
        <v>4</v>
      </c>
      <c r="EQC8" s="5" t="s">
        <v>5</v>
      </c>
      <c r="EQD8" s="1181" t="s">
        <v>15</v>
      </c>
      <c r="EQE8" s="1181"/>
      <c r="EQF8" s="5" t="s">
        <v>4</v>
      </c>
      <c r="EQG8" s="5" t="s">
        <v>0</v>
      </c>
      <c r="EQH8" s="1181" t="s">
        <v>15</v>
      </c>
      <c r="EQI8" s="1181"/>
      <c r="EQJ8" s="4" t="s">
        <v>4</v>
      </c>
      <c r="EQK8" s="5" t="s">
        <v>5</v>
      </c>
      <c r="EQL8" s="1181" t="s">
        <v>15</v>
      </c>
      <c r="EQM8" s="1181"/>
      <c r="EQN8" s="5" t="s">
        <v>4</v>
      </c>
      <c r="EQO8" s="5" t="s">
        <v>0</v>
      </c>
      <c r="EQP8" s="1181" t="s">
        <v>15</v>
      </c>
      <c r="EQQ8" s="1181"/>
      <c r="EQR8" s="4" t="s">
        <v>4</v>
      </c>
      <c r="EQS8" s="5" t="s">
        <v>5</v>
      </c>
      <c r="EQT8" s="1181" t="s">
        <v>15</v>
      </c>
      <c r="EQU8" s="1181"/>
      <c r="EQV8" s="5" t="s">
        <v>4</v>
      </c>
      <c r="EQW8" s="5" t="s">
        <v>0</v>
      </c>
      <c r="EQX8" s="1181" t="s">
        <v>15</v>
      </c>
      <c r="EQY8" s="1181"/>
      <c r="EQZ8" s="4" t="s">
        <v>4</v>
      </c>
      <c r="ERA8" s="5" t="s">
        <v>5</v>
      </c>
      <c r="ERB8" s="1181" t="s">
        <v>15</v>
      </c>
      <c r="ERC8" s="1181"/>
      <c r="ERD8" s="5" t="s">
        <v>4</v>
      </c>
      <c r="ERE8" s="5" t="s">
        <v>0</v>
      </c>
      <c r="ERF8" s="1181" t="s">
        <v>15</v>
      </c>
      <c r="ERG8" s="1181"/>
      <c r="ERH8" s="4" t="s">
        <v>4</v>
      </c>
      <c r="ERI8" s="5" t="s">
        <v>5</v>
      </c>
      <c r="ERJ8" s="1181" t="s">
        <v>15</v>
      </c>
      <c r="ERK8" s="1181"/>
      <c r="ERL8" s="5" t="s">
        <v>4</v>
      </c>
      <c r="ERM8" s="5" t="s">
        <v>0</v>
      </c>
      <c r="ERN8" s="1181" t="s">
        <v>15</v>
      </c>
      <c r="ERO8" s="1181"/>
      <c r="ERP8" s="4" t="s">
        <v>4</v>
      </c>
      <c r="ERQ8" s="5" t="s">
        <v>5</v>
      </c>
      <c r="ERR8" s="1181" t="s">
        <v>15</v>
      </c>
      <c r="ERS8" s="1181"/>
      <c r="ERT8" s="5" t="s">
        <v>4</v>
      </c>
      <c r="ERU8" s="5" t="s">
        <v>0</v>
      </c>
      <c r="ERV8" s="1181" t="s">
        <v>15</v>
      </c>
      <c r="ERW8" s="1181"/>
      <c r="ERX8" s="4" t="s">
        <v>4</v>
      </c>
      <c r="ERY8" s="5" t="s">
        <v>5</v>
      </c>
      <c r="ERZ8" s="1181" t="s">
        <v>15</v>
      </c>
      <c r="ESA8" s="1181"/>
      <c r="ESB8" s="5" t="s">
        <v>4</v>
      </c>
      <c r="ESC8" s="5" t="s">
        <v>0</v>
      </c>
      <c r="ESD8" s="1181" t="s">
        <v>15</v>
      </c>
      <c r="ESE8" s="1181"/>
      <c r="ESF8" s="4" t="s">
        <v>4</v>
      </c>
      <c r="ESG8" s="5" t="s">
        <v>5</v>
      </c>
      <c r="ESH8" s="1181" t="s">
        <v>15</v>
      </c>
      <c r="ESI8" s="1181"/>
      <c r="ESJ8" s="5" t="s">
        <v>4</v>
      </c>
      <c r="ESK8" s="5" t="s">
        <v>0</v>
      </c>
      <c r="ESL8" s="1181" t="s">
        <v>15</v>
      </c>
      <c r="ESM8" s="1181"/>
      <c r="ESN8" s="4" t="s">
        <v>4</v>
      </c>
      <c r="ESO8" s="5" t="s">
        <v>5</v>
      </c>
      <c r="ESP8" s="1181" t="s">
        <v>15</v>
      </c>
      <c r="ESQ8" s="1181"/>
      <c r="ESR8" s="5" t="s">
        <v>4</v>
      </c>
      <c r="ESS8" s="5" t="s">
        <v>0</v>
      </c>
      <c r="EST8" s="1181" t="s">
        <v>15</v>
      </c>
      <c r="ESU8" s="1181"/>
      <c r="ESV8" s="4" t="s">
        <v>4</v>
      </c>
      <c r="ESW8" s="5" t="s">
        <v>5</v>
      </c>
      <c r="ESX8" s="1181" t="s">
        <v>15</v>
      </c>
      <c r="ESY8" s="1181"/>
      <c r="ESZ8" s="5" t="s">
        <v>4</v>
      </c>
      <c r="ETA8" s="5" t="s">
        <v>0</v>
      </c>
      <c r="ETB8" s="1181" t="s">
        <v>15</v>
      </c>
      <c r="ETC8" s="1181"/>
      <c r="ETD8" s="4" t="s">
        <v>4</v>
      </c>
      <c r="ETE8" s="5" t="s">
        <v>5</v>
      </c>
      <c r="ETF8" s="1181" t="s">
        <v>15</v>
      </c>
      <c r="ETG8" s="1181"/>
      <c r="ETH8" s="5" t="s">
        <v>4</v>
      </c>
      <c r="ETI8" s="5" t="s">
        <v>0</v>
      </c>
      <c r="ETJ8" s="1181" t="s">
        <v>15</v>
      </c>
      <c r="ETK8" s="1181"/>
      <c r="ETL8" s="4" t="s">
        <v>4</v>
      </c>
      <c r="ETM8" s="5" t="s">
        <v>5</v>
      </c>
      <c r="ETN8" s="1181" t="s">
        <v>15</v>
      </c>
      <c r="ETO8" s="1181"/>
      <c r="ETP8" s="5" t="s">
        <v>4</v>
      </c>
      <c r="ETQ8" s="5" t="s">
        <v>0</v>
      </c>
      <c r="ETR8" s="1181" t="s">
        <v>15</v>
      </c>
      <c r="ETS8" s="1181"/>
      <c r="ETT8" s="4" t="s">
        <v>4</v>
      </c>
      <c r="ETU8" s="5" t="s">
        <v>5</v>
      </c>
      <c r="ETV8" s="1181" t="s">
        <v>15</v>
      </c>
      <c r="ETW8" s="1181"/>
      <c r="ETX8" s="5" t="s">
        <v>4</v>
      </c>
      <c r="ETY8" s="5" t="s">
        <v>0</v>
      </c>
      <c r="ETZ8" s="1181" t="s">
        <v>15</v>
      </c>
      <c r="EUA8" s="1181"/>
      <c r="EUB8" s="4" t="s">
        <v>4</v>
      </c>
      <c r="EUC8" s="5" t="s">
        <v>5</v>
      </c>
      <c r="EUD8" s="1181" t="s">
        <v>15</v>
      </c>
      <c r="EUE8" s="1181"/>
      <c r="EUF8" s="5" t="s">
        <v>4</v>
      </c>
      <c r="EUG8" s="5" t="s">
        <v>0</v>
      </c>
      <c r="EUH8" s="1181" t="s">
        <v>15</v>
      </c>
      <c r="EUI8" s="1181"/>
      <c r="EUJ8" s="4" t="s">
        <v>4</v>
      </c>
      <c r="EUK8" s="5" t="s">
        <v>5</v>
      </c>
      <c r="EUL8" s="1181" t="s">
        <v>15</v>
      </c>
      <c r="EUM8" s="1181"/>
      <c r="EUN8" s="5" t="s">
        <v>4</v>
      </c>
      <c r="EUO8" s="5" t="s">
        <v>0</v>
      </c>
      <c r="EUP8" s="1181" t="s">
        <v>15</v>
      </c>
      <c r="EUQ8" s="1181"/>
      <c r="EUR8" s="4" t="s">
        <v>4</v>
      </c>
      <c r="EUS8" s="5" t="s">
        <v>5</v>
      </c>
      <c r="EUT8" s="1181" t="s">
        <v>15</v>
      </c>
      <c r="EUU8" s="1181"/>
      <c r="EUV8" s="5" t="s">
        <v>4</v>
      </c>
      <c r="EUW8" s="5" t="s">
        <v>0</v>
      </c>
      <c r="EUX8" s="1181" t="s">
        <v>15</v>
      </c>
      <c r="EUY8" s="1181"/>
      <c r="EUZ8" s="4" t="s">
        <v>4</v>
      </c>
      <c r="EVA8" s="5" t="s">
        <v>5</v>
      </c>
      <c r="EVB8" s="1181" t="s">
        <v>15</v>
      </c>
      <c r="EVC8" s="1181"/>
      <c r="EVD8" s="5" t="s">
        <v>4</v>
      </c>
      <c r="EVE8" s="5" t="s">
        <v>0</v>
      </c>
      <c r="EVF8" s="1181" t="s">
        <v>15</v>
      </c>
      <c r="EVG8" s="1181"/>
      <c r="EVH8" s="4" t="s">
        <v>4</v>
      </c>
      <c r="EVI8" s="5" t="s">
        <v>5</v>
      </c>
      <c r="EVJ8" s="1181" t="s">
        <v>15</v>
      </c>
      <c r="EVK8" s="1181"/>
      <c r="EVL8" s="5" t="s">
        <v>4</v>
      </c>
      <c r="EVM8" s="5" t="s">
        <v>0</v>
      </c>
      <c r="EVN8" s="1181" t="s">
        <v>15</v>
      </c>
      <c r="EVO8" s="1181"/>
      <c r="EVP8" s="4" t="s">
        <v>4</v>
      </c>
      <c r="EVQ8" s="5" t="s">
        <v>5</v>
      </c>
      <c r="EVR8" s="1181" t="s">
        <v>15</v>
      </c>
      <c r="EVS8" s="1181"/>
      <c r="EVT8" s="5" t="s">
        <v>4</v>
      </c>
      <c r="EVU8" s="5" t="s">
        <v>0</v>
      </c>
      <c r="EVV8" s="1181" t="s">
        <v>15</v>
      </c>
      <c r="EVW8" s="1181"/>
      <c r="EVX8" s="4" t="s">
        <v>4</v>
      </c>
      <c r="EVY8" s="5" t="s">
        <v>5</v>
      </c>
      <c r="EVZ8" s="1181" t="s">
        <v>15</v>
      </c>
      <c r="EWA8" s="1181"/>
      <c r="EWB8" s="5" t="s">
        <v>4</v>
      </c>
      <c r="EWC8" s="5" t="s">
        <v>0</v>
      </c>
      <c r="EWD8" s="1181" t="s">
        <v>15</v>
      </c>
      <c r="EWE8" s="1181"/>
      <c r="EWF8" s="4" t="s">
        <v>4</v>
      </c>
      <c r="EWG8" s="5" t="s">
        <v>5</v>
      </c>
      <c r="EWH8" s="1181" t="s">
        <v>15</v>
      </c>
      <c r="EWI8" s="1181"/>
      <c r="EWJ8" s="5" t="s">
        <v>4</v>
      </c>
      <c r="EWK8" s="5" t="s">
        <v>0</v>
      </c>
      <c r="EWL8" s="1181" t="s">
        <v>15</v>
      </c>
      <c r="EWM8" s="1181"/>
      <c r="EWN8" s="4" t="s">
        <v>4</v>
      </c>
      <c r="EWO8" s="5" t="s">
        <v>5</v>
      </c>
      <c r="EWP8" s="1181" t="s">
        <v>15</v>
      </c>
      <c r="EWQ8" s="1181"/>
      <c r="EWR8" s="5" t="s">
        <v>4</v>
      </c>
      <c r="EWS8" s="5" t="s">
        <v>0</v>
      </c>
      <c r="EWT8" s="1181" t="s">
        <v>15</v>
      </c>
      <c r="EWU8" s="1181"/>
      <c r="EWV8" s="4" t="s">
        <v>4</v>
      </c>
      <c r="EWW8" s="5" t="s">
        <v>5</v>
      </c>
      <c r="EWX8" s="1181" t="s">
        <v>15</v>
      </c>
      <c r="EWY8" s="1181"/>
      <c r="EWZ8" s="5" t="s">
        <v>4</v>
      </c>
      <c r="EXA8" s="5" t="s">
        <v>0</v>
      </c>
      <c r="EXB8" s="1181" t="s">
        <v>15</v>
      </c>
      <c r="EXC8" s="1181"/>
      <c r="EXD8" s="4" t="s">
        <v>4</v>
      </c>
      <c r="EXE8" s="5" t="s">
        <v>5</v>
      </c>
      <c r="EXF8" s="1181" t="s">
        <v>15</v>
      </c>
      <c r="EXG8" s="1181"/>
      <c r="EXH8" s="5" t="s">
        <v>4</v>
      </c>
      <c r="EXI8" s="5" t="s">
        <v>0</v>
      </c>
      <c r="EXJ8" s="1181" t="s">
        <v>15</v>
      </c>
      <c r="EXK8" s="1181"/>
      <c r="EXL8" s="4" t="s">
        <v>4</v>
      </c>
      <c r="EXM8" s="5" t="s">
        <v>5</v>
      </c>
      <c r="EXN8" s="1181" t="s">
        <v>15</v>
      </c>
      <c r="EXO8" s="1181"/>
      <c r="EXP8" s="5" t="s">
        <v>4</v>
      </c>
      <c r="EXQ8" s="5" t="s">
        <v>0</v>
      </c>
      <c r="EXR8" s="1181" t="s">
        <v>15</v>
      </c>
      <c r="EXS8" s="1181"/>
      <c r="EXT8" s="4" t="s">
        <v>4</v>
      </c>
      <c r="EXU8" s="5" t="s">
        <v>5</v>
      </c>
      <c r="EXV8" s="1181" t="s">
        <v>15</v>
      </c>
      <c r="EXW8" s="1181"/>
      <c r="EXX8" s="5" t="s">
        <v>4</v>
      </c>
      <c r="EXY8" s="5" t="s">
        <v>0</v>
      </c>
      <c r="EXZ8" s="1181" t="s">
        <v>15</v>
      </c>
      <c r="EYA8" s="1181"/>
      <c r="EYB8" s="4" t="s">
        <v>4</v>
      </c>
      <c r="EYC8" s="5" t="s">
        <v>5</v>
      </c>
      <c r="EYD8" s="1181" t="s">
        <v>15</v>
      </c>
      <c r="EYE8" s="1181"/>
      <c r="EYF8" s="5" t="s">
        <v>4</v>
      </c>
      <c r="EYG8" s="5" t="s">
        <v>0</v>
      </c>
      <c r="EYH8" s="1181" t="s">
        <v>15</v>
      </c>
      <c r="EYI8" s="1181"/>
      <c r="EYJ8" s="4" t="s">
        <v>4</v>
      </c>
      <c r="EYK8" s="5" t="s">
        <v>5</v>
      </c>
      <c r="EYL8" s="1181" t="s">
        <v>15</v>
      </c>
      <c r="EYM8" s="1181"/>
      <c r="EYN8" s="5" t="s">
        <v>4</v>
      </c>
      <c r="EYO8" s="5" t="s">
        <v>0</v>
      </c>
      <c r="EYP8" s="1181" t="s">
        <v>15</v>
      </c>
      <c r="EYQ8" s="1181"/>
      <c r="EYR8" s="4" t="s">
        <v>4</v>
      </c>
      <c r="EYS8" s="5" t="s">
        <v>5</v>
      </c>
      <c r="EYT8" s="1181" t="s">
        <v>15</v>
      </c>
      <c r="EYU8" s="1181"/>
      <c r="EYV8" s="5" t="s">
        <v>4</v>
      </c>
      <c r="EYW8" s="5" t="s">
        <v>0</v>
      </c>
      <c r="EYX8" s="1181" t="s">
        <v>15</v>
      </c>
      <c r="EYY8" s="1181"/>
      <c r="EYZ8" s="4" t="s">
        <v>4</v>
      </c>
      <c r="EZA8" s="5" t="s">
        <v>5</v>
      </c>
      <c r="EZB8" s="1181" t="s">
        <v>15</v>
      </c>
      <c r="EZC8" s="1181"/>
      <c r="EZD8" s="5" t="s">
        <v>4</v>
      </c>
      <c r="EZE8" s="5" t="s">
        <v>0</v>
      </c>
      <c r="EZF8" s="1181" t="s">
        <v>15</v>
      </c>
      <c r="EZG8" s="1181"/>
      <c r="EZH8" s="4" t="s">
        <v>4</v>
      </c>
      <c r="EZI8" s="5" t="s">
        <v>5</v>
      </c>
      <c r="EZJ8" s="1181" t="s">
        <v>15</v>
      </c>
      <c r="EZK8" s="1181"/>
      <c r="EZL8" s="5" t="s">
        <v>4</v>
      </c>
      <c r="EZM8" s="5" t="s">
        <v>0</v>
      </c>
      <c r="EZN8" s="1181" t="s">
        <v>15</v>
      </c>
      <c r="EZO8" s="1181"/>
      <c r="EZP8" s="4" t="s">
        <v>4</v>
      </c>
      <c r="EZQ8" s="5" t="s">
        <v>5</v>
      </c>
      <c r="EZR8" s="1181" t="s">
        <v>15</v>
      </c>
      <c r="EZS8" s="1181"/>
      <c r="EZT8" s="5" t="s">
        <v>4</v>
      </c>
      <c r="EZU8" s="5" t="s">
        <v>0</v>
      </c>
      <c r="EZV8" s="1181" t="s">
        <v>15</v>
      </c>
      <c r="EZW8" s="1181"/>
      <c r="EZX8" s="4" t="s">
        <v>4</v>
      </c>
      <c r="EZY8" s="5" t="s">
        <v>5</v>
      </c>
      <c r="EZZ8" s="1181" t="s">
        <v>15</v>
      </c>
      <c r="FAA8" s="1181"/>
      <c r="FAB8" s="5" t="s">
        <v>4</v>
      </c>
      <c r="FAC8" s="5" t="s">
        <v>0</v>
      </c>
      <c r="FAD8" s="1181" t="s">
        <v>15</v>
      </c>
      <c r="FAE8" s="1181"/>
      <c r="FAF8" s="4" t="s">
        <v>4</v>
      </c>
      <c r="FAG8" s="5" t="s">
        <v>5</v>
      </c>
      <c r="FAH8" s="1181" t="s">
        <v>15</v>
      </c>
      <c r="FAI8" s="1181"/>
      <c r="FAJ8" s="5" t="s">
        <v>4</v>
      </c>
      <c r="FAK8" s="5" t="s">
        <v>0</v>
      </c>
      <c r="FAL8" s="1181" t="s">
        <v>15</v>
      </c>
      <c r="FAM8" s="1181"/>
      <c r="FAN8" s="4" t="s">
        <v>4</v>
      </c>
      <c r="FAO8" s="5" t="s">
        <v>5</v>
      </c>
      <c r="FAP8" s="1181" t="s">
        <v>15</v>
      </c>
      <c r="FAQ8" s="1181"/>
      <c r="FAR8" s="5" t="s">
        <v>4</v>
      </c>
      <c r="FAS8" s="5" t="s">
        <v>0</v>
      </c>
      <c r="FAT8" s="1181" t="s">
        <v>15</v>
      </c>
      <c r="FAU8" s="1181"/>
      <c r="FAV8" s="4" t="s">
        <v>4</v>
      </c>
      <c r="FAW8" s="5" t="s">
        <v>5</v>
      </c>
      <c r="FAX8" s="1181" t="s">
        <v>15</v>
      </c>
      <c r="FAY8" s="1181"/>
      <c r="FAZ8" s="5" t="s">
        <v>4</v>
      </c>
      <c r="FBA8" s="5" t="s">
        <v>0</v>
      </c>
      <c r="FBB8" s="1181" t="s">
        <v>15</v>
      </c>
      <c r="FBC8" s="1181"/>
      <c r="FBD8" s="4" t="s">
        <v>4</v>
      </c>
      <c r="FBE8" s="5" t="s">
        <v>5</v>
      </c>
      <c r="FBF8" s="1181" t="s">
        <v>15</v>
      </c>
      <c r="FBG8" s="1181"/>
      <c r="FBH8" s="5" t="s">
        <v>4</v>
      </c>
      <c r="FBI8" s="5" t="s">
        <v>0</v>
      </c>
      <c r="FBJ8" s="1181" t="s">
        <v>15</v>
      </c>
      <c r="FBK8" s="1181"/>
      <c r="FBL8" s="4" t="s">
        <v>4</v>
      </c>
      <c r="FBM8" s="5" t="s">
        <v>5</v>
      </c>
      <c r="FBN8" s="1181" t="s">
        <v>15</v>
      </c>
      <c r="FBO8" s="1181"/>
      <c r="FBP8" s="5" t="s">
        <v>4</v>
      </c>
      <c r="FBQ8" s="5" t="s">
        <v>0</v>
      </c>
      <c r="FBR8" s="1181" t="s">
        <v>15</v>
      </c>
      <c r="FBS8" s="1181"/>
      <c r="FBT8" s="4" t="s">
        <v>4</v>
      </c>
      <c r="FBU8" s="5" t="s">
        <v>5</v>
      </c>
      <c r="FBV8" s="1181" t="s">
        <v>15</v>
      </c>
      <c r="FBW8" s="1181"/>
      <c r="FBX8" s="5" t="s">
        <v>4</v>
      </c>
      <c r="FBY8" s="5" t="s">
        <v>0</v>
      </c>
      <c r="FBZ8" s="1181" t="s">
        <v>15</v>
      </c>
      <c r="FCA8" s="1181"/>
      <c r="FCB8" s="4" t="s">
        <v>4</v>
      </c>
      <c r="FCC8" s="5" t="s">
        <v>5</v>
      </c>
      <c r="FCD8" s="1181" t="s">
        <v>15</v>
      </c>
      <c r="FCE8" s="1181"/>
      <c r="FCF8" s="5" t="s">
        <v>4</v>
      </c>
      <c r="FCG8" s="5" t="s">
        <v>0</v>
      </c>
      <c r="FCH8" s="1181" t="s">
        <v>15</v>
      </c>
      <c r="FCI8" s="1181"/>
      <c r="FCJ8" s="4" t="s">
        <v>4</v>
      </c>
      <c r="FCK8" s="5" t="s">
        <v>5</v>
      </c>
      <c r="FCL8" s="1181" t="s">
        <v>15</v>
      </c>
      <c r="FCM8" s="1181"/>
      <c r="FCN8" s="5" t="s">
        <v>4</v>
      </c>
      <c r="FCO8" s="5" t="s">
        <v>0</v>
      </c>
      <c r="FCP8" s="1181" t="s">
        <v>15</v>
      </c>
      <c r="FCQ8" s="1181"/>
      <c r="FCR8" s="4" t="s">
        <v>4</v>
      </c>
      <c r="FCS8" s="5" t="s">
        <v>5</v>
      </c>
      <c r="FCT8" s="1181" t="s">
        <v>15</v>
      </c>
      <c r="FCU8" s="1181"/>
      <c r="FCV8" s="5" t="s">
        <v>4</v>
      </c>
      <c r="FCW8" s="5" t="s">
        <v>0</v>
      </c>
      <c r="FCX8" s="1181" t="s">
        <v>15</v>
      </c>
      <c r="FCY8" s="1181"/>
      <c r="FCZ8" s="4" t="s">
        <v>4</v>
      </c>
      <c r="FDA8" s="5" t="s">
        <v>5</v>
      </c>
      <c r="FDB8" s="1181" t="s">
        <v>15</v>
      </c>
      <c r="FDC8" s="1181"/>
      <c r="FDD8" s="5" t="s">
        <v>4</v>
      </c>
      <c r="FDE8" s="5" t="s">
        <v>0</v>
      </c>
      <c r="FDF8" s="1181" t="s">
        <v>15</v>
      </c>
      <c r="FDG8" s="1181"/>
      <c r="FDH8" s="4" t="s">
        <v>4</v>
      </c>
      <c r="FDI8" s="5" t="s">
        <v>5</v>
      </c>
      <c r="FDJ8" s="1181" t="s">
        <v>15</v>
      </c>
      <c r="FDK8" s="1181"/>
      <c r="FDL8" s="5" t="s">
        <v>4</v>
      </c>
      <c r="FDM8" s="5" t="s">
        <v>0</v>
      </c>
      <c r="FDN8" s="1181" t="s">
        <v>15</v>
      </c>
      <c r="FDO8" s="1181"/>
      <c r="FDP8" s="4" t="s">
        <v>4</v>
      </c>
      <c r="FDQ8" s="5" t="s">
        <v>5</v>
      </c>
      <c r="FDR8" s="1181" t="s">
        <v>15</v>
      </c>
      <c r="FDS8" s="1181"/>
      <c r="FDT8" s="5" t="s">
        <v>4</v>
      </c>
      <c r="FDU8" s="5" t="s">
        <v>0</v>
      </c>
      <c r="FDV8" s="1181" t="s">
        <v>15</v>
      </c>
      <c r="FDW8" s="1181"/>
      <c r="FDX8" s="4" t="s">
        <v>4</v>
      </c>
      <c r="FDY8" s="5" t="s">
        <v>5</v>
      </c>
      <c r="FDZ8" s="1181" t="s">
        <v>15</v>
      </c>
      <c r="FEA8" s="1181"/>
      <c r="FEB8" s="5" t="s">
        <v>4</v>
      </c>
      <c r="FEC8" s="5" t="s">
        <v>0</v>
      </c>
      <c r="FED8" s="1181" t="s">
        <v>15</v>
      </c>
      <c r="FEE8" s="1181"/>
      <c r="FEF8" s="4" t="s">
        <v>4</v>
      </c>
      <c r="FEG8" s="5" t="s">
        <v>5</v>
      </c>
      <c r="FEH8" s="1181" t="s">
        <v>15</v>
      </c>
      <c r="FEI8" s="1181"/>
      <c r="FEJ8" s="5" t="s">
        <v>4</v>
      </c>
      <c r="FEK8" s="5" t="s">
        <v>0</v>
      </c>
      <c r="FEL8" s="1181" t="s">
        <v>15</v>
      </c>
      <c r="FEM8" s="1181"/>
      <c r="FEN8" s="4" t="s">
        <v>4</v>
      </c>
      <c r="FEO8" s="5" t="s">
        <v>5</v>
      </c>
      <c r="FEP8" s="1181" t="s">
        <v>15</v>
      </c>
      <c r="FEQ8" s="1181"/>
      <c r="FER8" s="5" t="s">
        <v>4</v>
      </c>
      <c r="FES8" s="5" t="s">
        <v>0</v>
      </c>
      <c r="FET8" s="1181" t="s">
        <v>15</v>
      </c>
      <c r="FEU8" s="1181"/>
      <c r="FEV8" s="4" t="s">
        <v>4</v>
      </c>
      <c r="FEW8" s="5" t="s">
        <v>5</v>
      </c>
      <c r="FEX8" s="1181" t="s">
        <v>15</v>
      </c>
      <c r="FEY8" s="1181"/>
      <c r="FEZ8" s="5" t="s">
        <v>4</v>
      </c>
      <c r="FFA8" s="5" t="s">
        <v>0</v>
      </c>
      <c r="FFB8" s="1181" t="s">
        <v>15</v>
      </c>
      <c r="FFC8" s="1181"/>
      <c r="FFD8" s="4" t="s">
        <v>4</v>
      </c>
      <c r="FFE8" s="5" t="s">
        <v>5</v>
      </c>
      <c r="FFF8" s="1181" t="s">
        <v>15</v>
      </c>
      <c r="FFG8" s="1181"/>
      <c r="FFH8" s="5" t="s">
        <v>4</v>
      </c>
      <c r="FFI8" s="5" t="s">
        <v>0</v>
      </c>
      <c r="FFJ8" s="1181" t="s">
        <v>15</v>
      </c>
      <c r="FFK8" s="1181"/>
      <c r="FFL8" s="4" t="s">
        <v>4</v>
      </c>
      <c r="FFM8" s="5" t="s">
        <v>5</v>
      </c>
      <c r="FFN8" s="1181" t="s">
        <v>15</v>
      </c>
      <c r="FFO8" s="1181"/>
      <c r="FFP8" s="5" t="s">
        <v>4</v>
      </c>
      <c r="FFQ8" s="5" t="s">
        <v>0</v>
      </c>
      <c r="FFR8" s="1181" t="s">
        <v>15</v>
      </c>
      <c r="FFS8" s="1181"/>
      <c r="FFT8" s="4" t="s">
        <v>4</v>
      </c>
      <c r="FFU8" s="5" t="s">
        <v>5</v>
      </c>
      <c r="FFV8" s="1181" t="s">
        <v>15</v>
      </c>
      <c r="FFW8" s="1181"/>
      <c r="FFX8" s="5" t="s">
        <v>4</v>
      </c>
      <c r="FFY8" s="5" t="s">
        <v>0</v>
      </c>
      <c r="FFZ8" s="1181" t="s">
        <v>15</v>
      </c>
      <c r="FGA8" s="1181"/>
      <c r="FGB8" s="4" t="s">
        <v>4</v>
      </c>
      <c r="FGC8" s="5" t="s">
        <v>5</v>
      </c>
      <c r="FGD8" s="1181" t="s">
        <v>15</v>
      </c>
      <c r="FGE8" s="1181"/>
      <c r="FGF8" s="5" t="s">
        <v>4</v>
      </c>
      <c r="FGG8" s="5" t="s">
        <v>0</v>
      </c>
      <c r="FGH8" s="1181" t="s">
        <v>15</v>
      </c>
      <c r="FGI8" s="1181"/>
      <c r="FGJ8" s="4" t="s">
        <v>4</v>
      </c>
      <c r="FGK8" s="5" t="s">
        <v>5</v>
      </c>
      <c r="FGL8" s="1181" t="s">
        <v>15</v>
      </c>
      <c r="FGM8" s="1181"/>
      <c r="FGN8" s="5" t="s">
        <v>4</v>
      </c>
      <c r="FGO8" s="5" t="s">
        <v>0</v>
      </c>
      <c r="FGP8" s="1181" t="s">
        <v>15</v>
      </c>
      <c r="FGQ8" s="1181"/>
      <c r="FGR8" s="4" t="s">
        <v>4</v>
      </c>
      <c r="FGS8" s="5" t="s">
        <v>5</v>
      </c>
      <c r="FGT8" s="1181" t="s">
        <v>15</v>
      </c>
      <c r="FGU8" s="1181"/>
      <c r="FGV8" s="5" t="s">
        <v>4</v>
      </c>
      <c r="FGW8" s="5" t="s">
        <v>0</v>
      </c>
      <c r="FGX8" s="1181" t="s">
        <v>15</v>
      </c>
      <c r="FGY8" s="1181"/>
      <c r="FGZ8" s="4" t="s">
        <v>4</v>
      </c>
      <c r="FHA8" s="5" t="s">
        <v>5</v>
      </c>
      <c r="FHB8" s="1181" t="s">
        <v>15</v>
      </c>
      <c r="FHC8" s="1181"/>
      <c r="FHD8" s="5" t="s">
        <v>4</v>
      </c>
      <c r="FHE8" s="5" t="s">
        <v>0</v>
      </c>
      <c r="FHF8" s="1181" t="s">
        <v>15</v>
      </c>
      <c r="FHG8" s="1181"/>
      <c r="FHH8" s="4" t="s">
        <v>4</v>
      </c>
      <c r="FHI8" s="5" t="s">
        <v>5</v>
      </c>
      <c r="FHJ8" s="1181" t="s">
        <v>15</v>
      </c>
      <c r="FHK8" s="1181"/>
      <c r="FHL8" s="5" t="s">
        <v>4</v>
      </c>
      <c r="FHM8" s="5" t="s">
        <v>0</v>
      </c>
      <c r="FHN8" s="1181" t="s">
        <v>15</v>
      </c>
      <c r="FHO8" s="1181"/>
      <c r="FHP8" s="4" t="s">
        <v>4</v>
      </c>
      <c r="FHQ8" s="5" t="s">
        <v>5</v>
      </c>
      <c r="FHR8" s="1181" t="s">
        <v>15</v>
      </c>
      <c r="FHS8" s="1181"/>
      <c r="FHT8" s="5" t="s">
        <v>4</v>
      </c>
      <c r="FHU8" s="5" t="s">
        <v>0</v>
      </c>
      <c r="FHV8" s="1181" t="s">
        <v>15</v>
      </c>
      <c r="FHW8" s="1181"/>
      <c r="FHX8" s="4" t="s">
        <v>4</v>
      </c>
      <c r="FHY8" s="5" t="s">
        <v>5</v>
      </c>
      <c r="FHZ8" s="1181" t="s">
        <v>15</v>
      </c>
      <c r="FIA8" s="1181"/>
      <c r="FIB8" s="5" t="s">
        <v>4</v>
      </c>
      <c r="FIC8" s="5" t="s">
        <v>0</v>
      </c>
      <c r="FID8" s="1181" t="s">
        <v>15</v>
      </c>
      <c r="FIE8" s="1181"/>
      <c r="FIF8" s="4" t="s">
        <v>4</v>
      </c>
      <c r="FIG8" s="5" t="s">
        <v>5</v>
      </c>
      <c r="FIH8" s="1181" t="s">
        <v>15</v>
      </c>
      <c r="FII8" s="1181"/>
      <c r="FIJ8" s="5" t="s">
        <v>4</v>
      </c>
      <c r="FIK8" s="5" t="s">
        <v>0</v>
      </c>
      <c r="FIL8" s="1181" t="s">
        <v>15</v>
      </c>
      <c r="FIM8" s="1181"/>
      <c r="FIN8" s="4" t="s">
        <v>4</v>
      </c>
      <c r="FIO8" s="5" t="s">
        <v>5</v>
      </c>
      <c r="FIP8" s="1181" t="s">
        <v>15</v>
      </c>
      <c r="FIQ8" s="1181"/>
      <c r="FIR8" s="5" t="s">
        <v>4</v>
      </c>
      <c r="FIS8" s="5" t="s">
        <v>0</v>
      </c>
      <c r="FIT8" s="1181" t="s">
        <v>15</v>
      </c>
      <c r="FIU8" s="1181"/>
      <c r="FIV8" s="4" t="s">
        <v>4</v>
      </c>
      <c r="FIW8" s="5" t="s">
        <v>5</v>
      </c>
      <c r="FIX8" s="1181" t="s">
        <v>15</v>
      </c>
      <c r="FIY8" s="1181"/>
      <c r="FIZ8" s="5" t="s">
        <v>4</v>
      </c>
      <c r="FJA8" s="5" t="s">
        <v>0</v>
      </c>
      <c r="FJB8" s="1181" t="s">
        <v>15</v>
      </c>
      <c r="FJC8" s="1181"/>
      <c r="FJD8" s="4" t="s">
        <v>4</v>
      </c>
      <c r="FJE8" s="5" t="s">
        <v>5</v>
      </c>
      <c r="FJF8" s="1181" t="s">
        <v>15</v>
      </c>
      <c r="FJG8" s="1181"/>
      <c r="FJH8" s="5" t="s">
        <v>4</v>
      </c>
      <c r="FJI8" s="5" t="s">
        <v>0</v>
      </c>
      <c r="FJJ8" s="1181" t="s">
        <v>15</v>
      </c>
      <c r="FJK8" s="1181"/>
      <c r="FJL8" s="4" t="s">
        <v>4</v>
      </c>
      <c r="FJM8" s="5" t="s">
        <v>5</v>
      </c>
      <c r="FJN8" s="1181" t="s">
        <v>15</v>
      </c>
      <c r="FJO8" s="1181"/>
      <c r="FJP8" s="5" t="s">
        <v>4</v>
      </c>
      <c r="FJQ8" s="5" t="s">
        <v>0</v>
      </c>
      <c r="FJR8" s="1181" t="s">
        <v>15</v>
      </c>
      <c r="FJS8" s="1181"/>
      <c r="FJT8" s="4" t="s">
        <v>4</v>
      </c>
      <c r="FJU8" s="5" t="s">
        <v>5</v>
      </c>
      <c r="FJV8" s="1181" t="s">
        <v>15</v>
      </c>
      <c r="FJW8" s="1181"/>
      <c r="FJX8" s="5" t="s">
        <v>4</v>
      </c>
      <c r="FJY8" s="5" t="s">
        <v>0</v>
      </c>
      <c r="FJZ8" s="1181" t="s">
        <v>15</v>
      </c>
      <c r="FKA8" s="1181"/>
      <c r="FKB8" s="4" t="s">
        <v>4</v>
      </c>
      <c r="FKC8" s="5" t="s">
        <v>5</v>
      </c>
      <c r="FKD8" s="1181" t="s">
        <v>15</v>
      </c>
      <c r="FKE8" s="1181"/>
      <c r="FKF8" s="5" t="s">
        <v>4</v>
      </c>
      <c r="FKG8" s="5" t="s">
        <v>0</v>
      </c>
      <c r="FKH8" s="1181" t="s">
        <v>15</v>
      </c>
      <c r="FKI8" s="1181"/>
      <c r="FKJ8" s="4" t="s">
        <v>4</v>
      </c>
      <c r="FKK8" s="5" t="s">
        <v>5</v>
      </c>
      <c r="FKL8" s="1181" t="s">
        <v>15</v>
      </c>
      <c r="FKM8" s="1181"/>
      <c r="FKN8" s="5" t="s">
        <v>4</v>
      </c>
      <c r="FKO8" s="5" t="s">
        <v>0</v>
      </c>
      <c r="FKP8" s="1181" t="s">
        <v>15</v>
      </c>
      <c r="FKQ8" s="1181"/>
      <c r="FKR8" s="4" t="s">
        <v>4</v>
      </c>
      <c r="FKS8" s="5" t="s">
        <v>5</v>
      </c>
      <c r="FKT8" s="1181" t="s">
        <v>15</v>
      </c>
      <c r="FKU8" s="1181"/>
      <c r="FKV8" s="5" t="s">
        <v>4</v>
      </c>
      <c r="FKW8" s="5" t="s">
        <v>0</v>
      </c>
      <c r="FKX8" s="1181" t="s">
        <v>15</v>
      </c>
      <c r="FKY8" s="1181"/>
      <c r="FKZ8" s="4" t="s">
        <v>4</v>
      </c>
      <c r="FLA8" s="5" t="s">
        <v>5</v>
      </c>
      <c r="FLB8" s="1181" t="s">
        <v>15</v>
      </c>
      <c r="FLC8" s="1181"/>
      <c r="FLD8" s="5" t="s">
        <v>4</v>
      </c>
      <c r="FLE8" s="5" t="s">
        <v>0</v>
      </c>
      <c r="FLF8" s="1181" t="s">
        <v>15</v>
      </c>
      <c r="FLG8" s="1181"/>
      <c r="FLH8" s="4" t="s">
        <v>4</v>
      </c>
      <c r="FLI8" s="5" t="s">
        <v>5</v>
      </c>
      <c r="FLJ8" s="1181" t="s">
        <v>15</v>
      </c>
      <c r="FLK8" s="1181"/>
      <c r="FLL8" s="5" t="s">
        <v>4</v>
      </c>
      <c r="FLM8" s="5" t="s">
        <v>0</v>
      </c>
      <c r="FLN8" s="1181" t="s">
        <v>15</v>
      </c>
      <c r="FLO8" s="1181"/>
      <c r="FLP8" s="4" t="s">
        <v>4</v>
      </c>
      <c r="FLQ8" s="5" t="s">
        <v>5</v>
      </c>
      <c r="FLR8" s="1181" t="s">
        <v>15</v>
      </c>
      <c r="FLS8" s="1181"/>
      <c r="FLT8" s="5" t="s">
        <v>4</v>
      </c>
      <c r="FLU8" s="5" t="s">
        <v>0</v>
      </c>
      <c r="FLV8" s="1181" t="s">
        <v>15</v>
      </c>
      <c r="FLW8" s="1181"/>
      <c r="FLX8" s="4" t="s">
        <v>4</v>
      </c>
      <c r="FLY8" s="5" t="s">
        <v>5</v>
      </c>
      <c r="FLZ8" s="1181" t="s">
        <v>15</v>
      </c>
      <c r="FMA8" s="1181"/>
      <c r="FMB8" s="5" t="s">
        <v>4</v>
      </c>
      <c r="FMC8" s="5" t="s">
        <v>0</v>
      </c>
      <c r="FMD8" s="1181" t="s">
        <v>15</v>
      </c>
      <c r="FME8" s="1181"/>
      <c r="FMF8" s="4" t="s">
        <v>4</v>
      </c>
      <c r="FMG8" s="5" t="s">
        <v>5</v>
      </c>
      <c r="FMH8" s="1181" t="s">
        <v>15</v>
      </c>
      <c r="FMI8" s="1181"/>
      <c r="FMJ8" s="5" t="s">
        <v>4</v>
      </c>
      <c r="FMK8" s="5" t="s">
        <v>0</v>
      </c>
      <c r="FML8" s="1181" t="s">
        <v>15</v>
      </c>
      <c r="FMM8" s="1181"/>
      <c r="FMN8" s="4" t="s">
        <v>4</v>
      </c>
      <c r="FMO8" s="5" t="s">
        <v>5</v>
      </c>
      <c r="FMP8" s="1181" t="s">
        <v>15</v>
      </c>
      <c r="FMQ8" s="1181"/>
      <c r="FMR8" s="5" t="s">
        <v>4</v>
      </c>
      <c r="FMS8" s="5" t="s">
        <v>0</v>
      </c>
      <c r="FMT8" s="1181" t="s">
        <v>15</v>
      </c>
      <c r="FMU8" s="1181"/>
      <c r="FMV8" s="4" t="s">
        <v>4</v>
      </c>
      <c r="FMW8" s="5" t="s">
        <v>5</v>
      </c>
      <c r="FMX8" s="1181" t="s">
        <v>15</v>
      </c>
      <c r="FMY8" s="1181"/>
      <c r="FMZ8" s="5" t="s">
        <v>4</v>
      </c>
      <c r="FNA8" s="5" t="s">
        <v>0</v>
      </c>
      <c r="FNB8" s="1181" t="s">
        <v>15</v>
      </c>
      <c r="FNC8" s="1181"/>
      <c r="FND8" s="4" t="s">
        <v>4</v>
      </c>
      <c r="FNE8" s="5" t="s">
        <v>5</v>
      </c>
      <c r="FNF8" s="1181" t="s">
        <v>15</v>
      </c>
      <c r="FNG8" s="1181"/>
      <c r="FNH8" s="5" t="s">
        <v>4</v>
      </c>
      <c r="FNI8" s="5" t="s">
        <v>0</v>
      </c>
      <c r="FNJ8" s="1181" t="s">
        <v>15</v>
      </c>
      <c r="FNK8" s="1181"/>
      <c r="FNL8" s="4" t="s">
        <v>4</v>
      </c>
      <c r="FNM8" s="5" t="s">
        <v>5</v>
      </c>
      <c r="FNN8" s="1181" t="s">
        <v>15</v>
      </c>
      <c r="FNO8" s="1181"/>
      <c r="FNP8" s="5" t="s">
        <v>4</v>
      </c>
      <c r="FNQ8" s="5" t="s">
        <v>0</v>
      </c>
      <c r="FNR8" s="1181" t="s">
        <v>15</v>
      </c>
      <c r="FNS8" s="1181"/>
      <c r="FNT8" s="4" t="s">
        <v>4</v>
      </c>
      <c r="FNU8" s="5" t="s">
        <v>5</v>
      </c>
      <c r="FNV8" s="1181" t="s">
        <v>15</v>
      </c>
      <c r="FNW8" s="1181"/>
      <c r="FNX8" s="5" t="s">
        <v>4</v>
      </c>
      <c r="FNY8" s="5" t="s">
        <v>0</v>
      </c>
      <c r="FNZ8" s="1181" t="s">
        <v>15</v>
      </c>
      <c r="FOA8" s="1181"/>
      <c r="FOB8" s="4" t="s">
        <v>4</v>
      </c>
      <c r="FOC8" s="5" t="s">
        <v>5</v>
      </c>
      <c r="FOD8" s="1181" t="s">
        <v>15</v>
      </c>
      <c r="FOE8" s="1181"/>
      <c r="FOF8" s="5" t="s">
        <v>4</v>
      </c>
      <c r="FOG8" s="5" t="s">
        <v>0</v>
      </c>
      <c r="FOH8" s="1181" t="s">
        <v>15</v>
      </c>
      <c r="FOI8" s="1181"/>
      <c r="FOJ8" s="4" t="s">
        <v>4</v>
      </c>
      <c r="FOK8" s="5" t="s">
        <v>5</v>
      </c>
      <c r="FOL8" s="1181" t="s">
        <v>15</v>
      </c>
      <c r="FOM8" s="1181"/>
      <c r="FON8" s="5" t="s">
        <v>4</v>
      </c>
      <c r="FOO8" s="5" t="s">
        <v>0</v>
      </c>
      <c r="FOP8" s="1181" t="s">
        <v>15</v>
      </c>
      <c r="FOQ8" s="1181"/>
      <c r="FOR8" s="4" t="s">
        <v>4</v>
      </c>
      <c r="FOS8" s="5" t="s">
        <v>5</v>
      </c>
      <c r="FOT8" s="1181" t="s">
        <v>15</v>
      </c>
      <c r="FOU8" s="1181"/>
      <c r="FOV8" s="5" t="s">
        <v>4</v>
      </c>
      <c r="FOW8" s="5" t="s">
        <v>0</v>
      </c>
      <c r="FOX8" s="1181" t="s">
        <v>15</v>
      </c>
      <c r="FOY8" s="1181"/>
      <c r="FOZ8" s="4" t="s">
        <v>4</v>
      </c>
      <c r="FPA8" s="5" t="s">
        <v>5</v>
      </c>
      <c r="FPB8" s="1181" t="s">
        <v>15</v>
      </c>
      <c r="FPC8" s="1181"/>
      <c r="FPD8" s="5" t="s">
        <v>4</v>
      </c>
      <c r="FPE8" s="5" t="s">
        <v>0</v>
      </c>
      <c r="FPF8" s="1181" t="s">
        <v>15</v>
      </c>
      <c r="FPG8" s="1181"/>
      <c r="FPH8" s="4" t="s">
        <v>4</v>
      </c>
      <c r="FPI8" s="5" t="s">
        <v>5</v>
      </c>
      <c r="FPJ8" s="1181" t="s">
        <v>15</v>
      </c>
      <c r="FPK8" s="1181"/>
      <c r="FPL8" s="5" t="s">
        <v>4</v>
      </c>
      <c r="FPM8" s="5" t="s">
        <v>0</v>
      </c>
      <c r="FPN8" s="1181" t="s">
        <v>15</v>
      </c>
      <c r="FPO8" s="1181"/>
      <c r="FPP8" s="4" t="s">
        <v>4</v>
      </c>
      <c r="FPQ8" s="5" t="s">
        <v>5</v>
      </c>
      <c r="FPR8" s="1181" t="s">
        <v>15</v>
      </c>
      <c r="FPS8" s="1181"/>
      <c r="FPT8" s="5" t="s">
        <v>4</v>
      </c>
      <c r="FPU8" s="5" t="s">
        <v>0</v>
      </c>
      <c r="FPV8" s="1181" t="s">
        <v>15</v>
      </c>
      <c r="FPW8" s="1181"/>
      <c r="FPX8" s="4" t="s">
        <v>4</v>
      </c>
      <c r="FPY8" s="5" t="s">
        <v>5</v>
      </c>
      <c r="FPZ8" s="1181" t="s">
        <v>15</v>
      </c>
      <c r="FQA8" s="1181"/>
      <c r="FQB8" s="5" t="s">
        <v>4</v>
      </c>
      <c r="FQC8" s="5" t="s">
        <v>0</v>
      </c>
      <c r="FQD8" s="1181" t="s">
        <v>15</v>
      </c>
      <c r="FQE8" s="1181"/>
      <c r="FQF8" s="4" t="s">
        <v>4</v>
      </c>
      <c r="FQG8" s="5" t="s">
        <v>5</v>
      </c>
      <c r="FQH8" s="1181" t="s">
        <v>15</v>
      </c>
      <c r="FQI8" s="1181"/>
      <c r="FQJ8" s="5" t="s">
        <v>4</v>
      </c>
      <c r="FQK8" s="5" t="s">
        <v>0</v>
      </c>
      <c r="FQL8" s="1181" t="s">
        <v>15</v>
      </c>
      <c r="FQM8" s="1181"/>
      <c r="FQN8" s="4" t="s">
        <v>4</v>
      </c>
      <c r="FQO8" s="5" t="s">
        <v>5</v>
      </c>
      <c r="FQP8" s="1181" t="s">
        <v>15</v>
      </c>
      <c r="FQQ8" s="1181"/>
      <c r="FQR8" s="5" t="s">
        <v>4</v>
      </c>
      <c r="FQS8" s="5" t="s">
        <v>0</v>
      </c>
      <c r="FQT8" s="1181" t="s">
        <v>15</v>
      </c>
      <c r="FQU8" s="1181"/>
      <c r="FQV8" s="4" t="s">
        <v>4</v>
      </c>
      <c r="FQW8" s="5" t="s">
        <v>5</v>
      </c>
      <c r="FQX8" s="1181" t="s">
        <v>15</v>
      </c>
      <c r="FQY8" s="1181"/>
      <c r="FQZ8" s="5" t="s">
        <v>4</v>
      </c>
      <c r="FRA8" s="5" t="s">
        <v>0</v>
      </c>
      <c r="FRB8" s="1181" t="s">
        <v>15</v>
      </c>
      <c r="FRC8" s="1181"/>
      <c r="FRD8" s="4" t="s">
        <v>4</v>
      </c>
      <c r="FRE8" s="5" t="s">
        <v>5</v>
      </c>
      <c r="FRF8" s="1181" t="s">
        <v>15</v>
      </c>
      <c r="FRG8" s="1181"/>
      <c r="FRH8" s="5" t="s">
        <v>4</v>
      </c>
      <c r="FRI8" s="5" t="s">
        <v>0</v>
      </c>
      <c r="FRJ8" s="1181" t="s">
        <v>15</v>
      </c>
      <c r="FRK8" s="1181"/>
      <c r="FRL8" s="4" t="s">
        <v>4</v>
      </c>
      <c r="FRM8" s="5" t="s">
        <v>5</v>
      </c>
      <c r="FRN8" s="1181" t="s">
        <v>15</v>
      </c>
      <c r="FRO8" s="1181"/>
      <c r="FRP8" s="5" t="s">
        <v>4</v>
      </c>
      <c r="FRQ8" s="5" t="s">
        <v>0</v>
      </c>
      <c r="FRR8" s="1181" t="s">
        <v>15</v>
      </c>
      <c r="FRS8" s="1181"/>
      <c r="FRT8" s="4" t="s">
        <v>4</v>
      </c>
      <c r="FRU8" s="5" t="s">
        <v>5</v>
      </c>
      <c r="FRV8" s="1181" t="s">
        <v>15</v>
      </c>
      <c r="FRW8" s="1181"/>
      <c r="FRX8" s="5" t="s">
        <v>4</v>
      </c>
      <c r="FRY8" s="5" t="s">
        <v>0</v>
      </c>
      <c r="FRZ8" s="1181" t="s">
        <v>15</v>
      </c>
      <c r="FSA8" s="1181"/>
      <c r="FSB8" s="4" t="s">
        <v>4</v>
      </c>
      <c r="FSC8" s="5" t="s">
        <v>5</v>
      </c>
      <c r="FSD8" s="1181" t="s">
        <v>15</v>
      </c>
      <c r="FSE8" s="1181"/>
      <c r="FSF8" s="5" t="s">
        <v>4</v>
      </c>
      <c r="FSG8" s="5" t="s">
        <v>0</v>
      </c>
      <c r="FSH8" s="1181" t="s">
        <v>15</v>
      </c>
      <c r="FSI8" s="1181"/>
      <c r="FSJ8" s="4" t="s">
        <v>4</v>
      </c>
      <c r="FSK8" s="5" t="s">
        <v>5</v>
      </c>
      <c r="FSL8" s="1181" t="s">
        <v>15</v>
      </c>
      <c r="FSM8" s="1181"/>
      <c r="FSN8" s="5" t="s">
        <v>4</v>
      </c>
      <c r="FSO8" s="5" t="s">
        <v>0</v>
      </c>
      <c r="FSP8" s="1181" t="s">
        <v>15</v>
      </c>
      <c r="FSQ8" s="1181"/>
      <c r="FSR8" s="4" t="s">
        <v>4</v>
      </c>
      <c r="FSS8" s="5" t="s">
        <v>5</v>
      </c>
      <c r="FST8" s="1181" t="s">
        <v>15</v>
      </c>
      <c r="FSU8" s="1181"/>
      <c r="FSV8" s="5" t="s">
        <v>4</v>
      </c>
      <c r="FSW8" s="5" t="s">
        <v>0</v>
      </c>
      <c r="FSX8" s="1181" t="s">
        <v>15</v>
      </c>
      <c r="FSY8" s="1181"/>
      <c r="FSZ8" s="4" t="s">
        <v>4</v>
      </c>
      <c r="FTA8" s="5" t="s">
        <v>5</v>
      </c>
      <c r="FTB8" s="1181" t="s">
        <v>15</v>
      </c>
      <c r="FTC8" s="1181"/>
      <c r="FTD8" s="5" t="s">
        <v>4</v>
      </c>
      <c r="FTE8" s="5" t="s">
        <v>0</v>
      </c>
      <c r="FTF8" s="1181" t="s">
        <v>15</v>
      </c>
      <c r="FTG8" s="1181"/>
      <c r="FTH8" s="4" t="s">
        <v>4</v>
      </c>
      <c r="FTI8" s="5" t="s">
        <v>5</v>
      </c>
      <c r="FTJ8" s="1181" t="s">
        <v>15</v>
      </c>
      <c r="FTK8" s="1181"/>
      <c r="FTL8" s="5" t="s">
        <v>4</v>
      </c>
      <c r="FTM8" s="5" t="s">
        <v>0</v>
      </c>
      <c r="FTN8" s="1181" t="s">
        <v>15</v>
      </c>
      <c r="FTO8" s="1181"/>
      <c r="FTP8" s="4" t="s">
        <v>4</v>
      </c>
      <c r="FTQ8" s="5" t="s">
        <v>5</v>
      </c>
      <c r="FTR8" s="1181" t="s">
        <v>15</v>
      </c>
      <c r="FTS8" s="1181"/>
      <c r="FTT8" s="5" t="s">
        <v>4</v>
      </c>
      <c r="FTU8" s="5" t="s">
        <v>0</v>
      </c>
      <c r="FTV8" s="1181" t="s">
        <v>15</v>
      </c>
      <c r="FTW8" s="1181"/>
      <c r="FTX8" s="4" t="s">
        <v>4</v>
      </c>
      <c r="FTY8" s="5" t="s">
        <v>5</v>
      </c>
      <c r="FTZ8" s="1181" t="s">
        <v>15</v>
      </c>
      <c r="FUA8" s="1181"/>
      <c r="FUB8" s="5" t="s">
        <v>4</v>
      </c>
      <c r="FUC8" s="5" t="s">
        <v>0</v>
      </c>
      <c r="FUD8" s="1181" t="s">
        <v>15</v>
      </c>
      <c r="FUE8" s="1181"/>
      <c r="FUF8" s="4" t="s">
        <v>4</v>
      </c>
      <c r="FUG8" s="5" t="s">
        <v>5</v>
      </c>
      <c r="FUH8" s="1181" t="s">
        <v>15</v>
      </c>
      <c r="FUI8" s="1181"/>
      <c r="FUJ8" s="5" t="s">
        <v>4</v>
      </c>
      <c r="FUK8" s="5" t="s">
        <v>0</v>
      </c>
      <c r="FUL8" s="1181" t="s">
        <v>15</v>
      </c>
      <c r="FUM8" s="1181"/>
      <c r="FUN8" s="4" t="s">
        <v>4</v>
      </c>
      <c r="FUO8" s="5" t="s">
        <v>5</v>
      </c>
      <c r="FUP8" s="1181" t="s">
        <v>15</v>
      </c>
      <c r="FUQ8" s="1181"/>
      <c r="FUR8" s="5" t="s">
        <v>4</v>
      </c>
      <c r="FUS8" s="5" t="s">
        <v>0</v>
      </c>
      <c r="FUT8" s="1181" t="s">
        <v>15</v>
      </c>
      <c r="FUU8" s="1181"/>
      <c r="FUV8" s="4" t="s">
        <v>4</v>
      </c>
      <c r="FUW8" s="5" t="s">
        <v>5</v>
      </c>
      <c r="FUX8" s="1181" t="s">
        <v>15</v>
      </c>
      <c r="FUY8" s="1181"/>
      <c r="FUZ8" s="5" t="s">
        <v>4</v>
      </c>
      <c r="FVA8" s="5" t="s">
        <v>0</v>
      </c>
      <c r="FVB8" s="1181" t="s">
        <v>15</v>
      </c>
      <c r="FVC8" s="1181"/>
      <c r="FVD8" s="4" t="s">
        <v>4</v>
      </c>
      <c r="FVE8" s="5" t="s">
        <v>5</v>
      </c>
      <c r="FVF8" s="1181" t="s">
        <v>15</v>
      </c>
      <c r="FVG8" s="1181"/>
      <c r="FVH8" s="5" t="s">
        <v>4</v>
      </c>
      <c r="FVI8" s="5" t="s">
        <v>0</v>
      </c>
      <c r="FVJ8" s="1181" t="s">
        <v>15</v>
      </c>
      <c r="FVK8" s="1181"/>
      <c r="FVL8" s="4" t="s">
        <v>4</v>
      </c>
      <c r="FVM8" s="5" t="s">
        <v>5</v>
      </c>
      <c r="FVN8" s="1181" t="s">
        <v>15</v>
      </c>
      <c r="FVO8" s="1181"/>
      <c r="FVP8" s="5" t="s">
        <v>4</v>
      </c>
      <c r="FVQ8" s="5" t="s">
        <v>0</v>
      </c>
      <c r="FVR8" s="1181" t="s">
        <v>15</v>
      </c>
      <c r="FVS8" s="1181"/>
      <c r="FVT8" s="4" t="s">
        <v>4</v>
      </c>
      <c r="FVU8" s="5" t="s">
        <v>5</v>
      </c>
      <c r="FVV8" s="1181" t="s">
        <v>15</v>
      </c>
      <c r="FVW8" s="1181"/>
      <c r="FVX8" s="5" t="s">
        <v>4</v>
      </c>
      <c r="FVY8" s="5" t="s">
        <v>0</v>
      </c>
      <c r="FVZ8" s="1181" t="s">
        <v>15</v>
      </c>
      <c r="FWA8" s="1181"/>
      <c r="FWB8" s="4" t="s">
        <v>4</v>
      </c>
      <c r="FWC8" s="5" t="s">
        <v>5</v>
      </c>
      <c r="FWD8" s="1181" t="s">
        <v>15</v>
      </c>
      <c r="FWE8" s="1181"/>
      <c r="FWF8" s="5" t="s">
        <v>4</v>
      </c>
      <c r="FWG8" s="5" t="s">
        <v>0</v>
      </c>
      <c r="FWH8" s="1181" t="s">
        <v>15</v>
      </c>
      <c r="FWI8" s="1181"/>
      <c r="FWJ8" s="4" t="s">
        <v>4</v>
      </c>
      <c r="FWK8" s="5" t="s">
        <v>5</v>
      </c>
      <c r="FWL8" s="1181" t="s">
        <v>15</v>
      </c>
      <c r="FWM8" s="1181"/>
      <c r="FWN8" s="5" t="s">
        <v>4</v>
      </c>
      <c r="FWO8" s="5" t="s">
        <v>0</v>
      </c>
      <c r="FWP8" s="1181" t="s">
        <v>15</v>
      </c>
      <c r="FWQ8" s="1181"/>
      <c r="FWR8" s="4" t="s">
        <v>4</v>
      </c>
      <c r="FWS8" s="5" t="s">
        <v>5</v>
      </c>
      <c r="FWT8" s="1181" t="s">
        <v>15</v>
      </c>
      <c r="FWU8" s="1181"/>
      <c r="FWV8" s="5" t="s">
        <v>4</v>
      </c>
      <c r="FWW8" s="5" t="s">
        <v>0</v>
      </c>
      <c r="FWX8" s="1181" t="s">
        <v>15</v>
      </c>
      <c r="FWY8" s="1181"/>
      <c r="FWZ8" s="4" t="s">
        <v>4</v>
      </c>
      <c r="FXA8" s="5" t="s">
        <v>5</v>
      </c>
      <c r="FXB8" s="1181" t="s">
        <v>15</v>
      </c>
      <c r="FXC8" s="1181"/>
      <c r="FXD8" s="5" t="s">
        <v>4</v>
      </c>
      <c r="FXE8" s="5" t="s">
        <v>0</v>
      </c>
      <c r="FXF8" s="1181" t="s">
        <v>15</v>
      </c>
      <c r="FXG8" s="1181"/>
      <c r="FXH8" s="4" t="s">
        <v>4</v>
      </c>
      <c r="FXI8" s="5" t="s">
        <v>5</v>
      </c>
      <c r="FXJ8" s="1181" t="s">
        <v>15</v>
      </c>
      <c r="FXK8" s="1181"/>
      <c r="FXL8" s="5" t="s">
        <v>4</v>
      </c>
      <c r="FXM8" s="5" t="s">
        <v>0</v>
      </c>
      <c r="FXN8" s="1181" t="s">
        <v>15</v>
      </c>
      <c r="FXO8" s="1181"/>
      <c r="FXP8" s="4" t="s">
        <v>4</v>
      </c>
      <c r="FXQ8" s="5" t="s">
        <v>5</v>
      </c>
      <c r="FXR8" s="1181" t="s">
        <v>15</v>
      </c>
      <c r="FXS8" s="1181"/>
      <c r="FXT8" s="5" t="s">
        <v>4</v>
      </c>
      <c r="FXU8" s="5" t="s">
        <v>0</v>
      </c>
      <c r="FXV8" s="1181" t="s">
        <v>15</v>
      </c>
      <c r="FXW8" s="1181"/>
      <c r="FXX8" s="4" t="s">
        <v>4</v>
      </c>
      <c r="FXY8" s="5" t="s">
        <v>5</v>
      </c>
      <c r="FXZ8" s="1181" t="s">
        <v>15</v>
      </c>
      <c r="FYA8" s="1181"/>
      <c r="FYB8" s="5" t="s">
        <v>4</v>
      </c>
      <c r="FYC8" s="5" t="s">
        <v>0</v>
      </c>
      <c r="FYD8" s="1181" t="s">
        <v>15</v>
      </c>
      <c r="FYE8" s="1181"/>
      <c r="FYF8" s="4" t="s">
        <v>4</v>
      </c>
      <c r="FYG8" s="5" t="s">
        <v>5</v>
      </c>
      <c r="FYH8" s="1181" t="s">
        <v>15</v>
      </c>
      <c r="FYI8" s="1181"/>
      <c r="FYJ8" s="5" t="s">
        <v>4</v>
      </c>
      <c r="FYK8" s="5" t="s">
        <v>0</v>
      </c>
      <c r="FYL8" s="1181" t="s">
        <v>15</v>
      </c>
      <c r="FYM8" s="1181"/>
      <c r="FYN8" s="4" t="s">
        <v>4</v>
      </c>
      <c r="FYO8" s="5" t="s">
        <v>5</v>
      </c>
      <c r="FYP8" s="1181" t="s">
        <v>15</v>
      </c>
      <c r="FYQ8" s="1181"/>
      <c r="FYR8" s="5" t="s">
        <v>4</v>
      </c>
      <c r="FYS8" s="5" t="s">
        <v>0</v>
      </c>
      <c r="FYT8" s="1181" t="s">
        <v>15</v>
      </c>
      <c r="FYU8" s="1181"/>
      <c r="FYV8" s="4" t="s">
        <v>4</v>
      </c>
      <c r="FYW8" s="5" t="s">
        <v>5</v>
      </c>
      <c r="FYX8" s="1181" t="s">
        <v>15</v>
      </c>
      <c r="FYY8" s="1181"/>
      <c r="FYZ8" s="5" t="s">
        <v>4</v>
      </c>
      <c r="FZA8" s="5" t="s">
        <v>0</v>
      </c>
      <c r="FZB8" s="1181" t="s">
        <v>15</v>
      </c>
      <c r="FZC8" s="1181"/>
      <c r="FZD8" s="4" t="s">
        <v>4</v>
      </c>
      <c r="FZE8" s="5" t="s">
        <v>5</v>
      </c>
      <c r="FZF8" s="1181" t="s">
        <v>15</v>
      </c>
      <c r="FZG8" s="1181"/>
      <c r="FZH8" s="5" t="s">
        <v>4</v>
      </c>
      <c r="FZI8" s="5" t="s">
        <v>0</v>
      </c>
      <c r="FZJ8" s="1181" t="s">
        <v>15</v>
      </c>
      <c r="FZK8" s="1181"/>
      <c r="FZL8" s="4" t="s">
        <v>4</v>
      </c>
      <c r="FZM8" s="5" t="s">
        <v>5</v>
      </c>
      <c r="FZN8" s="1181" t="s">
        <v>15</v>
      </c>
      <c r="FZO8" s="1181"/>
      <c r="FZP8" s="5" t="s">
        <v>4</v>
      </c>
      <c r="FZQ8" s="5" t="s">
        <v>0</v>
      </c>
      <c r="FZR8" s="1181" t="s">
        <v>15</v>
      </c>
      <c r="FZS8" s="1181"/>
      <c r="FZT8" s="4" t="s">
        <v>4</v>
      </c>
      <c r="FZU8" s="5" t="s">
        <v>5</v>
      </c>
      <c r="FZV8" s="1181" t="s">
        <v>15</v>
      </c>
      <c r="FZW8" s="1181"/>
      <c r="FZX8" s="5" t="s">
        <v>4</v>
      </c>
      <c r="FZY8" s="5" t="s">
        <v>0</v>
      </c>
      <c r="FZZ8" s="1181" t="s">
        <v>15</v>
      </c>
      <c r="GAA8" s="1181"/>
      <c r="GAB8" s="4" t="s">
        <v>4</v>
      </c>
      <c r="GAC8" s="5" t="s">
        <v>5</v>
      </c>
      <c r="GAD8" s="1181" t="s">
        <v>15</v>
      </c>
      <c r="GAE8" s="1181"/>
      <c r="GAF8" s="5" t="s">
        <v>4</v>
      </c>
      <c r="GAG8" s="5" t="s">
        <v>0</v>
      </c>
      <c r="GAH8" s="1181" t="s">
        <v>15</v>
      </c>
      <c r="GAI8" s="1181"/>
      <c r="GAJ8" s="4" t="s">
        <v>4</v>
      </c>
      <c r="GAK8" s="5" t="s">
        <v>5</v>
      </c>
      <c r="GAL8" s="1181" t="s">
        <v>15</v>
      </c>
      <c r="GAM8" s="1181"/>
      <c r="GAN8" s="5" t="s">
        <v>4</v>
      </c>
      <c r="GAO8" s="5" t="s">
        <v>0</v>
      </c>
      <c r="GAP8" s="1181" t="s">
        <v>15</v>
      </c>
      <c r="GAQ8" s="1181"/>
      <c r="GAR8" s="4" t="s">
        <v>4</v>
      </c>
      <c r="GAS8" s="5" t="s">
        <v>5</v>
      </c>
      <c r="GAT8" s="1181" t="s">
        <v>15</v>
      </c>
      <c r="GAU8" s="1181"/>
      <c r="GAV8" s="5" t="s">
        <v>4</v>
      </c>
      <c r="GAW8" s="5" t="s">
        <v>0</v>
      </c>
      <c r="GAX8" s="1181" t="s">
        <v>15</v>
      </c>
      <c r="GAY8" s="1181"/>
      <c r="GAZ8" s="4" t="s">
        <v>4</v>
      </c>
      <c r="GBA8" s="5" t="s">
        <v>5</v>
      </c>
      <c r="GBB8" s="1181" t="s">
        <v>15</v>
      </c>
      <c r="GBC8" s="1181"/>
      <c r="GBD8" s="5" t="s">
        <v>4</v>
      </c>
      <c r="GBE8" s="5" t="s">
        <v>0</v>
      </c>
      <c r="GBF8" s="1181" t="s">
        <v>15</v>
      </c>
      <c r="GBG8" s="1181"/>
      <c r="GBH8" s="4" t="s">
        <v>4</v>
      </c>
      <c r="GBI8" s="5" t="s">
        <v>5</v>
      </c>
      <c r="GBJ8" s="1181" t="s">
        <v>15</v>
      </c>
      <c r="GBK8" s="1181"/>
      <c r="GBL8" s="5" t="s">
        <v>4</v>
      </c>
      <c r="GBM8" s="5" t="s">
        <v>0</v>
      </c>
      <c r="GBN8" s="1181" t="s">
        <v>15</v>
      </c>
      <c r="GBO8" s="1181"/>
      <c r="GBP8" s="4" t="s">
        <v>4</v>
      </c>
      <c r="GBQ8" s="5" t="s">
        <v>5</v>
      </c>
      <c r="GBR8" s="1181" t="s">
        <v>15</v>
      </c>
      <c r="GBS8" s="1181"/>
      <c r="GBT8" s="5" t="s">
        <v>4</v>
      </c>
      <c r="GBU8" s="5" t="s">
        <v>0</v>
      </c>
      <c r="GBV8" s="1181" t="s">
        <v>15</v>
      </c>
      <c r="GBW8" s="1181"/>
      <c r="GBX8" s="4" t="s">
        <v>4</v>
      </c>
      <c r="GBY8" s="5" t="s">
        <v>5</v>
      </c>
      <c r="GBZ8" s="1181" t="s">
        <v>15</v>
      </c>
      <c r="GCA8" s="1181"/>
      <c r="GCB8" s="5" t="s">
        <v>4</v>
      </c>
      <c r="GCC8" s="5" t="s">
        <v>0</v>
      </c>
      <c r="GCD8" s="1181" t="s">
        <v>15</v>
      </c>
      <c r="GCE8" s="1181"/>
      <c r="GCF8" s="4" t="s">
        <v>4</v>
      </c>
      <c r="GCG8" s="5" t="s">
        <v>5</v>
      </c>
      <c r="GCH8" s="1181" t="s">
        <v>15</v>
      </c>
      <c r="GCI8" s="1181"/>
      <c r="GCJ8" s="5" t="s">
        <v>4</v>
      </c>
      <c r="GCK8" s="5" t="s">
        <v>0</v>
      </c>
      <c r="GCL8" s="1181" t="s">
        <v>15</v>
      </c>
      <c r="GCM8" s="1181"/>
      <c r="GCN8" s="4" t="s">
        <v>4</v>
      </c>
      <c r="GCO8" s="5" t="s">
        <v>5</v>
      </c>
      <c r="GCP8" s="1181" t="s">
        <v>15</v>
      </c>
      <c r="GCQ8" s="1181"/>
      <c r="GCR8" s="5" t="s">
        <v>4</v>
      </c>
      <c r="GCS8" s="5" t="s">
        <v>0</v>
      </c>
      <c r="GCT8" s="1181" t="s">
        <v>15</v>
      </c>
      <c r="GCU8" s="1181"/>
      <c r="GCV8" s="4" t="s">
        <v>4</v>
      </c>
      <c r="GCW8" s="5" t="s">
        <v>5</v>
      </c>
      <c r="GCX8" s="1181" t="s">
        <v>15</v>
      </c>
      <c r="GCY8" s="1181"/>
      <c r="GCZ8" s="5" t="s">
        <v>4</v>
      </c>
      <c r="GDA8" s="5" t="s">
        <v>0</v>
      </c>
      <c r="GDB8" s="1181" t="s">
        <v>15</v>
      </c>
      <c r="GDC8" s="1181"/>
      <c r="GDD8" s="4" t="s">
        <v>4</v>
      </c>
      <c r="GDE8" s="5" t="s">
        <v>5</v>
      </c>
      <c r="GDF8" s="1181" t="s">
        <v>15</v>
      </c>
      <c r="GDG8" s="1181"/>
      <c r="GDH8" s="5" t="s">
        <v>4</v>
      </c>
      <c r="GDI8" s="5" t="s">
        <v>0</v>
      </c>
      <c r="GDJ8" s="1181" t="s">
        <v>15</v>
      </c>
      <c r="GDK8" s="1181"/>
      <c r="GDL8" s="4" t="s">
        <v>4</v>
      </c>
      <c r="GDM8" s="5" t="s">
        <v>5</v>
      </c>
      <c r="GDN8" s="1181" t="s">
        <v>15</v>
      </c>
      <c r="GDO8" s="1181"/>
      <c r="GDP8" s="5" t="s">
        <v>4</v>
      </c>
      <c r="GDQ8" s="5" t="s">
        <v>0</v>
      </c>
      <c r="GDR8" s="1181" t="s">
        <v>15</v>
      </c>
      <c r="GDS8" s="1181"/>
      <c r="GDT8" s="4" t="s">
        <v>4</v>
      </c>
      <c r="GDU8" s="5" t="s">
        <v>5</v>
      </c>
      <c r="GDV8" s="1181" t="s">
        <v>15</v>
      </c>
      <c r="GDW8" s="1181"/>
      <c r="GDX8" s="5" t="s">
        <v>4</v>
      </c>
      <c r="GDY8" s="5" t="s">
        <v>0</v>
      </c>
      <c r="GDZ8" s="1181" t="s">
        <v>15</v>
      </c>
      <c r="GEA8" s="1181"/>
      <c r="GEB8" s="4" t="s">
        <v>4</v>
      </c>
      <c r="GEC8" s="5" t="s">
        <v>5</v>
      </c>
      <c r="GED8" s="1181" t="s">
        <v>15</v>
      </c>
      <c r="GEE8" s="1181"/>
      <c r="GEF8" s="5" t="s">
        <v>4</v>
      </c>
      <c r="GEG8" s="5" t="s">
        <v>0</v>
      </c>
      <c r="GEH8" s="1181" t="s">
        <v>15</v>
      </c>
      <c r="GEI8" s="1181"/>
      <c r="GEJ8" s="4" t="s">
        <v>4</v>
      </c>
      <c r="GEK8" s="5" t="s">
        <v>5</v>
      </c>
      <c r="GEL8" s="1181" t="s">
        <v>15</v>
      </c>
      <c r="GEM8" s="1181"/>
      <c r="GEN8" s="5" t="s">
        <v>4</v>
      </c>
      <c r="GEO8" s="5" t="s">
        <v>0</v>
      </c>
      <c r="GEP8" s="1181" t="s">
        <v>15</v>
      </c>
      <c r="GEQ8" s="1181"/>
      <c r="GER8" s="4" t="s">
        <v>4</v>
      </c>
      <c r="GES8" s="5" t="s">
        <v>5</v>
      </c>
      <c r="GET8" s="1181" t="s">
        <v>15</v>
      </c>
      <c r="GEU8" s="1181"/>
      <c r="GEV8" s="5" t="s">
        <v>4</v>
      </c>
      <c r="GEW8" s="5" t="s">
        <v>0</v>
      </c>
      <c r="GEX8" s="1181" t="s">
        <v>15</v>
      </c>
      <c r="GEY8" s="1181"/>
      <c r="GEZ8" s="4" t="s">
        <v>4</v>
      </c>
      <c r="GFA8" s="5" t="s">
        <v>5</v>
      </c>
      <c r="GFB8" s="1181" t="s">
        <v>15</v>
      </c>
      <c r="GFC8" s="1181"/>
      <c r="GFD8" s="5" t="s">
        <v>4</v>
      </c>
      <c r="GFE8" s="5" t="s">
        <v>0</v>
      </c>
      <c r="GFF8" s="1181" t="s">
        <v>15</v>
      </c>
      <c r="GFG8" s="1181"/>
      <c r="GFH8" s="4" t="s">
        <v>4</v>
      </c>
      <c r="GFI8" s="5" t="s">
        <v>5</v>
      </c>
      <c r="GFJ8" s="1181" t="s">
        <v>15</v>
      </c>
      <c r="GFK8" s="1181"/>
      <c r="GFL8" s="5" t="s">
        <v>4</v>
      </c>
      <c r="GFM8" s="5" t="s">
        <v>0</v>
      </c>
      <c r="GFN8" s="1181" t="s">
        <v>15</v>
      </c>
      <c r="GFO8" s="1181"/>
      <c r="GFP8" s="4" t="s">
        <v>4</v>
      </c>
      <c r="GFQ8" s="5" t="s">
        <v>5</v>
      </c>
      <c r="GFR8" s="1181" t="s">
        <v>15</v>
      </c>
      <c r="GFS8" s="1181"/>
      <c r="GFT8" s="5" t="s">
        <v>4</v>
      </c>
      <c r="GFU8" s="5" t="s">
        <v>0</v>
      </c>
      <c r="GFV8" s="1181" t="s">
        <v>15</v>
      </c>
      <c r="GFW8" s="1181"/>
      <c r="GFX8" s="4" t="s">
        <v>4</v>
      </c>
      <c r="GFY8" s="5" t="s">
        <v>5</v>
      </c>
      <c r="GFZ8" s="1181" t="s">
        <v>15</v>
      </c>
      <c r="GGA8" s="1181"/>
      <c r="GGB8" s="5" t="s">
        <v>4</v>
      </c>
      <c r="GGC8" s="5" t="s">
        <v>0</v>
      </c>
      <c r="GGD8" s="1181" t="s">
        <v>15</v>
      </c>
      <c r="GGE8" s="1181"/>
      <c r="GGF8" s="4" t="s">
        <v>4</v>
      </c>
      <c r="GGG8" s="5" t="s">
        <v>5</v>
      </c>
      <c r="GGH8" s="1181" t="s">
        <v>15</v>
      </c>
      <c r="GGI8" s="1181"/>
      <c r="GGJ8" s="5" t="s">
        <v>4</v>
      </c>
      <c r="GGK8" s="5" t="s">
        <v>0</v>
      </c>
      <c r="GGL8" s="1181" t="s">
        <v>15</v>
      </c>
      <c r="GGM8" s="1181"/>
      <c r="GGN8" s="4" t="s">
        <v>4</v>
      </c>
      <c r="GGO8" s="5" t="s">
        <v>5</v>
      </c>
      <c r="GGP8" s="1181" t="s">
        <v>15</v>
      </c>
      <c r="GGQ8" s="1181"/>
      <c r="GGR8" s="5" t="s">
        <v>4</v>
      </c>
      <c r="GGS8" s="5" t="s">
        <v>0</v>
      </c>
      <c r="GGT8" s="1181" t="s">
        <v>15</v>
      </c>
      <c r="GGU8" s="1181"/>
      <c r="GGV8" s="4" t="s">
        <v>4</v>
      </c>
      <c r="GGW8" s="5" t="s">
        <v>5</v>
      </c>
      <c r="GGX8" s="1181" t="s">
        <v>15</v>
      </c>
      <c r="GGY8" s="1181"/>
      <c r="GGZ8" s="5" t="s">
        <v>4</v>
      </c>
      <c r="GHA8" s="5" t="s">
        <v>0</v>
      </c>
      <c r="GHB8" s="1181" t="s">
        <v>15</v>
      </c>
      <c r="GHC8" s="1181"/>
      <c r="GHD8" s="4" t="s">
        <v>4</v>
      </c>
      <c r="GHE8" s="5" t="s">
        <v>5</v>
      </c>
      <c r="GHF8" s="1181" t="s">
        <v>15</v>
      </c>
      <c r="GHG8" s="1181"/>
      <c r="GHH8" s="5" t="s">
        <v>4</v>
      </c>
      <c r="GHI8" s="5" t="s">
        <v>0</v>
      </c>
      <c r="GHJ8" s="1181" t="s">
        <v>15</v>
      </c>
      <c r="GHK8" s="1181"/>
      <c r="GHL8" s="4" t="s">
        <v>4</v>
      </c>
      <c r="GHM8" s="5" t="s">
        <v>5</v>
      </c>
      <c r="GHN8" s="1181" t="s">
        <v>15</v>
      </c>
      <c r="GHO8" s="1181"/>
      <c r="GHP8" s="5" t="s">
        <v>4</v>
      </c>
      <c r="GHQ8" s="5" t="s">
        <v>0</v>
      </c>
      <c r="GHR8" s="1181" t="s">
        <v>15</v>
      </c>
      <c r="GHS8" s="1181"/>
      <c r="GHT8" s="4" t="s">
        <v>4</v>
      </c>
      <c r="GHU8" s="5" t="s">
        <v>5</v>
      </c>
      <c r="GHV8" s="1181" t="s">
        <v>15</v>
      </c>
      <c r="GHW8" s="1181"/>
      <c r="GHX8" s="5" t="s">
        <v>4</v>
      </c>
      <c r="GHY8" s="5" t="s">
        <v>0</v>
      </c>
      <c r="GHZ8" s="1181" t="s">
        <v>15</v>
      </c>
      <c r="GIA8" s="1181"/>
      <c r="GIB8" s="4" t="s">
        <v>4</v>
      </c>
      <c r="GIC8" s="5" t="s">
        <v>5</v>
      </c>
      <c r="GID8" s="1181" t="s">
        <v>15</v>
      </c>
      <c r="GIE8" s="1181"/>
      <c r="GIF8" s="5" t="s">
        <v>4</v>
      </c>
      <c r="GIG8" s="5" t="s">
        <v>0</v>
      </c>
      <c r="GIH8" s="1181" t="s">
        <v>15</v>
      </c>
      <c r="GII8" s="1181"/>
      <c r="GIJ8" s="4" t="s">
        <v>4</v>
      </c>
      <c r="GIK8" s="5" t="s">
        <v>5</v>
      </c>
      <c r="GIL8" s="1181" t="s">
        <v>15</v>
      </c>
      <c r="GIM8" s="1181"/>
      <c r="GIN8" s="5" t="s">
        <v>4</v>
      </c>
      <c r="GIO8" s="5" t="s">
        <v>0</v>
      </c>
      <c r="GIP8" s="1181" t="s">
        <v>15</v>
      </c>
      <c r="GIQ8" s="1181"/>
      <c r="GIR8" s="4" t="s">
        <v>4</v>
      </c>
      <c r="GIS8" s="5" t="s">
        <v>5</v>
      </c>
      <c r="GIT8" s="1181" t="s">
        <v>15</v>
      </c>
      <c r="GIU8" s="1181"/>
      <c r="GIV8" s="5" t="s">
        <v>4</v>
      </c>
      <c r="GIW8" s="5" t="s">
        <v>0</v>
      </c>
      <c r="GIX8" s="1181" t="s">
        <v>15</v>
      </c>
      <c r="GIY8" s="1181"/>
      <c r="GIZ8" s="4" t="s">
        <v>4</v>
      </c>
      <c r="GJA8" s="5" t="s">
        <v>5</v>
      </c>
      <c r="GJB8" s="1181" t="s">
        <v>15</v>
      </c>
      <c r="GJC8" s="1181"/>
      <c r="GJD8" s="5" t="s">
        <v>4</v>
      </c>
      <c r="GJE8" s="5" t="s">
        <v>0</v>
      </c>
      <c r="GJF8" s="1181" t="s">
        <v>15</v>
      </c>
      <c r="GJG8" s="1181"/>
      <c r="GJH8" s="4" t="s">
        <v>4</v>
      </c>
      <c r="GJI8" s="5" t="s">
        <v>5</v>
      </c>
      <c r="GJJ8" s="1181" t="s">
        <v>15</v>
      </c>
      <c r="GJK8" s="1181"/>
      <c r="GJL8" s="5" t="s">
        <v>4</v>
      </c>
      <c r="GJM8" s="5" t="s">
        <v>0</v>
      </c>
      <c r="GJN8" s="1181" t="s">
        <v>15</v>
      </c>
      <c r="GJO8" s="1181"/>
      <c r="GJP8" s="4" t="s">
        <v>4</v>
      </c>
      <c r="GJQ8" s="5" t="s">
        <v>5</v>
      </c>
      <c r="GJR8" s="1181" t="s">
        <v>15</v>
      </c>
      <c r="GJS8" s="1181"/>
      <c r="GJT8" s="5" t="s">
        <v>4</v>
      </c>
      <c r="GJU8" s="5" t="s">
        <v>0</v>
      </c>
      <c r="GJV8" s="1181" t="s">
        <v>15</v>
      </c>
      <c r="GJW8" s="1181"/>
      <c r="GJX8" s="4" t="s">
        <v>4</v>
      </c>
      <c r="GJY8" s="5" t="s">
        <v>5</v>
      </c>
      <c r="GJZ8" s="1181" t="s">
        <v>15</v>
      </c>
      <c r="GKA8" s="1181"/>
      <c r="GKB8" s="5" t="s">
        <v>4</v>
      </c>
      <c r="GKC8" s="5" t="s">
        <v>0</v>
      </c>
      <c r="GKD8" s="1181" t="s">
        <v>15</v>
      </c>
      <c r="GKE8" s="1181"/>
      <c r="GKF8" s="4" t="s">
        <v>4</v>
      </c>
      <c r="GKG8" s="5" t="s">
        <v>5</v>
      </c>
      <c r="GKH8" s="1181" t="s">
        <v>15</v>
      </c>
      <c r="GKI8" s="1181"/>
      <c r="GKJ8" s="5" t="s">
        <v>4</v>
      </c>
      <c r="GKK8" s="5" t="s">
        <v>0</v>
      </c>
      <c r="GKL8" s="1181" t="s">
        <v>15</v>
      </c>
      <c r="GKM8" s="1181"/>
      <c r="GKN8" s="4" t="s">
        <v>4</v>
      </c>
      <c r="GKO8" s="5" t="s">
        <v>5</v>
      </c>
      <c r="GKP8" s="1181" t="s">
        <v>15</v>
      </c>
      <c r="GKQ8" s="1181"/>
      <c r="GKR8" s="5" t="s">
        <v>4</v>
      </c>
      <c r="GKS8" s="5" t="s">
        <v>0</v>
      </c>
      <c r="GKT8" s="1181" t="s">
        <v>15</v>
      </c>
      <c r="GKU8" s="1181"/>
      <c r="GKV8" s="4" t="s">
        <v>4</v>
      </c>
      <c r="GKW8" s="5" t="s">
        <v>5</v>
      </c>
      <c r="GKX8" s="1181" t="s">
        <v>15</v>
      </c>
      <c r="GKY8" s="1181"/>
      <c r="GKZ8" s="5" t="s">
        <v>4</v>
      </c>
      <c r="GLA8" s="5" t="s">
        <v>0</v>
      </c>
      <c r="GLB8" s="1181" t="s">
        <v>15</v>
      </c>
      <c r="GLC8" s="1181"/>
      <c r="GLD8" s="4" t="s">
        <v>4</v>
      </c>
      <c r="GLE8" s="5" t="s">
        <v>5</v>
      </c>
      <c r="GLF8" s="1181" t="s">
        <v>15</v>
      </c>
      <c r="GLG8" s="1181"/>
      <c r="GLH8" s="5" t="s">
        <v>4</v>
      </c>
      <c r="GLI8" s="5" t="s">
        <v>0</v>
      </c>
      <c r="GLJ8" s="1181" t="s">
        <v>15</v>
      </c>
      <c r="GLK8" s="1181"/>
      <c r="GLL8" s="4" t="s">
        <v>4</v>
      </c>
      <c r="GLM8" s="5" t="s">
        <v>5</v>
      </c>
      <c r="GLN8" s="1181" t="s">
        <v>15</v>
      </c>
      <c r="GLO8" s="1181"/>
      <c r="GLP8" s="5" t="s">
        <v>4</v>
      </c>
      <c r="GLQ8" s="5" t="s">
        <v>0</v>
      </c>
      <c r="GLR8" s="1181" t="s">
        <v>15</v>
      </c>
      <c r="GLS8" s="1181"/>
      <c r="GLT8" s="4" t="s">
        <v>4</v>
      </c>
      <c r="GLU8" s="5" t="s">
        <v>5</v>
      </c>
      <c r="GLV8" s="1181" t="s">
        <v>15</v>
      </c>
      <c r="GLW8" s="1181"/>
      <c r="GLX8" s="5" t="s">
        <v>4</v>
      </c>
      <c r="GLY8" s="5" t="s">
        <v>0</v>
      </c>
      <c r="GLZ8" s="1181" t="s">
        <v>15</v>
      </c>
      <c r="GMA8" s="1181"/>
      <c r="GMB8" s="4" t="s">
        <v>4</v>
      </c>
      <c r="GMC8" s="5" t="s">
        <v>5</v>
      </c>
      <c r="GMD8" s="1181" t="s">
        <v>15</v>
      </c>
      <c r="GME8" s="1181"/>
      <c r="GMF8" s="5" t="s">
        <v>4</v>
      </c>
      <c r="GMG8" s="5" t="s">
        <v>0</v>
      </c>
      <c r="GMH8" s="1181" t="s">
        <v>15</v>
      </c>
      <c r="GMI8" s="1181"/>
      <c r="GMJ8" s="4" t="s">
        <v>4</v>
      </c>
      <c r="GMK8" s="5" t="s">
        <v>5</v>
      </c>
      <c r="GML8" s="1181" t="s">
        <v>15</v>
      </c>
      <c r="GMM8" s="1181"/>
      <c r="GMN8" s="5" t="s">
        <v>4</v>
      </c>
      <c r="GMO8" s="5" t="s">
        <v>0</v>
      </c>
      <c r="GMP8" s="1181" t="s">
        <v>15</v>
      </c>
      <c r="GMQ8" s="1181"/>
      <c r="GMR8" s="4" t="s">
        <v>4</v>
      </c>
      <c r="GMS8" s="5" t="s">
        <v>5</v>
      </c>
      <c r="GMT8" s="1181" t="s">
        <v>15</v>
      </c>
      <c r="GMU8" s="1181"/>
      <c r="GMV8" s="5" t="s">
        <v>4</v>
      </c>
      <c r="GMW8" s="5" t="s">
        <v>0</v>
      </c>
      <c r="GMX8" s="1181" t="s">
        <v>15</v>
      </c>
      <c r="GMY8" s="1181"/>
      <c r="GMZ8" s="4" t="s">
        <v>4</v>
      </c>
      <c r="GNA8" s="5" t="s">
        <v>5</v>
      </c>
      <c r="GNB8" s="1181" t="s">
        <v>15</v>
      </c>
      <c r="GNC8" s="1181"/>
      <c r="GND8" s="5" t="s">
        <v>4</v>
      </c>
      <c r="GNE8" s="5" t="s">
        <v>0</v>
      </c>
      <c r="GNF8" s="1181" t="s">
        <v>15</v>
      </c>
      <c r="GNG8" s="1181"/>
      <c r="GNH8" s="4" t="s">
        <v>4</v>
      </c>
      <c r="GNI8" s="5" t="s">
        <v>5</v>
      </c>
      <c r="GNJ8" s="1181" t="s">
        <v>15</v>
      </c>
      <c r="GNK8" s="1181"/>
      <c r="GNL8" s="5" t="s">
        <v>4</v>
      </c>
      <c r="GNM8" s="5" t="s">
        <v>0</v>
      </c>
      <c r="GNN8" s="1181" t="s">
        <v>15</v>
      </c>
      <c r="GNO8" s="1181"/>
      <c r="GNP8" s="4" t="s">
        <v>4</v>
      </c>
      <c r="GNQ8" s="5" t="s">
        <v>5</v>
      </c>
      <c r="GNR8" s="1181" t="s">
        <v>15</v>
      </c>
      <c r="GNS8" s="1181"/>
      <c r="GNT8" s="5" t="s">
        <v>4</v>
      </c>
      <c r="GNU8" s="5" t="s">
        <v>0</v>
      </c>
      <c r="GNV8" s="1181" t="s">
        <v>15</v>
      </c>
      <c r="GNW8" s="1181"/>
      <c r="GNX8" s="4" t="s">
        <v>4</v>
      </c>
      <c r="GNY8" s="5" t="s">
        <v>5</v>
      </c>
      <c r="GNZ8" s="1181" t="s">
        <v>15</v>
      </c>
      <c r="GOA8" s="1181"/>
      <c r="GOB8" s="5" t="s">
        <v>4</v>
      </c>
      <c r="GOC8" s="5" t="s">
        <v>0</v>
      </c>
      <c r="GOD8" s="1181" t="s">
        <v>15</v>
      </c>
      <c r="GOE8" s="1181"/>
      <c r="GOF8" s="4" t="s">
        <v>4</v>
      </c>
      <c r="GOG8" s="5" t="s">
        <v>5</v>
      </c>
      <c r="GOH8" s="1181" t="s">
        <v>15</v>
      </c>
      <c r="GOI8" s="1181"/>
      <c r="GOJ8" s="5" t="s">
        <v>4</v>
      </c>
      <c r="GOK8" s="5" t="s">
        <v>0</v>
      </c>
      <c r="GOL8" s="1181" t="s">
        <v>15</v>
      </c>
      <c r="GOM8" s="1181"/>
      <c r="GON8" s="4" t="s">
        <v>4</v>
      </c>
      <c r="GOO8" s="5" t="s">
        <v>5</v>
      </c>
      <c r="GOP8" s="1181" t="s">
        <v>15</v>
      </c>
      <c r="GOQ8" s="1181"/>
      <c r="GOR8" s="5" t="s">
        <v>4</v>
      </c>
      <c r="GOS8" s="5" t="s">
        <v>0</v>
      </c>
      <c r="GOT8" s="1181" t="s">
        <v>15</v>
      </c>
      <c r="GOU8" s="1181"/>
      <c r="GOV8" s="4" t="s">
        <v>4</v>
      </c>
      <c r="GOW8" s="5" t="s">
        <v>5</v>
      </c>
      <c r="GOX8" s="1181" t="s">
        <v>15</v>
      </c>
      <c r="GOY8" s="1181"/>
      <c r="GOZ8" s="5" t="s">
        <v>4</v>
      </c>
      <c r="GPA8" s="5" t="s">
        <v>0</v>
      </c>
      <c r="GPB8" s="1181" t="s">
        <v>15</v>
      </c>
      <c r="GPC8" s="1181"/>
      <c r="GPD8" s="4" t="s">
        <v>4</v>
      </c>
      <c r="GPE8" s="5" t="s">
        <v>5</v>
      </c>
      <c r="GPF8" s="1181" t="s">
        <v>15</v>
      </c>
      <c r="GPG8" s="1181"/>
      <c r="GPH8" s="5" t="s">
        <v>4</v>
      </c>
      <c r="GPI8" s="5" t="s">
        <v>0</v>
      </c>
      <c r="GPJ8" s="1181" t="s">
        <v>15</v>
      </c>
      <c r="GPK8" s="1181"/>
      <c r="GPL8" s="4" t="s">
        <v>4</v>
      </c>
      <c r="GPM8" s="5" t="s">
        <v>5</v>
      </c>
      <c r="GPN8" s="1181" t="s">
        <v>15</v>
      </c>
      <c r="GPO8" s="1181"/>
      <c r="GPP8" s="5" t="s">
        <v>4</v>
      </c>
      <c r="GPQ8" s="5" t="s">
        <v>0</v>
      </c>
      <c r="GPR8" s="1181" t="s">
        <v>15</v>
      </c>
      <c r="GPS8" s="1181"/>
      <c r="GPT8" s="4" t="s">
        <v>4</v>
      </c>
      <c r="GPU8" s="5" t="s">
        <v>5</v>
      </c>
      <c r="GPV8" s="1181" t="s">
        <v>15</v>
      </c>
      <c r="GPW8" s="1181"/>
      <c r="GPX8" s="5" t="s">
        <v>4</v>
      </c>
      <c r="GPY8" s="5" t="s">
        <v>0</v>
      </c>
      <c r="GPZ8" s="1181" t="s">
        <v>15</v>
      </c>
      <c r="GQA8" s="1181"/>
      <c r="GQB8" s="4" t="s">
        <v>4</v>
      </c>
      <c r="GQC8" s="5" t="s">
        <v>5</v>
      </c>
      <c r="GQD8" s="1181" t="s">
        <v>15</v>
      </c>
      <c r="GQE8" s="1181"/>
      <c r="GQF8" s="5" t="s">
        <v>4</v>
      </c>
      <c r="GQG8" s="5" t="s">
        <v>0</v>
      </c>
      <c r="GQH8" s="1181" t="s">
        <v>15</v>
      </c>
      <c r="GQI8" s="1181"/>
      <c r="GQJ8" s="4" t="s">
        <v>4</v>
      </c>
      <c r="GQK8" s="5" t="s">
        <v>5</v>
      </c>
      <c r="GQL8" s="1181" t="s">
        <v>15</v>
      </c>
      <c r="GQM8" s="1181"/>
      <c r="GQN8" s="5" t="s">
        <v>4</v>
      </c>
      <c r="GQO8" s="5" t="s">
        <v>0</v>
      </c>
      <c r="GQP8" s="1181" t="s">
        <v>15</v>
      </c>
      <c r="GQQ8" s="1181"/>
      <c r="GQR8" s="4" t="s">
        <v>4</v>
      </c>
      <c r="GQS8" s="5" t="s">
        <v>5</v>
      </c>
      <c r="GQT8" s="1181" t="s">
        <v>15</v>
      </c>
      <c r="GQU8" s="1181"/>
      <c r="GQV8" s="5" t="s">
        <v>4</v>
      </c>
      <c r="GQW8" s="5" t="s">
        <v>0</v>
      </c>
      <c r="GQX8" s="1181" t="s">
        <v>15</v>
      </c>
      <c r="GQY8" s="1181"/>
      <c r="GQZ8" s="4" t="s">
        <v>4</v>
      </c>
      <c r="GRA8" s="5" t="s">
        <v>5</v>
      </c>
      <c r="GRB8" s="1181" t="s">
        <v>15</v>
      </c>
      <c r="GRC8" s="1181"/>
      <c r="GRD8" s="5" t="s">
        <v>4</v>
      </c>
      <c r="GRE8" s="5" t="s">
        <v>0</v>
      </c>
      <c r="GRF8" s="1181" t="s">
        <v>15</v>
      </c>
      <c r="GRG8" s="1181"/>
      <c r="GRH8" s="4" t="s">
        <v>4</v>
      </c>
      <c r="GRI8" s="5" t="s">
        <v>5</v>
      </c>
      <c r="GRJ8" s="1181" t="s">
        <v>15</v>
      </c>
      <c r="GRK8" s="1181"/>
      <c r="GRL8" s="5" t="s">
        <v>4</v>
      </c>
      <c r="GRM8" s="5" t="s">
        <v>0</v>
      </c>
      <c r="GRN8" s="1181" t="s">
        <v>15</v>
      </c>
      <c r="GRO8" s="1181"/>
      <c r="GRP8" s="4" t="s">
        <v>4</v>
      </c>
      <c r="GRQ8" s="5" t="s">
        <v>5</v>
      </c>
      <c r="GRR8" s="1181" t="s">
        <v>15</v>
      </c>
      <c r="GRS8" s="1181"/>
      <c r="GRT8" s="5" t="s">
        <v>4</v>
      </c>
      <c r="GRU8" s="5" t="s">
        <v>0</v>
      </c>
      <c r="GRV8" s="1181" t="s">
        <v>15</v>
      </c>
      <c r="GRW8" s="1181"/>
      <c r="GRX8" s="4" t="s">
        <v>4</v>
      </c>
      <c r="GRY8" s="5" t="s">
        <v>5</v>
      </c>
      <c r="GRZ8" s="1181" t="s">
        <v>15</v>
      </c>
      <c r="GSA8" s="1181"/>
      <c r="GSB8" s="5" t="s">
        <v>4</v>
      </c>
      <c r="GSC8" s="5" t="s">
        <v>0</v>
      </c>
      <c r="GSD8" s="1181" t="s">
        <v>15</v>
      </c>
      <c r="GSE8" s="1181"/>
      <c r="GSF8" s="4" t="s">
        <v>4</v>
      </c>
      <c r="GSG8" s="5" t="s">
        <v>5</v>
      </c>
      <c r="GSH8" s="1181" t="s">
        <v>15</v>
      </c>
      <c r="GSI8" s="1181"/>
      <c r="GSJ8" s="5" t="s">
        <v>4</v>
      </c>
      <c r="GSK8" s="5" t="s">
        <v>0</v>
      </c>
      <c r="GSL8" s="1181" t="s">
        <v>15</v>
      </c>
      <c r="GSM8" s="1181"/>
      <c r="GSN8" s="4" t="s">
        <v>4</v>
      </c>
      <c r="GSO8" s="5" t="s">
        <v>5</v>
      </c>
      <c r="GSP8" s="1181" t="s">
        <v>15</v>
      </c>
      <c r="GSQ8" s="1181"/>
      <c r="GSR8" s="5" t="s">
        <v>4</v>
      </c>
      <c r="GSS8" s="5" t="s">
        <v>0</v>
      </c>
      <c r="GST8" s="1181" t="s">
        <v>15</v>
      </c>
      <c r="GSU8" s="1181"/>
      <c r="GSV8" s="4" t="s">
        <v>4</v>
      </c>
      <c r="GSW8" s="5" t="s">
        <v>5</v>
      </c>
      <c r="GSX8" s="1181" t="s">
        <v>15</v>
      </c>
      <c r="GSY8" s="1181"/>
      <c r="GSZ8" s="5" t="s">
        <v>4</v>
      </c>
      <c r="GTA8" s="5" t="s">
        <v>0</v>
      </c>
      <c r="GTB8" s="1181" t="s">
        <v>15</v>
      </c>
      <c r="GTC8" s="1181"/>
      <c r="GTD8" s="4" t="s">
        <v>4</v>
      </c>
      <c r="GTE8" s="5" t="s">
        <v>5</v>
      </c>
      <c r="GTF8" s="1181" t="s">
        <v>15</v>
      </c>
      <c r="GTG8" s="1181"/>
      <c r="GTH8" s="5" t="s">
        <v>4</v>
      </c>
      <c r="GTI8" s="5" t="s">
        <v>0</v>
      </c>
      <c r="GTJ8" s="1181" t="s">
        <v>15</v>
      </c>
      <c r="GTK8" s="1181"/>
      <c r="GTL8" s="4" t="s">
        <v>4</v>
      </c>
      <c r="GTM8" s="5" t="s">
        <v>5</v>
      </c>
      <c r="GTN8" s="1181" t="s">
        <v>15</v>
      </c>
      <c r="GTO8" s="1181"/>
      <c r="GTP8" s="5" t="s">
        <v>4</v>
      </c>
      <c r="GTQ8" s="5" t="s">
        <v>0</v>
      </c>
      <c r="GTR8" s="1181" t="s">
        <v>15</v>
      </c>
      <c r="GTS8" s="1181"/>
      <c r="GTT8" s="4" t="s">
        <v>4</v>
      </c>
      <c r="GTU8" s="5" t="s">
        <v>5</v>
      </c>
      <c r="GTV8" s="1181" t="s">
        <v>15</v>
      </c>
      <c r="GTW8" s="1181"/>
      <c r="GTX8" s="5" t="s">
        <v>4</v>
      </c>
      <c r="GTY8" s="5" t="s">
        <v>0</v>
      </c>
      <c r="GTZ8" s="1181" t="s">
        <v>15</v>
      </c>
      <c r="GUA8" s="1181"/>
      <c r="GUB8" s="4" t="s">
        <v>4</v>
      </c>
      <c r="GUC8" s="5" t="s">
        <v>5</v>
      </c>
      <c r="GUD8" s="1181" t="s">
        <v>15</v>
      </c>
      <c r="GUE8" s="1181"/>
      <c r="GUF8" s="5" t="s">
        <v>4</v>
      </c>
      <c r="GUG8" s="5" t="s">
        <v>0</v>
      </c>
      <c r="GUH8" s="1181" t="s">
        <v>15</v>
      </c>
      <c r="GUI8" s="1181"/>
      <c r="GUJ8" s="4" t="s">
        <v>4</v>
      </c>
      <c r="GUK8" s="5" t="s">
        <v>5</v>
      </c>
      <c r="GUL8" s="1181" t="s">
        <v>15</v>
      </c>
      <c r="GUM8" s="1181"/>
      <c r="GUN8" s="5" t="s">
        <v>4</v>
      </c>
      <c r="GUO8" s="5" t="s">
        <v>0</v>
      </c>
      <c r="GUP8" s="1181" t="s">
        <v>15</v>
      </c>
      <c r="GUQ8" s="1181"/>
      <c r="GUR8" s="4" t="s">
        <v>4</v>
      </c>
      <c r="GUS8" s="5" t="s">
        <v>5</v>
      </c>
      <c r="GUT8" s="1181" t="s">
        <v>15</v>
      </c>
      <c r="GUU8" s="1181"/>
      <c r="GUV8" s="5" t="s">
        <v>4</v>
      </c>
      <c r="GUW8" s="5" t="s">
        <v>0</v>
      </c>
      <c r="GUX8" s="1181" t="s">
        <v>15</v>
      </c>
      <c r="GUY8" s="1181"/>
      <c r="GUZ8" s="4" t="s">
        <v>4</v>
      </c>
      <c r="GVA8" s="5" t="s">
        <v>5</v>
      </c>
      <c r="GVB8" s="1181" t="s">
        <v>15</v>
      </c>
      <c r="GVC8" s="1181"/>
      <c r="GVD8" s="5" t="s">
        <v>4</v>
      </c>
      <c r="GVE8" s="5" t="s">
        <v>0</v>
      </c>
      <c r="GVF8" s="1181" t="s">
        <v>15</v>
      </c>
      <c r="GVG8" s="1181"/>
      <c r="GVH8" s="4" t="s">
        <v>4</v>
      </c>
      <c r="GVI8" s="5" t="s">
        <v>5</v>
      </c>
      <c r="GVJ8" s="1181" t="s">
        <v>15</v>
      </c>
      <c r="GVK8" s="1181"/>
      <c r="GVL8" s="5" t="s">
        <v>4</v>
      </c>
      <c r="GVM8" s="5" t="s">
        <v>0</v>
      </c>
      <c r="GVN8" s="1181" t="s">
        <v>15</v>
      </c>
      <c r="GVO8" s="1181"/>
      <c r="GVP8" s="4" t="s">
        <v>4</v>
      </c>
      <c r="GVQ8" s="5" t="s">
        <v>5</v>
      </c>
      <c r="GVR8" s="1181" t="s">
        <v>15</v>
      </c>
      <c r="GVS8" s="1181"/>
      <c r="GVT8" s="5" t="s">
        <v>4</v>
      </c>
      <c r="GVU8" s="5" t="s">
        <v>0</v>
      </c>
      <c r="GVV8" s="1181" t="s">
        <v>15</v>
      </c>
      <c r="GVW8" s="1181"/>
      <c r="GVX8" s="4" t="s">
        <v>4</v>
      </c>
      <c r="GVY8" s="5" t="s">
        <v>5</v>
      </c>
      <c r="GVZ8" s="1181" t="s">
        <v>15</v>
      </c>
      <c r="GWA8" s="1181"/>
      <c r="GWB8" s="5" t="s">
        <v>4</v>
      </c>
      <c r="GWC8" s="5" t="s">
        <v>0</v>
      </c>
      <c r="GWD8" s="1181" t="s">
        <v>15</v>
      </c>
      <c r="GWE8" s="1181"/>
      <c r="GWF8" s="4" t="s">
        <v>4</v>
      </c>
      <c r="GWG8" s="5" t="s">
        <v>5</v>
      </c>
      <c r="GWH8" s="1181" t="s">
        <v>15</v>
      </c>
      <c r="GWI8" s="1181"/>
      <c r="GWJ8" s="5" t="s">
        <v>4</v>
      </c>
      <c r="GWK8" s="5" t="s">
        <v>0</v>
      </c>
      <c r="GWL8" s="1181" t="s">
        <v>15</v>
      </c>
      <c r="GWM8" s="1181"/>
      <c r="GWN8" s="4" t="s">
        <v>4</v>
      </c>
      <c r="GWO8" s="5" t="s">
        <v>5</v>
      </c>
      <c r="GWP8" s="1181" t="s">
        <v>15</v>
      </c>
      <c r="GWQ8" s="1181"/>
      <c r="GWR8" s="5" t="s">
        <v>4</v>
      </c>
      <c r="GWS8" s="5" t="s">
        <v>0</v>
      </c>
      <c r="GWT8" s="1181" t="s">
        <v>15</v>
      </c>
      <c r="GWU8" s="1181"/>
      <c r="GWV8" s="4" t="s">
        <v>4</v>
      </c>
      <c r="GWW8" s="5" t="s">
        <v>5</v>
      </c>
      <c r="GWX8" s="1181" t="s">
        <v>15</v>
      </c>
      <c r="GWY8" s="1181"/>
      <c r="GWZ8" s="5" t="s">
        <v>4</v>
      </c>
      <c r="GXA8" s="5" t="s">
        <v>0</v>
      </c>
      <c r="GXB8" s="1181" t="s">
        <v>15</v>
      </c>
      <c r="GXC8" s="1181"/>
      <c r="GXD8" s="4" t="s">
        <v>4</v>
      </c>
      <c r="GXE8" s="5" t="s">
        <v>5</v>
      </c>
      <c r="GXF8" s="1181" t="s">
        <v>15</v>
      </c>
      <c r="GXG8" s="1181"/>
      <c r="GXH8" s="5" t="s">
        <v>4</v>
      </c>
      <c r="GXI8" s="5" t="s">
        <v>0</v>
      </c>
      <c r="GXJ8" s="1181" t="s">
        <v>15</v>
      </c>
      <c r="GXK8" s="1181"/>
      <c r="GXL8" s="4" t="s">
        <v>4</v>
      </c>
      <c r="GXM8" s="5" t="s">
        <v>5</v>
      </c>
      <c r="GXN8" s="1181" t="s">
        <v>15</v>
      </c>
      <c r="GXO8" s="1181"/>
      <c r="GXP8" s="5" t="s">
        <v>4</v>
      </c>
      <c r="GXQ8" s="5" t="s">
        <v>0</v>
      </c>
      <c r="GXR8" s="1181" t="s">
        <v>15</v>
      </c>
      <c r="GXS8" s="1181"/>
      <c r="GXT8" s="4" t="s">
        <v>4</v>
      </c>
      <c r="GXU8" s="5" t="s">
        <v>5</v>
      </c>
      <c r="GXV8" s="1181" t="s">
        <v>15</v>
      </c>
      <c r="GXW8" s="1181"/>
      <c r="GXX8" s="5" t="s">
        <v>4</v>
      </c>
      <c r="GXY8" s="5" t="s">
        <v>0</v>
      </c>
      <c r="GXZ8" s="1181" t="s">
        <v>15</v>
      </c>
      <c r="GYA8" s="1181"/>
      <c r="GYB8" s="4" t="s">
        <v>4</v>
      </c>
      <c r="GYC8" s="5" t="s">
        <v>5</v>
      </c>
      <c r="GYD8" s="1181" t="s">
        <v>15</v>
      </c>
      <c r="GYE8" s="1181"/>
      <c r="GYF8" s="5" t="s">
        <v>4</v>
      </c>
      <c r="GYG8" s="5" t="s">
        <v>0</v>
      </c>
      <c r="GYH8" s="1181" t="s">
        <v>15</v>
      </c>
      <c r="GYI8" s="1181"/>
      <c r="GYJ8" s="4" t="s">
        <v>4</v>
      </c>
      <c r="GYK8" s="5" t="s">
        <v>5</v>
      </c>
      <c r="GYL8" s="1181" t="s">
        <v>15</v>
      </c>
      <c r="GYM8" s="1181"/>
      <c r="GYN8" s="5" t="s">
        <v>4</v>
      </c>
      <c r="GYO8" s="5" t="s">
        <v>0</v>
      </c>
      <c r="GYP8" s="1181" t="s">
        <v>15</v>
      </c>
      <c r="GYQ8" s="1181"/>
      <c r="GYR8" s="4" t="s">
        <v>4</v>
      </c>
      <c r="GYS8" s="5" t="s">
        <v>5</v>
      </c>
      <c r="GYT8" s="1181" t="s">
        <v>15</v>
      </c>
      <c r="GYU8" s="1181"/>
      <c r="GYV8" s="5" t="s">
        <v>4</v>
      </c>
      <c r="GYW8" s="5" t="s">
        <v>0</v>
      </c>
      <c r="GYX8" s="1181" t="s">
        <v>15</v>
      </c>
      <c r="GYY8" s="1181"/>
      <c r="GYZ8" s="4" t="s">
        <v>4</v>
      </c>
      <c r="GZA8" s="5" t="s">
        <v>5</v>
      </c>
      <c r="GZB8" s="1181" t="s">
        <v>15</v>
      </c>
      <c r="GZC8" s="1181"/>
      <c r="GZD8" s="5" t="s">
        <v>4</v>
      </c>
      <c r="GZE8" s="5" t="s">
        <v>0</v>
      </c>
      <c r="GZF8" s="1181" t="s">
        <v>15</v>
      </c>
      <c r="GZG8" s="1181"/>
      <c r="GZH8" s="4" t="s">
        <v>4</v>
      </c>
      <c r="GZI8" s="5" t="s">
        <v>5</v>
      </c>
      <c r="GZJ8" s="1181" t="s">
        <v>15</v>
      </c>
      <c r="GZK8" s="1181"/>
      <c r="GZL8" s="5" t="s">
        <v>4</v>
      </c>
      <c r="GZM8" s="5" t="s">
        <v>0</v>
      </c>
      <c r="GZN8" s="1181" t="s">
        <v>15</v>
      </c>
      <c r="GZO8" s="1181"/>
      <c r="GZP8" s="4" t="s">
        <v>4</v>
      </c>
      <c r="GZQ8" s="5" t="s">
        <v>5</v>
      </c>
      <c r="GZR8" s="1181" t="s">
        <v>15</v>
      </c>
      <c r="GZS8" s="1181"/>
      <c r="GZT8" s="5" t="s">
        <v>4</v>
      </c>
      <c r="GZU8" s="5" t="s">
        <v>0</v>
      </c>
      <c r="GZV8" s="1181" t="s">
        <v>15</v>
      </c>
      <c r="GZW8" s="1181"/>
      <c r="GZX8" s="4" t="s">
        <v>4</v>
      </c>
      <c r="GZY8" s="5" t="s">
        <v>5</v>
      </c>
      <c r="GZZ8" s="1181" t="s">
        <v>15</v>
      </c>
      <c r="HAA8" s="1181"/>
      <c r="HAB8" s="5" t="s">
        <v>4</v>
      </c>
      <c r="HAC8" s="5" t="s">
        <v>0</v>
      </c>
      <c r="HAD8" s="1181" t="s">
        <v>15</v>
      </c>
      <c r="HAE8" s="1181"/>
      <c r="HAF8" s="4" t="s">
        <v>4</v>
      </c>
      <c r="HAG8" s="5" t="s">
        <v>5</v>
      </c>
      <c r="HAH8" s="1181" t="s">
        <v>15</v>
      </c>
      <c r="HAI8" s="1181"/>
      <c r="HAJ8" s="5" t="s">
        <v>4</v>
      </c>
      <c r="HAK8" s="5" t="s">
        <v>0</v>
      </c>
      <c r="HAL8" s="1181" t="s">
        <v>15</v>
      </c>
      <c r="HAM8" s="1181"/>
      <c r="HAN8" s="4" t="s">
        <v>4</v>
      </c>
      <c r="HAO8" s="5" t="s">
        <v>5</v>
      </c>
      <c r="HAP8" s="1181" t="s">
        <v>15</v>
      </c>
      <c r="HAQ8" s="1181"/>
      <c r="HAR8" s="5" t="s">
        <v>4</v>
      </c>
      <c r="HAS8" s="5" t="s">
        <v>0</v>
      </c>
      <c r="HAT8" s="1181" t="s">
        <v>15</v>
      </c>
      <c r="HAU8" s="1181"/>
      <c r="HAV8" s="4" t="s">
        <v>4</v>
      </c>
      <c r="HAW8" s="5" t="s">
        <v>5</v>
      </c>
      <c r="HAX8" s="1181" t="s">
        <v>15</v>
      </c>
      <c r="HAY8" s="1181"/>
      <c r="HAZ8" s="5" t="s">
        <v>4</v>
      </c>
      <c r="HBA8" s="5" t="s">
        <v>0</v>
      </c>
      <c r="HBB8" s="1181" t="s">
        <v>15</v>
      </c>
      <c r="HBC8" s="1181"/>
      <c r="HBD8" s="4" t="s">
        <v>4</v>
      </c>
      <c r="HBE8" s="5" t="s">
        <v>5</v>
      </c>
      <c r="HBF8" s="1181" t="s">
        <v>15</v>
      </c>
      <c r="HBG8" s="1181"/>
      <c r="HBH8" s="5" t="s">
        <v>4</v>
      </c>
      <c r="HBI8" s="5" t="s">
        <v>0</v>
      </c>
      <c r="HBJ8" s="1181" t="s">
        <v>15</v>
      </c>
      <c r="HBK8" s="1181"/>
      <c r="HBL8" s="4" t="s">
        <v>4</v>
      </c>
      <c r="HBM8" s="5" t="s">
        <v>5</v>
      </c>
      <c r="HBN8" s="1181" t="s">
        <v>15</v>
      </c>
      <c r="HBO8" s="1181"/>
      <c r="HBP8" s="5" t="s">
        <v>4</v>
      </c>
      <c r="HBQ8" s="5" t="s">
        <v>0</v>
      </c>
      <c r="HBR8" s="1181" t="s">
        <v>15</v>
      </c>
      <c r="HBS8" s="1181"/>
      <c r="HBT8" s="4" t="s">
        <v>4</v>
      </c>
      <c r="HBU8" s="5" t="s">
        <v>5</v>
      </c>
      <c r="HBV8" s="1181" t="s">
        <v>15</v>
      </c>
      <c r="HBW8" s="1181"/>
      <c r="HBX8" s="5" t="s">
        <v>4</v>
      </c>
      <c r="HBY8" s="5" t="s">
        <v>0</v>
      </c>
      <c r="HBZ8" s="1181" t="s">
        <v>15</v>
      </c>
      <c r="HCA8" s="1181"/>
      <c r="HCB8" s="4" t="s">
        <v>4</v>
      </c>
      <c r="HCC8" s="5" t="s">
        <v>5</v>
      </c>
      <c r="HCD8" s="1181" t="s">
        <v>15</v>
      </c>
      <c r="HCE8" s="1181"/>
      <c r="HCF8" s="5" t="s">
        <v>4</v>
      </c>
      <c r="HCG8" s="5" t="s">
        <v>0</v>
      </c>
      <c r="HCH8" s="1181" t="s">
        <v>15</v>
      </c>
      <c r="HCI8" s="1181"/>
      <c r="HCJ8" s="4" t="s">
        <v>4</v>
      </c>
      <c r="HCK8" s="5" t="s">
        <v>5</v>
      </c>
      <c r="HCL8" s="1181" t="s">
        <v>15</v>
      </c>
      <c r="HCM8" s="1181"/>
      <c r="HCN8" s="5" t="s">
        <v>4</v>
      </c>
      <c r="HCO8" s="5" t="s">
        <v>0</v>
      </c>
      <c r="HCP8" s="1181" t="s">
        <v>15</v>
      </c>
      <c r="HCQ8" s="1181"/>
      <c r="HCR8" s="4" t="s">
        <v>4</v>
      </c>
      <c r="HCS8" s="5" t="s">
        <v>5</v>
      </c>
      <c r="HCT8" s="1181" t="s">
        <v>15</v>
      </c>
      <c r="HCU8" s="1181"/>
      <c r="HCV8" s="5" t="s">
        <v>4</v>
      </c>
      <c r="HCW8" s="5" t="s">
        <v>0</v>
      </c>
      <c r="HCX8" s="1181" t="s">
        <v>15</v>
      </c>
      <c r="HCY8" s="1181"/>
      <c r="HCZ8" s="4" t="s">
        <v>4</v>
      </c>
      <c r="HDA8" s="5" t="s">
        <v>5</v>
      </c>
      <c r="HDB8" s="1181" t="s">
        <v>15</v>
      </c>
      <c r="HDC8" s="1181"/>
      <c r="HDD8" s="5" t="s">
        <v>4</v>
      </c>
      <c r="HDE8" s="5" t="s">
        <v>0</v>
      </c>
      <c r="HDF8" s="1181" t="s">
        <v>15</v>
      </c>
      <c r="HDG8" s="1181"/>
      <c r="HDH8" s="4" t="s">
        <v>4</v>
      </c>
      <c r="HDI8" s="5" t="s">
        <v>5</v>
      </c>
      <c r="HDJ8" s="1181" t="s">
        <v>15</v>
      </c>
      <c r="HDK8" s="1181"/>
      <c r="HDL8" s="5" t="s">
        <v>4</v>
      </c>
      <c r="HDM8" s="5" t="s">
        <v>0</v>
      </c>
      <c r="HDN8" s="1181" t="s">
        <v>15</v>
      </c>
      <c r="HDO8" s="1181"/>
      <c r="HDP8" s="4" t="s">
        <v>4</v>
      </c>
      <c r="HDQ8" s="5" t="s">
        <v>5</v>
      </c>
      <c r="HDR8" s="1181" t="s">
        <v>15</v>
      </c>
      <c r="HDS8" s="1181"/>
      <c r="HDT8" s="5" t="s">
        <v>4</v>
      </c>
      <c r="HDU8" s="5" t="s">
        <v>0</v>
      </c>
      <c r="HDV8" s="1181" t="s">
        <v>15</v>
      </c>
      <c r="HDW8" s="1181"/>
      <c r="HDX8" s="4" t="s">
        <v>4</v>
      </c>
      <c r="HDY8" s="5" t="s">
        <v>5</v>
      </c>
      <c r="HDZ8" s="1181" t="s">
        <v>15</v>
      </c>
      <c r="HEA8" s="1181"/>
      <c r="HEB8" s="5" t="s">
        <v>4</v>
      </c>
      <c r="HEC8" s="5" t="s">
        <v>0</v>
      </c>
      <c r="HED8" s="1181" t="s">
        <v>15</v>
      </c>
      <c r="HEE8" s="1181"/>
      <c r="HEF8" s="4" t="s">
        <v>4</v>
      </c>
      <c r="HEG8" s="5" t="s">
        <v>5</v>
      </c>
      <c r="HEH8" s="1181" t="s">
        <v>15</v>
      </c>
      <c r="HEI8" s="1181"/>
      <c r="HEJ8" s="5" t="s">
        <v>4</v>
      </c>
      <c r="HEK8" s="5" t="s">
        <v>0</v>
      </c>
      <c r="HEL8" s="1181" t="s">
        <v>15</v>
      </c>
      <c r="HEM8" s="1181"/>
      <c r="HEN8" s="4" t="s">
        <v>4</v>
      </c>
      <c r="HEO8" s="5" t="s">
        <v>5</v>
      </c>
      <c r="HEP8" s="1181" t="s">
        <v>15</v>
      </c>
      <c r="HEQ8" s="1181"/>
      <c r="HER8" s="5" t="s">
        <v>4</v>
      </c>
      <c r="HES8" s="5" t="s">
        <v>0</v>
      </c>
      <c r="HET8" s="1181" t="s">
        <v>15</v>
      </c>
      <c r="HEU8" s="1181"/>
      <c r="HEV8" s="4" t="s">
        <v>4</v>
      </c>
      <c r="HEW8" s="5" t="s">
        <v>5</v>
      </c>
      <c r="HEX8" s="1181" t="s">
        <v>15</v>
      </c>
      <c r="HEY8" s="1181"/>
      <c r="HEZ8" s="5" t="s">
        <v>4</v>
      </c>
      <c r="HFA8" s="5" t="s">
        <v>0</v>
      </c>
      <c r="HFB8" s="1181" t="s">
        <v>15</v>
      </c>
      <c r="HFC8" s="1181"/>
      <c r="HFD8" s="4" t="s">
        <v>4</v>
      </c>
      <c r="HFE8" s="5" t="s">
        <v>5</v>
      </c>
      <c r="HFF8" s="1181" t="s">
        <v>15</v>
      </c>
      <c r="HFG8" s="1181"/>
      <c r="HFH8" s="5" t="s">
        <v>4</v>
      </c>
      <c r="HFI8" s="5" t="s">
        <v>0</v>
      </c>
      <c r="HFJ8" s="1181" t="s">
        <v>15</v>
      </c>
      <c r="HFK8" s="1181"/>
      <c r="HFL8" s="4" t="s">
        <v>4</v>
      </c>
      <c r="HFM8" s="5" t="s">
        <v>5</v>
      </c>
      <c r="HFN8" s="1181" t="s">
        <v>15</v>
      </c>
      <c r="HFO8" s="1181"/>
      <c r="HFP8" s="5" t="s">
        <v>4</v>
      </c>
      <c r="HFQ8" s="5" t="s">
        <v>0</v>
      </c>
      <c r="HFR8" s="1181" t="s">
        <v>15</v>
      </c>
      <c r="HFS8" s="1181"/>
      <c r="HFT8" s="4" t="s">
        <v>4</v>
      </c>
      <c r="HFU8" s="5" t="s">
        <v>5</v>
      </c>
      <c r="HFV8" s="1181" t="s">
        <v>15</v>
      </c>
      <c r="HFW8" s="1181"/>
      <c r="HFX8" s="5" t="s">
        <v>4</v>
      </c>
      <c r="HFY8" s="5" t="s">
        <v>0</v>
      </c>
      <c r="HFZ8" s="1181" t="s">
        <v>15</v>
      </c>
      <c r="HGA8" s="1181"/>
      <c r="HGB8" s="4" t="s">
        <v>4</v>
      </c>
      <c r="HGC8" s="5" t="s">
        <v>5</v>
      </c>
      <c r="HGD8" s="1181" t="s">
        <v>15</v>
      </c>
      <c r="HGE8" s="1181"/>
      <c r="HGF8" s="5" t="s">
        <v>4</v>
      </c>
      <c r="HGG8" s="5" t="s">
        <v>0</v>
      </c>
      <c r="HGH8" s="1181" t="s">
        <v>15</v>
      </c>
      <c r="HGI8" s="1181"/>
      <c r="HGJ8" s="4" t="s">
        <v>4</v>
      </c>
      <c r="HGK8" s="5" t="s">
        <v>5</v>
      </c>
      <c r="HGL8" s="1181" t="s">
        <v>15</v>
      </c>
      <c r="HGM8" s="1181"/>
      <c r="HGN8" s="5" t="s">
        <v>4</v>
      </c>
      <c r="HGO8" s="5" t="s">
        <v>0</v>
      </c>
      <c r="HGP8" s="1181" t="s">
        <v>15</v>
      </c>
      <c r="HGQ8" s="1181"/>
      <c r="HGR8" s="4" t="s">
        <v>4</v>
      </c>
      <c r="HGS8" s="5" t="s">
        <v>5</v>
      </c>
      <c r="HGT8" s="1181" t="s">
        <v>15</v>
      </c>
      <c r="HGU8" s="1181"/>
      <c r="HGV8" s="5" t="s">
        <v>4</v>
      </c>
      <c r="HGW8" s="5" t="s">
        <v>0</v>
      </c>
      <c r="HGX8" s="1181" t="s">
        <v>15</v>
      </c>
      <c r="HGY8" s="1181"/>
      <c r="HGZ8" s="4" t="s">
        <v>4</v>
      </c>
      <c r="HHA8" s="5" t="s">
        <v>5</v>
      </c>
      <c r="HHB8" s="1181" t="s">
        <v>15</v>
      </c>
      <c r="HHC8" s="1181"/>
      <c r="HHD8" s="5" t="s">
        <v>4</v>
      </c>
      <c r="HHE8" s="5" t="s">
        <v>0</v>
      </c>
      <c r="HHF8" s="1181" t="s">
        <v>15</v>
      </c>
      <c r="HHG8" s="1181"/>
      <c r="HHH8" s="4" t="s">
        <v>4</v>
      </c>
      <c r="HHI8" s="5" t="s">
        <v>5</v>
      </c>
      <c r="HHJ8" s="1181" t="s">
        <v>15</v>
      </c>
      <c r="HHK8" s="1181"/>
      <c r="HHL8" s="5" t="s">
        <v>4</v>
      </c>
      <c r="HHM8" s="5" t="s">
        <v>0</v>
      </c>
      <c r="HHN8" s="1181" t="s">
        <v>15</v>
      </c>
      <c r="HHO8" s="1181"/>
      <c r="HHP8" s="4" t="s">
        <v>4</v>
      </c>
      <c r="HHQ8" s="5" t="s">
        <v>5</v>
      </c>
      <c r="HHR8" s="1181" t="s">
        <v>15</v>
      </c>
      <c r="HHS8" s="1181"/>
      <c r="HHT8" s="5" t="s">
        <v>4</v>
      </c>
      <c r="HHU8" s="5" t="s">
        <v>0</v>
      </c>
      <c r="HHV8" s="1181" t="s">
        <v>15</v>
      </c>
      <c r="HHW8" s="1181"/>
      <c r="HHX8" s="4" t="s">
        <v>4</v>
      </c>
      <c r="HHY8" s="5" t="s">
        <v>5</v>
      </c>
      <c r="HHZ8" s="1181" t="s">
        <v>15</v>
      </c>
      <c r="HIA8" s="1181"/>
      <c r="HIB8" s="5" t="s">
        <v>4</v>
      </c>
      <c r="HIC8" s="5" t="s">
        <v>0</v>
      </c>
      <c r="HID8" s="1181" t="s">
        <v>15</v>
      </c>
      <c r="HIE8" s="1181"/>
      <c r="HIF8" s="4" t="s">
        <v>4</v>
      </c>
      <c r="HIG8" s="5" t="s">
        <v>5</v>
      </c>
      <c r="HIH8" s="1181" t="s">
        <v>15</v>
      </c>
      <c r="HII8" s="1181"/>
      <c r="HIJ8" s="5" t="s">
        <v>4</v>
      </c>
      <c r="HIK8" s="5" t="s">
        <v>0</v>
      </c>
      <c r="HIL8" s="1181" t="s">
        <v>15</v>
      </c>
      <c r="HIM8" s="1181"/>
      <c r="HIN8" s="4" t="s">
        <v>4</v>
      </c>
      <c r="HIO8" s="5" t="s">
        <v>5</v>
      </c>
      <c r="HIP8" s="1181" t="s">
        <v>15</v>
      </c>
      <c r="HIQ8" s="1181"/>
      <c r="HIR8" s="5" t="s">
        <v>4</v>
      </c>
      <c r="HIS8" s="5" t="s">
        <v>0</v>
      </c>
      <c r="HIT8" s="1181" t="s">
        <v>15</v>
      </c>
      <c r="HIU8" s="1181"/>
      <c r="HIV8" s="4" t="s">
        <v>4</v>
      </c>
      <c r="HIW8" s="5" t="s">
        <v>5</v>
      </c>
      <c r="HIX8" s="1181" t="s">
        <v>15</v>
      </c>
      <c r="HIY8" s="1181"/>
      <c r="HIZ8" s="5" t="s">
        <v>4</v>
      </c>
      <c r="HJA8" s="5" t="s">
        <v>0</v>
      </c>
      <c r="HJB8" s="1181" t="s">
        <v>15</v>
      </c>
      <c r="HJC8" s="1181"/>
      <c r="HJD8" s="4" t="s">
        <v>4</v>
      </c>
      <c r="HJE8" s="5" t="s">
        <v>5</v>
      </c>
      <c r="HJF8" s="1181" t="s">
        <v>15</v>
      </c>
      <c r="HJG8" s="1181"/>
      <c r="HJH8" s="5" t="s">
        <v>4</v>
      </c>
      <c r="HJI8" s="5" t="s">
        <v>0</v>
      </c>
      <c r="HJJ8" s="1181" t="s">
        <v>15</v>
      </c>
      <c r="HJK8" s="1181"/>
      <c r="HJL8" s="4" t="s">
        <v>4</v>
      </c>
      <c r="HJM8" s="5" t="s">
        <v>5</v>
      </c>
      <c r="HJN8" s="1181" t="s">
        <v>15</v>
      </c>
      <c r="HJO8" s="1181"/>
      <c r="HJP8" s="5" t="s">
        <v>4</v>
      </c>
      <c r="HJQ8" s="5" t="s">
        <v>0</v>
      </c>
      <c r="HJR8" s="1181" t="s">
        <v>15</v>
      </c>
      <c r="HJS8" s="1181"/>
      <c r="HJT8" s="4" t="s">
        <v>4</v>
      </c>
      <c r="HJU8" s="5" t="s">
        <v>5</v>
      </c>
      <c r="HJV8" s="1181" t="s">
        <v>15</v>
      </c>
      <c r="HJW8" s="1181"/>
      <c r="HJX8" s="5" t="s">
        <v>4</v>
      </c>
      <c r="HJY8" s="5" t="s">
        <v>0</v>
      </c>
      <c r="HJZ8" s="1181" t="s">
        <v>15</v>
      </c>
      <c r="HKA8" s="1181"/>
      <c r="HKB8" s="4" t="s">
        <v>4</v>
      </c>
      <c r="HKC8" s="5" t="s">
        <v>5</v>
      </c>
      <c r="HKD8" s="1181" t="s">
        <v>15</v>
      </c>
      <c r="HKE8" s="1181"/>
      <c r="HKF8" s="5" t="s">
        <v>4</v>
      </c>
      <c r="HKG8" s="5" t="s">
        <v>0</v>
      </c>
      <c r="HKH8" s="1181" t="s">
        <v>15</v>
      </c>
      <c r="HKI8" s="1181"/>
      <c r="HKJ8" s="4" t="s">
        <v>4</v>
      </c>
      <c r="HKK8" s="5" t="s">
        <v>5</v>
      </c>
      <c r="HKL8" s="1181" t="s">
        <v>15</v>
      </c>
      <c r="HKM8" s="1181"/>
      <c r="HKN8" s="5" t="s">
        <v>4</v>
      </c>
      <c r="HKO8" s="5" t="s">
        <v>0</v>
      </c>
      <c r="HKP8" s="1181" t="s">
        <v>15</v>
      </c>
      <c r="HKQ8" s="1181"/>
      <c r="HKR8" s="4" t="s">
        <v>4</v>
      </c>
      <c r="HKS8" s="5" t="s">
        <v>5</v>
      </c>
      <c r="HKT8" s="1181" t="s">
        <v>15</v>
      </c>
      <c r="HKU8" s="1181"/>
      <c r="HKV8" s="5" t="s">
        <v>4</v>
      </c>
      <c r="HKW8" s="5" t="s">
        <v>0</v>
      </c>
      <c r="HKX8" s="1181" t="s">
        <v>15</v>
      </c>
      <c r="HKY8" s="1181"/>
      <c r="HKZ8" s="4" t="s">
        <v>4</v>
      </c>
      <c r="HLA8" s="5" t="s">
        <v>5</v>
      </c>
      <c r="HLB8" s="1181" t="s">
        <v>15</v>
      </c>
      <c r="HLC8" s="1181"/>
      <c r="HLD8" s="5" t="s">
        <v>4</v>
      </c>
      <c r="HLE8" s="5" t="s">
        <v>0</v>
      </c>
      <c r="HLF8" s="1181" t="s">
        <v>15</v>
      </c>
      <c r="HLG8" s="1181"/>
      <c r="HLH8" s="4" t="s">
        <v>4</v>
      </c>
      <c r="HLI8" s="5" t="s">
        <v>5</v>
      </c>
      <c r="HLJ8" s="1181" t="s">
        <v>15</v>
      </c>
      <c r="HLK8" s="1181"/>
      <c r="HLL8" s="5" t="s">
        <v>4</v>
      </c>
      <c r="HLM8" s="5" t="s">
        <v>0</v>
      </c>
      <c r="HLN8" s="1181" t="s">
        <v>15</v>
      </c>
      <c r="HLO8" s="1181"/>
      <c r="HLP8" s="4" t="s">
        <v>4</v>
      </c>
      <c r="HLQ8" s="5" t="s">
        <v>5</v>
      </c>
      <c r="HLR8" s="1181" t="s">
        <v>15</v>
      </c>
      <c r="HLS8" s="1181"/>
      <c r="HLT8" s="5" t="s">
        <v>4</v>
      </c>
      <c r="HLU8" s="5" t="s">
        <v>0</v>
      </c>
      <c r="HLV8" s="1181" t="s">
        <v>15</v>
      </c>
      <c r="HLW8" s="1181"/>
      <c r="HLX8" s="4" t="s">
        <v>4</v>
      </c>
      <c r="HLY8" s="5" t="s">
        <v>5</v>
      </c>
      <c r="HLZ8" s="1181" t="s">
        <v>15</v>
      </c>
      <c r="HMA8" s="1181"/>
      <c r="HMB8" s="5" t="s">
        <v>4</v>
      </c>
      <c r="HMC8" s="5" t="s">
        <v>0</v>
      </c>
      <c r="HMD8" s="1181" t="s">
        <v>15</v>
      </c>
      <c r="HME8" s="1181"/>
      <c r="HMF8" s="4" t="s">
        <v>4</v>
      </c>
      <c r="HMG8" s="5" t="s">
        <v>5</v>
      </c>
      <c r="HMH8" s="1181" t="s">
        <v>15</v>
      </c>
      <c r="HMI8" s="1181"/>
      <c r="HMJ8" s="5" t="s">
        <v>4</v>
      </c>
      <c r="HMK8" s="5" t="s">
        <v>0</v>
      </c>
      <c r="HML8" s="1181" t="s">
        <v>15</v>
      </c>
      <c r="HMM8" s="1181"/>
      <c r="HMN8" s="4" t="s">
        <v>4</v>
      </c>
      <c r="HMO8" s="5" t="s">
        <v>5</v>
      </c>
      <c r="HMP8" s="1181" t="s">
        <v>15</v>
      </c>
      <c r="HMQ8" s="1181"/>
      <c r="HMR8" s="5" t="s">
        <v>4</v>
      </c>
      <c r="HMS8" s="5" t="s">
        <v>0</v>
      </c>
      <c r="HMT8" s="1181" t="s">
        <v>15</v>
      </c>
      <c r="HMU8" s="1181"/>
      <c r="HMV8" s="4" t="s">
        <v>4</v>
      </c>
      <c r="HMW8" s="5" t="s">
        <v>5</v>
      </c>
      <c r="HMX8" s="1181" t="s">
        <v>15</v>
      </c>
      <c r="HMY8" s="1181"/>
      <c r="HMZ8" s="5" t="s">
        <v>4</v>
      </c>
      <c r="HNA8" s="5" t="s">
        <v>0</v>
      </c>
      <c r="HNB8" s="1181" t="s">
        <v>15</v>
      </c>
      <c r="HNC8" s="1181"/>
      <c r="HND8" s="4" t="s">
        <v>4</v>
      </c>
      <c r="HNE8" s="5" t="s">
        <v>5</v>
      </c>
      <c r="HNF8" s="1181" t="s">
        <v>15</v>
      </c>
      <c r="HNG8" s="1181"/>
      <c r="HNH8" s="5" t="s">
        <v>4</v>
      </c>
      <c r="HNI8" s="5" t="s">
        <v>0</v>
      </c>
      <c r="HNJ8" s="1181" t="s">
        <v>15</v>
      </c>
      <c r="HNK8" s="1181"/>
      <c r="HNL8" s="4" t="s">
        <v>4</v>
      </c>
      <c r="HNM8" s="5" t="s">
        <v>5</v>
      </c>
      <c r="HNN8" s="1181" t="s">
        <v>15</v>
      </c>
      <c r="HNO8" s="1181"/>
      <c r="HNP8" s="5" t="s">
        <v>4</v>
      </c>
      <c r="HNQ8" s="5" t="s">
        <v>0</v>
      </c>
      <c r="HNR8" s="1181" t="s">
        <v>15</v>
      </c>
      <c r="HNS8" s="1181"/>
      <c r="HNT8" s="4" t="s">
        <v>4</v>
      </c>
      <c r="HNU8" s="5" t="s">
        <v>5</v>
      </c>
      <c r="HNV8" s="1181" t="s">
        <v>15</v>
      </c>
      <c r="HNW8" s="1181"/>
      <c r="HNX8" s="5" t="s">
        <v>4</v>
      </c>
      <c r="HNY8" s="5" t="s">
        <v>0</v>
      </c>
      <c r="HNZ8" s="1181" t="s">
        <v>15</v>
      </c>
      <c r="HOA8" s="1181"/>
      <c r="HOB8" s="4" t="s">
        <v>4</v>
      </c>
      <c r="HOC8" s="5" t="s">
        <v>5</v>
      </c>
      <c r="HOD8" s="1181" t="s">
        <v>15</v>
      </c>
      <c r="HOE8" s="1181"/>
      <c r="HOF8" s="5" t="s">
        <v>4</v>
      </c>
      <c r="HOG8" s="5" t="s">
        <v>0</v>
      </c>
      <c r="HOH8" s="1181" t="s">
        <v>15</v>
      </c>
      <c r="HOI8" s="1181"/>
      <c r="HOJ8" s="4" t="s">
        <v>4</v>
      </c>
      <c r="HOK8" s="5" t="s">
        <v>5</v>
      </c>
      <c r="HOL8" s="1181" t="s">
        <v>15</v>
      </c>
      <c r="HOM8" s="1181"/>
      <c r="HON8" s="5" t="s">
        <v>4</v>
      </c>
      <c r="HOO8" s="5" t="s">
        <v>0</v>
      </c>
      <c r="HOP8" s="1181" t="s">
        <v>15</v>
      </c>
      <c r="HOQ8" s="1181"/>
      <c r="HOR8" s="4" t="s">
        <v>4</v>
      </c>
      <c r="HOS8" s="5" t="s">
        <v>5</v>
      </c>
      <c r="HOT8" s="1181" t="s">
        <v>15</v>
      </c>
      <c r="HOU8" s="1181"/>
      <c r="HOV8" s="5" t="s">
        <v>4</v>
      </c>
      <c r="HOW8" s="5" t="s">
        <v>0</v>
      </c>
      <c r="HOX8" s="1181" t="s">
        <v>15</v>
      </c>
      <c r="HOY8" s="1181"/>
      <c r="HOZ8" s="4" t="s">
        <v>4</v>
      </c>
      <c r="HPA8" s="5" t="s">
        <v>5</v>
      </c>
      <c r="HPB8" s="1181" t="s">
        <v>15</v>
      </c>
      <c r="HPC8" s="1181"/>
      <c r="HPD8" s="5" t="s">
        <v>4</v>
      </c>
      <c r="HPE8" s="5" t="s">
        <v>0</v>
      </c>
      <c r="HPF8" s="1181" t="s">
        <v>15</v>
      </c>
      <c r="HPG8" s="1181"/>
      <c r="HPH8" s="4" t="s">
        <v>4</v>
      </c>
      <c r="HPI8" s="5" t="s">
        <v>5</v>
      </c>
      <c r="HPJ8" s="1181" t="s">
        <v>15</v>
      </c>
      <c r="HPK8" s="1181"/>
      <c r="HPL8" s="5" t="s">
        <v>4</v>
      </c>
      <c r="HPM8" s="5" t="s">
        <v>0</v>
      </c>
      <c r="HPN8" s="1181" t="s">
        <v>15</v>
      </c>
      <c r="HPO8" s="1181"/>
      <c r="HPP8" s="4" t="s">
        <v>4</v>
      </c>
      <c r="HPQ8" s="5" t="s">
        <v>5</v>
      </c>
      <c r="HPR8" s="1181" t="s">
        <v>15</v>
      </c>
      <c r="HPS8" s="1181"/>
      <c r="HPT8" s="5" t="s">
        <v>4</v>
      </c>
      <c r="HPU8" s="5" t="s">
        <v>0</v>
      </c>
      <c r="HPV8" s="1181" t="s">
        <v>15</v>
      </c>
      <c r="HPW8" s="1181"/>
      <c r="HPX8" s="4" t="s">
        <v>4</v>
      </c>
      <c r="HPY8" s="5" t="s">
        <v>5</v>
      </c>
      <c r="HPZ8" s="1181" t="s">
        <v>15</v>
      </c>
      <c r="HQA8" s="1181"/>
      <c r="HQB8" s="5" t="s">
        <v>4</v>
      </c>
      <c r="HQC8" s="5" t="s">
        <v>0</v>
      </c>
      <c r="HQD8" s="1181" t="s">
        <v>15</v>
      </c>
      <c r="HQE8" s="1181"/>
      <c r="HQF8" s="4" t="s">
        <v>4</v>
      </c>
      <c r="HQG8" s="5" t="s">
        <v>5</v>
      </c>
      <c r="HQH8" s="1181" t="s">
        <v>15</v>
      </c>
      <c r="HQI8" s="1181"/>
      <c r="HQJ8" s="5" t="s">
        <v>4</v>
      </c>
      <c r="HQK8" s="5" t="s">
        <v>0</v>
      </c>
      <c r="HQL8" s="1181" t="s">
        <v>15</v>
      </c>
      <c r="HQM8" s="1181"/>
      <c r="HQN8" s="4" t="s">
        <v>4</v>
      </c>
      <c r="HQO8" s="5" t="s">
        <v>5</v>
      </c>
      <c r="HQP8" s="1181" t="s">
        <v>15</v>
      </c>
      <c r="HQQ8" s="1181"/>
      <c r="HQR8" s="5" t="s">
        <v>4</v>
      </c>
      <c r="HQS8" s="5" t="s">
        <v>0</v>
      </c>
      <c r="HQT8" s="1181" t="s">
        <v>15</v>
      </c>
      <c r="HQU8" s="1181"/>
      <c r="HQV8" s="4" t="s">
        <v>4</v>
      </c>
      <c r="HQW8" s="5" t="s">
        <v>5</v>
      </c>
      <c r="HQX8" s="1181" t="s">
        <v>15</v>
      </c>
      <c r="HQY8" s="1181"/>
      <c r="HQZ8" s="5" t="s">
        <v>4</v>
      </c>
      <c r="HRA8" s="5" t="s">
        <v>0</v>
      </c>
      <c r="HRB8" s="1181" t="s">
        <v>15</v>
      </c>
      <c r="HRC8" s="1181"/>
      <c r="HRD8" s="4" t="s">
        <v>4</v>
      </c>
      <c r="HRE8" s="5" t="s">
        <v>5</v>
      </c>
      <c r="HRF8" s="1181" t="s">
        <v>15</v>
      </c>
      <c r="HRG8" s="1181"/>
      <c r="HRH8" s="5" t="s">
        <v>4</v>
      </c>
      <c r="HRI8" s="5" t="s">
        <v>0</v>
      </c>
      <c r="HRJ8" s="1181" t="s">
        <v>15</v>
      </c>
      <c r="HRK8" s="1181"/>
      <c r="HRL8" s="4" t="s">
        <v>4</v>
      </c>
      <c r="HRM8" s="5" t="s">
        <v>5</v>
      </c>
      <c r="HRN8" s="1181" t="s">
        <v>15</v>
      </c>
      <c r="HRO8" s="1181"/>
      <c r="HRP8" s="5" t="s">
        <v>4</v>
      </c>
      <c r="HRQ8" s="5" t="s">
        <v>0</v>
      </c>
      <c r="HRR8" s="1181" t="s">
        <v>15</v>
      </c>
      <c r="HRS8" s="1181"/>
      <c r="HRT8" s="4" t="s">
        <v>4</v>
      </c>
      <c r="HRU8" s="5" t="s">
        <v>5</v>
      </c>
      <c r="HRV8" s="1181" t="s">
        <v>15</v>
      </c>
      <c r="HRW8" s="1181"/>
      <c r="HRX8" s="5" t="s">
        <v>4</v>
      </c>
      <c r="HRY8" s="5" t="s">
        <v>0</v>
      </c>
      <c r="HRZ8" s="1181" t="s">
        <v>15</v>
      </c>
      <c r="HSA8" s="1181"/>
      <c r="HSB8" s="4" t="s">
        <v>4</v>
      </c>
      <c r="HSC8" s="5" t="s">
        <v>5</v>
      </c>
      <c r="HSD8" s="1181" t="s">
        <v>15</v>
      </c>
      <c r="HSE8" s="1181"/>
      <c r="HSF8" s="5" t="s">
        <v>4</v>
      </c>
      <c r="HSG8" s="5" t="s">
        <v>0</v>
      </c>
      <c r="HSH8" s="1181" t="s">
        <v>15</v>
      </c>
      <c r="HSI8" s="1181"/>
      <c r="HSJ8" s="4" t="s">
        <v>4</v>
      </c>
      <c r="HSK8" s="5" t="s">
        <v>5</v>
      </c>
      <c r="HSL8" s="1181" t="s">
        <v>15</v>
      </c>
      <c r="HSM8" s="1181"/>
      <c r="HSN8" s="5" t="s">
        <v>4</v>
      </c>
      <c r="HSO8" s="5" t="s">
        <v>0</v>
      </c>
      <c r="HSP8" s="1181" t="s">
        <v>15</v>
      </c>
      <c r="HSQ8" s="1181"/>
      <c r="HSR8" s="4" t="s">
        <v>4</v>
      </c>
      <c r="HSS8" s="5" t="s">
        <v>5</v>
      </c>
      <c r="HST8" s="1181" t="s">
        <v>15</v>
      </c>
      <c r="HSU8" s="1181"/>
      <c r="HSV8" s="5" t="s">
        <v>4</v>
      </c>
      <c r="HSW8" s="5" t="s">
        <v>0</v>
      </c>
      <c r="HSX8" s="1181" t="s">
        <v>15</v>
      </c>
      <c r="HSY8" s="1181"/>
      <c r="HSZ8" s="4" t="s">
        <v>4</v>
      </c>
      <c r="HTA8" s="5" t="s">
        <v>5</v>
      </c>
      <c r="HTB8" s="1181" t="s">
        <v>15</v>
      </c>
      <c r="HTC8" s="1181"/>
      <c r="HTD8" s="5" t="s">
        <v>4</v>
      </c>
      <c r="HTE8" s="5" t="s">
        <v>0</v>
      </c>
      <c r="HTF8" s="1181" t="s">
        <v>15</v>
      </c>
      <c r="HTG8" s="1181"/>
      <c r="HTH8" s="4" t="s">
        <v>4</v>
      </c>
      <c r="HTI8" s="5" t="s">
        <v>5</v>
      </c>
      <c r="HTJ8" s="1181" t="s">
        <v>15</v>
      </c>
      <c r="HTK8" s="1181"/>
      <c r="HTL8" s="5" t="s">
        <v>4</v>
      </c>
      <c r="HTM8" s="5" t="s">
        <v>0</v>
      </c>
      <c r="HTN8" s="1181" t="s">
        <v>15</v>
      </c>
      <c r="HTO8" s="1181"/>
      <c r="HTP8" s="4" t="s">
        <v>4</v>
      </c>
      <c r="HTQ8" s="5" t="s">
        <v>5</v>
      </c>
      <c r="HTR8" s="1181" t="s">
        <v>15</v>
      </c>
      <c r="HTS8" s="1181"/>
      <c r="HTT8" s="5" t="s">
        <v>4</v>
      </c>
      <c r="HTU8" s="5" t="s">
        <v>0</v>
      </c>
      <c r="HTV8" s="1181" t="s">
        <v>15</v>
      </c>
      <c r="HTW8" s="1181"/>
      <c r="HTX8" s="4" t="s">
        <v>4</v>
      </c>
      <c r="HTY8" s="5" t="s">
        <v>5</v>
      </c>
      <c r="HTZ8" s="1181" t="s">
        <v>15</v>
      </c>
      <c r="HUA8" s="1181"/>
      <c r="HUB8" s="5" t="s">
        <v>4</v>
      </c>
      <c r="HUC8" s="5" t="s">
        <v>0</v>
      </c>
      <c r="HUD8" s="1181" t="s">
        <v>15</v>
      </c>
      <c r="HUE8" s="1181"/>
      <c r="HUF8" s="4" t="s">
        <v>4</v>
      </c>
      <c r="HUG8" s="5" t="s">
        <v>5</v>
      </c>
      <c r="HUH8" s="1181" t="s">
        <v>15</v>
      </c>
      <c r="HUI8" s="1181"/>
      <c r="HUJ8" s="5" t="s">
        <v>4</v>
      </c>
      <c r="HUK8" s="5" t="s">
        <v>0</v>
      </c>
      <c r="HUL8" s="1181" t="s">
        <v>15</v>
      </c>
      <c r="HUM8" s="1181"/>
      <c r="HUN8" s="4" t="s">
        <v>4</v>
      </c>
      <c r="HUO8" s="5" t="s">
        <v>5</v>
      </c>
      <c r="HUP8" s="1181" t="s">
        <v>15</v>
      </c>
      <c r="HUQ8" s="1181"/>
      <c r="HUR8" s="5" t="s">
        <v>4</v>
      </c>
      <c r="HUS8" s="5" t="s">
        <v>0</v>
      </c>
      <c r="HUT8" s="1181" t="s">
        <v>15</v>
      </c>
      <c r="HUU8" s="1181"/>
      <c r="HUV8" s="4" t="s">
        <v>4</v>
      </c>
      <c r="HUW8" s="5" t="s">
        <v>5</v>
      </c>
      <c r="HUX8" s="1181" t="s">
        <v>15</v>
      </c>
      <c r="HUY8" s="1181"/>
      <c r="HUZ8" s="5" t="s">
        <v>4</v>
      </c>
      <c r="HVA8" s="5" t="s">
        <v>0</v>
      </c>
      <c r="HVB8" s="1181" t="s">
        <v>15</v>
      </c>
      <c r="HVC8" s="1181"/>
      <c r="HVD8" s="4" t="s">
        <v>4</v>
      </c>
      <c r="HVE8" s="5" t="s">
        <v>5</v>
      </c>
      <c r="HVF8" s="1181" t="s">
        <v>15</v>
      </c>
      <c r="HVG8" s="1181"/>
      <c r="HVH8" s="5" t="s">
        <v>4</v>
      </c>
      <c r="HVI8" s="5" t="s">
        <v>0</v>
      </c>
      <c r="HVJ8" s="1181" t="s">
        <v>15</v>
      </c>
      <c r="HVK8" s="1181"/>
      <c r="HVL8" s="4" t="s">
        <v>4</v>
      </c>
      <c r="HVM8" s="5" t="s">
        <v>5</v>
      </c>
      <c r="HVN8" s="1181" t="s">
        <v>15</v>
      </c>
      <c r="HVO8" s="1181"/>
      <c r="HVP8" s="5" t="s">
        <v>4</v>
      </c>
      <c r="HVQ8" s="5" t="s">
        <v>0</v>
      </c>
      <c r="HVR8" s="1181" t="s">
        <v>15</v>
      </c>
      <c r="HVS8" s="1181"/>
      <c r="HVT8" s="4" t="s">
        <v>4</v>
      </c>
      <c r="HVU8" s="5" t="s">
        <v>5</v>
      </c>
      <c r="HVV8" s="1181" t="s">
        <v>15</v>
      </c>
      <c r="HVW8" s="1181"/>
      <c r="HVX8" s="5" t="s">
        <v>4</v>
      </c>
      <c r="HVY8" s="5" t="s">
        <v>0</v>
      </c>
      <c r="HVZ8" s="1181" t="s">
        <v>15</v>
      </c>
      <c r="HWA8" s="1181"/>
      <c r="HWB8" s="4" t="s">
        <v>4</v>
      </c>
      <c r="HWC8" s="5" t="s">
        <v>5</v>
      </c>
      <c r="HWD8" s="1181" t="s">
        <v>15</v>
      </c>
      <c r="HWE8" s="1181"/>
      <c r="HWF8" s="5" t="s">
        <v>4</v>
      </c>
      <c r="HWG8" s="5" t="s">
        <v>0</v>
      </c>
      <c r="HWH8" s="1181" t="s">
        <v>15</v>
      </c>
      <c r="HWI8" s="1181"/>
      <c r="HWJ8" s="4" t="s">
        <v>4</v>
      </c>
      <c r="HWK8" s="5" t="s">
        <v>5</v>
      </c>
      <c r="HWL8" s="1181" t="s">
        <v>15</v>
      </c>
      <c r="HWM8" s="1181"/>
      <c r="HWN8" s="5" t="s">
        <v>4</v>
      </c>
      <c r="HWO8" s="5" t="s">
        <v>0</v>
      </c>
      <c r="HWP8" s="1181" t="s">
        <v>15</v>
      </c>
      <c r="HWQ8" s="1181"/>
      <c r="HWR8" s="4" t="s">
        <v>4</v>
      </c>
      <c r="HWS8" s="5" t="s">
        <v>5</v>
      </c>
      <c r="HWT8" s="1181" t="s">
        <v>15</v>
      </c>
      <c r="HWU8" s="1181"/>
      <c r="HWV8" s="5" t="s">
        <v>4</v>
      </c>
      <c r="HWW8" s="5" t="s">
        <v>0</v>
      </c>
      <c r="HWX8" s="1181" t="s">
        <v>15</v>
      </c>
      <c r="HWY8" s="1181"/>
      <c r="HWZ8" s="4" t="s">
        <v>4</v>
      </c>
      <c r="HXA8" s="5" t="s">
        <v>5</v>
      </c>
      <c r="HXB8" s="1181" t="s">
        <v>15</v>
      </c>
      <c r="HXC8" s="1181"/>
      <c r="HXD8" s="5" t="s">
        <v>4</v>
      </c>
      <c r="HXE8" s="5" t="s">
        <v>0</v>
      </c>
      <c r="HXF8" s="1181" t="s">
        <v>15</v>
      </c>
      <c r="HXG8" s="1181"/>
      <c r="HXH8" s="4" t="s">
        <v>4</v>
      </c>
      <c r="HXI8" s="5" t="s">
        <v>5</v>
      </c>
      <c r="HXJ8" s="1181" t="s">
        <v>15</v>
      </c>
      <c r="HXK8" s="1181"/>
      <c r="HXL8" s="5" t="s">
        <v>4</v>
      </c>
      <c r="HXM8" s="5" t="s">
        <v>0</v>
      </c>
      <c r="HXN8" s="1181" t="s">
        <v>15</v>
      </c>
      <c r="HXO8" s="1181"/>
      <c r="HXP8" s="4" t="s">
        <v>4</v>
      </c>
      <c r="HXQ8" s="5" t="s">
        <v>5</v>
      </c>
      <c r="HXR8" s="1181" t="s">
        <v>15</v>
      </c>
      <c r="HXS8" s="1181"/>
      <c r="HXT8" s="5" t="s">
        <v>4</v>
      </c>
      <c r="HXU8" s="5" t="s">
        <v>0</v>
      </c>
      <c r="HXV8" s="1181" t="s">
        <v>15</v>
      </c>
      <c r="HXW8" s="1181"/>
      <c r="HXX8" s="4" t="s">
        <v>4</v>
      </c>
      <c r="HXY8" s="5" t="s">
        <v>5</v>
      </c>
      <c r="HXZ8" s="1181" t="s">
        <v>15</v>
      </c>
      <c r="HYA8" s="1181"/>
      <c r="HYB8" s="5" t="s">
        <v>4</v>
      </c>
      <c r="HYC8" s="5" t="s">
        <v>0</v>
      </c>
      <c r="HYD8" s="1181" t="s">
        <v>15</v>
      </c>
      <c r="HYE8" s="1181"/>
      <c r="HYF8" s="4" t="s">
        <v>4</v>
      </c>
      <c r="HYG8" s="5" t="s">
        <v>5</v>
      </c>
      <c r="HYH8" s="1181" t="s">
        <v>15</v>
      </c>
      <c r="HYI8" s="1181"/>
      <c r="HYJ8" s="5" t="s">
        <v>4</v>
      </c>
      <c r="HYK8" s="5" t="s">
        <v>0</v>
      </c>
      <c r="HYL8" s="1181" t="s">
        <v>15</v>
      </c>
      <c r="HYM8" s="1181"/>
      <c r="HYN8" s="4" t="s">
        <v>4</v>
      </c>
      <c r="HYO8" s="5" t="s">
        <v>5</v>
      </c>
      <c r="HYP8" s="1181" t="s">
        <v>15</v>
      </c>
      <c r="HYQ8" s="1181"/>
      <c r="HYR8" s="5" t="s">
        <v>4</v>
      </c>
      <c r="HYS8" s="5" t="s">
        <v>0</v>
      </c>
      <c r="HYT8" s="1181" t="s">
        <v>15</v>
      </c>
      <c r="HYU8" s="1181"/>
      <c r="HYV8" s="4" t="s">
        <v>4</v>
      </c>
      <c r="HYW8" s="5" t="s">
        <v>5</v>
      </c>
      <c r="HYX8" s="1181" t="s">
        <v>15</v>
      </c>
      <c r="HYY8" s="1181"/>
      <c r="HYZ8" s="5" t="s">
        <v>4</v>
      </c>
      <c r="HZA8" s="5" t="s">
        <v>0</v>
      </c>
      <c r="HZB8" s="1181" t="s">
        <v>15</v>
      </c>
      <c r="HZC8" s="1181"/>
      <c r="HZD8" s="4" t="s">
        <v>4</v>
      </c>
      <c r="HZE8" s="5" t="s">
        <v>5</v>
      </c>
      <c r="HZF8" s="1181" t="s">
        <v>15</v>
      </c>
      <c r="HZG8" s="1181"/>
      <c r="HZH8" s="5" t="s">
        <v>4</v>
      </c>
      <c r="HZI8" s="5" t="s">
        <v>0</v>
      </c>
      <c r="HZJ8" s="1181" t="s">
        <v>15</v>
      </c>
      <c r="HZK8" s="1181"/>
      <c r="HZL8" s="4" t="s">
        <v>4</v>
      </c>
      <c r="HZM8" s="5" t="s">
        <v>5</v>
      </c>
      <c r="HZN8" s="1181" t="s">
        <v>15</v>
      </c>
      <c r="HZO8" s="1181"/>
      <c r="HZP8" s="5" t="s">
        <v>4</v>
      </c>
      <c r="HZQ8" s="5" t="s">
        <v>0</v>
      </c>
      <c r="HZR8" s="1181" t="s">
        <v>15</v>
      </c>
      <c r="HZS8" s="1181"/>
      <c r="HZT8" s="4" t="s">
        <v>4</v>
      </c>
      <c r="HZU8" s="5" t="s">
        <v>5</v>
      </c>
      <c r="HZV8" s="1181" t="s">
        <v>15</v>
      </c>
      <c r="HZW8" s="1181"/>
      <c r="HZX8" s="5" t="s">
        <v>4</v>
      </c>
      <c r="HZY8" s="5" t="s">
        <v>0</v>
      </c>
      <c r="HZZ8" s="1181" t="s">
        <v>15</v>
      </c>
      <c r="IAA8" s="1181"/>
      <c r="IAB8" s="4" t="s">
        <v>4</v>
      </c>
      <c r="IAC8" s="5" t="s">
        <v>5</v>
      </c>
      <c r="IAD8" s="1181" t="s">
        <v>15</v>
      </c>
      <c r="IAE8" s="1181"/>
      <c r="IAF8" s="5" t="s">
        <v>4</v>
      </c>
      <c r="IAG8" s="5" t="s">
        <v>0</v>
      </c>
      <c r="IAH8" s="1181" t="s">
        <v>15</v>
      </c>
      <c r="IAI8" s="1181"/>
      <c r="IAJ8" s="4" t="s">
        <v>4</v>
      </c>
      <c r="IAK8" s="5" t="s">
        <v>5</v>
      </c>
      <c r="IAL8" s="1181" t="s">
        <v>15</v>
      </c>
      <c r="IAM8" s="1181"/>
      <c r="IAN8" s="5" t="s">
        <v>4</v>
      </c>
      <c r="IAO8" s="5" t="s">
        <v>0</v>
      </c>
      <c r="IAP8" s="1181" t="s">
        <v>15</v>
      </c>
      <c r="IAQ8" s="1181"/>
      <c r="IAR8" s="4" t="s">
        <v>4</v>
      </c>
      <c r="IAS8" s="5" t="s">
        <v>5</v>
      </c>
      <c r="IAT8" s="1181" t="s">
        <v>15</v>
      </c>
      <c r="IAU8" s="1181"/>
      <c r="IAV8" s="5" t="s">
        <v>4</v>
      </c>
      <c r="IAW8" s="5" t="s">
        <v>0</v>
      </c>
      <c r="IAX8" s="1181" t="s">
        <v>15</v>
      </c>
      <c r="IAY8" s="1181"/>
      <c r="IAZ8" s="4" t="s">
        <v>4</v>
      </c>
      <c r="IBA8" s="5" t="s">
        <v>5</v>
      </c>
      <c r="IBB8" s="1181" t="s">
        <v>15</v>
      </c>
      <c r="IBC8" s="1181"/>
      <c r="IBD8" s="5" t="s">
        <v>4</v>
      </c>
      <c r="IBE8" s="5" t="s">
        <v>0</v>
      </c>
      <c r="IBF8" s="1181" t="s">
        <v>15</v>
      </c>
      <c r="IBG8" s="1181"/>
      <c r="IBH8" s="4" t="s">
        <v>4</v>
      </c>
      <c r="IBI8" s="5" t="s">
        <v>5</v>
      </c>
      <c r="IBJ8" s="1181" t="s">
        <v>15</v>
      </c>
      <c r="IBK8" s="1181"/>
      <c r="IBL8" s="5" t="s">
        <v>4</v>
      </c>
      <c r="IBM8" s="5" t="s">
        <v>0</v>
      </c>
      <c r="IBN8" s="1181" t="s">
        <v>15</v>
      </c>
      <c r="IBO8" s="1181"/>
      <c r="IBP8" s="4" t="s">
        <v>4</v>
      </c>
      <c r="IBQ8" s="5" t="s">
        <v>5</v>
      </c>
      <c r="IBR8" s="1181" t="s">
        <v>15</v>
      </c>
      <c r="IBS8" s="1181"/>
      <c r="IBT8" s="5" t="s">
        <v>4</v>
      </c>
      <c r="IBU8" s="5" t="s">
        <v>0</v>
      </c>
      <c r="IBV8" s="1181" t="s">
        <v>15</v>
      </c>
      <c r="IBW8" s="1181"/>
      <c r="IBX8" s="4" t="s">
        <v>4</v>
      </c>
      <c r="IBY8" s="5" t="s">
        <v>5</v>
      </c>
      <c r="IBZ8" s="1181" t="s">
        <v>15</v>
      </c>
      <c r="ICA8" s="1181"/>
      <c r="ICB8" s="5" t="s">
        <v>4</v>
      </c>
      <c r="ICC8" s="5" t="s">
        <v>0</v>
      </c>
      <c r="ICD8" s="1181" t="s">
        <v>15</v>
      </c>
      <c r="ICE8" s="1181"/>
      <c r="ICF8" s="4" t="s">
        <v>4</v>
      </c>
      <c r="ICG8" s="5" t="s">
        <v>5</v>
      </c>
      <c r="ICH8" s="1181" t="s">
        <v>15</v>
      </c>
      <c r="ICI8" s="1181"/>
      <c r="ICJ8" s="5" t="s">
        <v>4</v>
      </c>
      <c r="ICK8" s="5" t="s">
        <v>0</v>
      </c>
      <c r="ICL8" s="1181" t="s">
        <v>15</v>
      </c>
      <c r="ICM8" s="1181"/>
      <c r="ICN8" s="4" t="s">
        <v>4</v>
      </c>
      <c r="ICO8" s="5" t="s">
        <v>5</v>
      </c>
      <c r="ICP8" s="1181" t="s">
        <v>15</v>
      </c>
      <c r="ICQ8" s="1181"/>
      <c r="ICR8" s="5" t="s">
        <v>4</v>
      </c>
      <c r="ICS8" s="5" t="s">
        <v>0</v>
      </c>
      <c r="ICT8" s="1181" t="s">
        <v>15</v>
      </c>
      <c r="ICU8" s="1181"/>
      <c r="ICV8" s="4" t="s">
        <v>4</v>
      </c>
      <c r="ICW8" s="5" t="s">
        <v>5</v>
      </c>
      <c r="ICX8" s="1181" t="s">
        <v>15</v>
      </c>
      <c r="ICY8" s="1181"/>
      <c r="ICZ8" s="5" t="s">
        <v>4</v>
      </c>
      <c r="IDA8" s="5" t="s">
        <v>0</v>
      </c>
      <c r="IDB8" s="1181" t="s">
        <v>15</v>
      </c>
      <c r="IDC8" s="1181"/>
      <c r="IDD8" s="4" t="s">
        <v>4</v>
      </c>
      <c r="IDE8" s="5" t="s">
        <v>5</v>
      </c>
      <c r="IDF8" s="1181" t="s">
        <v>15</v>
      </c>
      <c r="IDG8" s="1181"/>
      <c r="IDH8" s="5" t="s">
        <v>4</v>
      </c>
      <c r="IDI8" s="5" t="s">
        <v>0</v>
      </c>
      <c r="IDJ8" s="1181" t="s">
        <v>15</v>
      </c>
      <c r="IDK8" s="1181"/>
      <c r="IDL8" s="4" t="s">
        <v>4</v>
      </c>
      <c r="IDM8" s="5" t="s">
        <v>5</v>
      </c>
      <c r="IDN8" s="1181" t="s">
        <v>15</v>
      </c>
      <c r="IDO8" s="1181"/>
      <c r="IDP8" s="5" t="s">
        <v>4</v>
      </c>
      <c r="IDQ8" s="5" t="s">
        <v>0</v>
      </c>
      <c r="IDR8" s="1181" t="s">
        <v>15</v>
      </c>
      <c r="IDS8" s="1181"/>
      <c r="IDT8" s="4" t="s">
        <v>4</v>
      </c>
      <c r="IDU8" s="5" t="s">
        <v>5</v>
      </c>
      <c r="IDV8" s="1181" t="s">
        <v>15</v>
      </c>
      <c r="IDW8" s="1181"/>
      <c r="IDX8" s="5" t="s">
        <v>4</v>
      </c>
      <c r="IDY8" s="5" t="s">
        <v>0</v>
      </c>
      <c r="IDZ8" s="1181" t="s">
        <v>15</v>
      </c>
      <c r="IEA8" s="1181"/>
      <c r="IEB8" s="4" t="s">
        <v>4</v>
      </c>
      <c r="IEC8" s="5" t="s">
        <v>5</v>
      </c>
      <c r="IED8" s="1181" t="s">
        <v>15</v>
      </c>
      <c r="IEE8" s="1181"/>
      <c r="IEF8" s="5" t="s">
        <v>4</v>
      </c>
      <c r="IEG8" s="5" t="s">
        <v>0</v>
      </c>
      <c r="IEH8" s="1181" t="s">
        <v>15</v>
      </c>
      <c r="IEI8" s="1181"/>
      <c r="IEJ8" s="4" t="s">
        <v>4</v>
      </c>
      <c r="IEK8" s="5" t="s">
        <v>5</v>
      </c>
      <c r="IEL8" s="1181" t="s">
        <v>15</v>
      </c>
      <c r="IEM8" s="1181"/>
      <c r="IEN8" s="5" t="s">
        <v>4</v>
      </c>
      <c r="IEO8" s="5" t="s">
        <v>0</v>
      </c>
      <c r="IEP8" s="1181" t="s">
        <v>15</v>
      </c>
      <c r="IEQ8" s="1181"/>
      <c r="IER8" s="4" t="s">
        <v>4</v>
      </c>
      <c r="IES8" s="5" t="s">
        <v>5</v>
      </c>
      <c r="IET8" s="1181" t="s">
        <v>15</v>
      </c>
      <c r="IEU8" s="1181"/>
      <c r="IEV8" s="5" t="s">
        <v>4</v>
      </c>
      <c r="IEW8" s="5" t="s">
        <v>0</v>
      </c>
      <c r="IEX8" s="1181" t="s">
        <v>15</v>
      </c>
      <c r="IEY8" s="1181"/>
      <c r="IEZ8" s="4" t="s">
        <v>4</v>
      </c>
      <c r="IFA8" s="5" t="s">
        <v>5</v>
      </c>
      <c r="IFB8" s="1181" t="s">
        <v>15</v>
      </c>
      <c r="IFC8" s="1181"/>
      <c r="IFD8" s="5" t="s">
        <v>4</v>
      </c>
      <c r="IFE8" s="5" t="s">
        <v>0</v>
      </c>
      <c r="IFF8" s="1181" t="s">
        <v>15</v>
      </c>
      <c r="IFG8" s="1181"/>
      <c r="IFH8" s="4" t="s">
        <v>4</v>
      </c>
      <c r="IFI8" s="5" t="s">
        <v>5</v>
      </c>
      <c r="IFJ8" s="1181" t="s">
        <v>15</v>
      </c>
      <c r="IFK8" s="1181"/>
      <c r="IFL8" s="5" t="s">
        <v>4</v>
      </c>
      <c r="IFM8" s="5" t="s">
        <v>0</v>
      </c>
      <c r="IFN8" s="1181" t="s">
        <v>15</v>
      </c>
      <c r="IFO8" s="1181"/>
      <c r="IFP8" s="4" t="s">
        <v>4</v>
      </c>
      <c r="IFQ8" s="5" t="s">
        <v>5</v>
      </c>
      <c r="IFR8" s="1181" t="s">
        <v>15</v>
      </c>
      <c r="IFS8" s="1181"/>
      <c r="IFT8" s="5" t="s">
        <v>4</v>
      </c>
      <c r="IFU8" s="5" t="s">
        <v>0</v>
      </c>
      <c r="IFV8" s="1181" t="s">
        <v>15</v>
      </c>
      <c r="IFW8" s="1181"/>
      <c r="IFX8" s="4" t="s">
        <v>4</v>
      </c>
      <c r="IFY8" s="5" t="s">
        <v>5</v>
      </c>
      <c r="IFZ8" s="1181" t="s">
        <v>15</v>
      </c>
      <c r="IGA8" s="1181"/>
      <c r="IGB8" s="5" t="s">
        <v>4</v>
      </c>
      <c r="IGC8" s="5" t="s">
        <v>0</v>
      </c>
      <c r="IGD8" s="1181" t="s">
        <v>15</v>
      </c>
      <c r="IGE8" s="1181"/>
      <c r="IGF8" s="4" t="s">
        <v>4</v>
      </c>
      <c r="IGG8" s="5" t="s">
        <v>5</v>
      </c>
      <c r="IGH8" s="1181" t="s">
        <v>15</v>
      </c>
      <c r="IGI8" s="1181"/>
      <c r="IGJ8" s="5" t="s">
        <v>4</v>
      </c>
      <c r="IGK8" s="5" t="s">
        <v>0</v>
      </c>
      <c r="IGL8" s="1181" t="s">
        <v>15</v>
      </c>
      <c r="IGM8" s="1181"/>
      <c r="IGN8" s="4" t="s">
        <v>4</v>
      </c>
      <c r="IGO8" s="5" t="s">
        <v>5</v>
      </c>
      <c r="IGP8" s="1181" t="s">
        <v>15</v>
      </c>
      <c r="IGQ8" s="1181"/>
      <c r="IGR8" s="5" t="s">
        <v>4</v>
      </c>
      <c r="IGS8" s="5" t="s">
        <v>0</v>
      </c>
      <c r="IGT8" s="1181" t="s">
        <v>15</v>
      </c>
      <c r="IGU8" s="1181"/>
      <c r="IGV8" s="4" t="s">
        <v>4</v>
      </c>
      <c r="IGW8" s="5" t="s">
        <v>5</v>
      </c>
      <c r="IGX8" s="1181" t="s">
        <v>15</v>
      </c>
      <c r="IGY8" s="1181"/>
      <c r="IGZ8" s="5" t="s">
        <v>4</v>
      </c>
      <c r="IHA8" s="5" t="s">
        <v>0</v>
      </c>
      <c r="IHB8" s="1181" t="s">
        <v>15</v>
      </c>
      <c r="IHC8" s="1181"/>
      <c r="IHD8" s="4" t="s">
        <v>4</v>
      </c>
      <c r="IHE8" s="5" t="s">
        <v>5</v>
      </c>
      <c r="IHF8" s="1181" t="s">
        <v>15</v>
      </c>
      <c r="IHG8" s="1181"/>
      <c r="IHH8" s="5" t="s">
        <v>4</v>
      </c>
      <c r="IHI8" s="5" t="s">
        <v>0</v>
      </c>
      <c r="IHJ8" s="1181" t="s">
        <v>15</v>
      </c>
      <c r="IHK8" s="1181"/>
      <c r="IHL8" s="4" t="s">
        <v>4</v>
      </c>
      <c r="IHM8" s="5" t="s">
        <v>5</v>
      </c>
      <c r="IHN8" s="1181" t="s">
        <v>15</v>
      </c>
      <c r="IHO8" s="1181"/>
      <c r="IHP8" s="5" t="s">
        <v>4</v>
      </c>
      <c r="IHQ8" s="5" t="s">
        <v>0</v>
      </c>
      <c r="IHR8" s="1181" t="s">
        <v>15</v>
      </c>
      <c r="IHS8" s="1181"/>
      <c r="IHT8" s="4" t="s">
        <v>4</v>
      </c>
      <c r="IHU8" s="5" t="s">
        <v>5</v>
      </c>
      <c r="IHV8" s="1181" t="s">
        <v>15</v>
      </c>
      <c r="IHW8" s="1181"/>
      <c r="IHX8" s="5" t="s">
        <v>4</v>
      </c>
      <c r="IHY8" s="5" t="s">
        <v>0</v>
      </c>
      <c r="IHZ8" s="1181" t="s">
        <v>15</v>
      </c>
      <c r="IIA8" s="1181"/>
      <c r="IIB8" s="4" t="s">
        <v>4</v>
      </c>
      <c r="IIC8" s="5" t="s">
        <v>5</v>
      </c>
      <c r="IID8" s="1181" t="s">
        <v>15</v>
      </c>
      <c r="IIE8" s="1181"/>
      <c r="IIF8" s="5" t="s">
        <v>4</v>
      </c>
      <c r="IIG8" s="5" t="s">
        <v>0</v>
      </c>
      <c r="IIH8" s="1181" t="s">
        <v>15</v>
      </c>
      <c r="III8" s="1181"/>
      <c r="IIJ8" s="4" t="s">
        <v>4</v>
      </c>
      <c r="IIK8" s="5" t="s">
        <v>5</v>
      </c>
      <c r="IIL8" s="1181" t="s">
        <v>15</v>
      </c>
      <c r="IIM8" s="1181"/>
      <c r="IIN8" s="5" t="s">
        <v>4</v>
      </c>
      <c r="IIO8" s="5" t="s">
        <v>0</v>
      </c>
      <c r="IIP8" s="1181" t="s">
        <v>15</v>
      </c>
      <c r="IIQ8" s="1181"/>
      <c r="IIR8" s="4" t="s">
        <v>4</v>
      </c>
      <c r="IIS8" s="5" t="s">
        <v>5</v>
      </c>
      <c r="IIT8" s="1181" t="s">
        <v>15</v>
      </c>
      <c r="IIU8" s="1181"/>
      <c r="IIV8" s="5" t="s">
        <v>4</v>
      </c>
      <c r="IIW8" s="5" t="s">
        <v>0</v>
      </c>
      <c r="IIX8" s="1181" t="s">
        <v>15</v>
      </c>
      <c r="IIY8" s="1181"/>
      <c r="IIZ8" s="4" t="s">
        <v>4</v>
      </c>
      <c r="IJA8" s="5" t="s">
        <v>5</v>
      </c>
      <c r="IJB8" s="1181" t="s">
        <v>15</v>
      </c>
      <c r="IJC8" s="1181"/>
      <c r="IJD8" s="5" t="s">
        <v>4</v>
      </c>
      <c r="IJE8" s="5" t="s">
        <v>0</v>
      </c>
      <c r="IJF8" s="1181" t="s">
        <v>15</v>
      </c>
      <c r="IJG8" s="1181"/>
      <c r="IJH8" s="4" t="s">
        <v>4</v>
      </c>
      <c r="IJI8" s="5" t="s">
        <v>5</v>
      </c>
      <c r="IJJ8" s="1181" t="s">
        <v>15</v>
      </c>
      <c r="IJK8" s="1181"/>
      <c r="IJL8" s="5" t="s">
        <v>4</v>
      </c>
      <c r="IJM8" s="5" t="s">
        <v>0</v>
      </c>
      <c r="IJN8" s="1181" t="s">
        <v>15</v>
      </c>
      <c r="IJO8" s="1181"/>
      <c r="IJP8" s="4" t="s">
        <v>4</v>
      </c>
      <c r="IJQ8" s="5" t="s">
        <v>5</v>
      </c>
      <c r="IJR8" s="1181" t="s">
        <v>15</v>
      </c>
      <c r="IJS8" s="1181"/>
      <c r="IJT8" s="5" t="s">
        <v>4</v>
      </c>
      <c r="IJU8" s="5" t="s">
        <v>0</v>
      </c>
      <c r="IJV8" s="1181" t="s">
        <v>15</v>
      </c>
      <c r="IJW8" s="1181"/>
      <c r="IJX8" s="4" t="s">
        <v>4</v>
      </c>
      <c r="IJY8" s="5" t="s">
        <v>5</v>
      </c>
      <c r="IJZ8" s="1181" t="s">
        <v>15</v>
      </c>
      <c r="IKA8" s="1181"/>
      <c r="IKB8" s="5" t="s">
        <v>4</v>
      </c>
      <c r="IKC8" s="5" t="s">
        <v>0</v>
      </c>
      <c r="IKD8" s="1181" t="s">
        <v>15</v>
      </c>
      <c r="IKE8" s="1181"/>
      <c r="IKF8" s="4" t="s">
        <v>4</v>
      </c>
      <c r="IKG8" s="5" t="s">
        <v>5</v>
      </c>
      <c r="IKH8" s="1181" t="s">
        <v>15</v>
      </c>
      <c r="IKI8" s="1181"/>
      <c r="IKJ8" s="5" t="s">
        <v>4</v>
      </c>
      <c r="IKK8" s="5" t="s">
        <v>0</v>
      </c>
      <c r="IKL8" s="1181" t="s">
        <v>15</v>
      </c>
      <c r="IKM8" s="1181"/>
      <c r="IKN8" s="4" t="s">
        <v>4</v>
      </c>
      <c r="IKO8" s="5" t="s">
        <v>5</v>
      </c>
      <c r="IKP8" s="1181" t="s">
        <v>15</v>
      </c>
      <c r="IKQ8" s="1181"/>
      <c r="IKR8" s="5" t="s">
        <v>4</v>
      </c>
      <c r="IKS8" s="5" t="s">
        <v>0</v>
      </c>
      <c r="IKT8" s="1181" t="s">
        <v>15</v>
      </c>
      <c r="IKU8" s="1181"/>
      <c r="IKV8" s="4" t="s">
        <v>4</v>
      </c>
      <c r="IKW8" s="5" t="s">
        <v>5</v>
      </c>
      <c r="IKX8" s="1181" t="s">
        <v>15</v>
      </c>
      <c r="IKY8" s="1181"/>
      <c r="IKZ8" s="5" t="s">
        <v>4</v>
      </c>
      <c r="ILA8" s="5" t="s">
        <v>0</v>
      </c>
      <c r="ILB8" s="1181" t="s">
        <v>15</v>
      </c>
      <c r="ILC8" s="1181"/>
      <c r="ILD8" s="4" t="s">
        <v>4</v>
      </c>
      <c r="ILE8" s="5" t="s">
        <v>5</v>
      </c>
      <c r="ILF8" s="1181" t="s">
        <v>15</v>
      </c>
      <c r="ILG8" s="1181"/>
      <c r="ILH8" s="5" t="s">
        <v>4</v>
      </c>
      <c r="ILI8" s="5" t="s">
        <v>0</v>
      </c>
      <c r="ILJ8" s="1181" t="s">
        <v>15</v>
      </c>
      <c r="ILK8" s="1181"/>
      <c r="ILL8" s="4" t="s">
        <v>4</v>
      </c>
      <c r="ILM8" s="5" t="s">
        <v>5</v>
      </c>
      <c r="ILN8" s="1181" t="s">
        <v>15</v>
      </c>
      <c r="ILO8" s="1181"/>
      <c r="ILP8" s="5" t="s">
        <v>4</v>
      </c>
      <c r="ILQ8" s="5" t="s">
        <v>0</v>
      </c>
      <c r="ILR8" s="1181" t="s">
        <v>15</v>
      </c>
      <c r="ILS8" s="1181"/>
      <c r="ILT8" s="4" t="s">
        <v>4</v>
      </c>
      <c r="ILU8" s="5" t="s">
        <v>5</v>
      </c>
      <c r="ILV8" s="1181" t="s">
        <v>15</v>
      </c>
      <c r="ILW8" s="1181"/>
      <c r="ILX8" s="5" t="s">
        <v>4</v>
      </c>
      <c r="ILY8" s="5" t="s">
        <v>0</v>
      </c>
      <c r="ILZ8" s="1181" t="s">
        <v>15</v>
      </c>
      <c r="IMA8" s="1181"/>
      <c r="IMB8" s="4" t="s">
        <v>4</v>
      </c>
      <c r="IMC8" s="5" t="s">
        <v>5</v>
      </c>
      <c r="IMD8" s="1181" t="s">
        <v>15</v>
      </c>
      <c r="IME8" s="1181"/>
      <c r="IMF8" s="5" t="s">
        <v>4</v>
      </c>
      <c r="IMG8" s="5" t="s">
        <v>0</v>
      </c>
      <c r="IMH8" s="1181" t="s">
        <v>15</v>
      </c>
      <c r="IMI8" s="1181"/>
      <c r="IMJ8" s="4" t="s">
        <v>4</v>
      </c>
      <c r="IMK8" s="5" t="s">
        <v>5</v>
      </c>
      <c r="IML8" s="1181" t="s">
        <v>15</v>
      </c>
      <c r="IMM8" s="1181"/>
      <c r="IMN8" s="5" t="s">
        <v>4</v>
      </c>
      <c r="IMO8" s="5" t="s">
        <v>0</v>
      </c>
      <c r="IMP8" s="1181" t="s">
        <v>15</v>
      </c>
      <c r="IMQ8" s="1181"/>
      <c r="IMR8" s="4" t="s">
        <v>4</v>
      </c>
      <c r="IMS8" s="5" t="s">
        <v>5</v>
      </c>
      <c r="IMT8" s="1181" t="s">
        <v>15</v>
      </c>
      <c r="IMU8" s="1181"/>
      <c r="IMV8" s="5" t="s">
        <v>4</v>
      </c>
      <c r="IMW8" s="5" t="s">
        <v>0</v>
      </c>
      <c r="IMX8" s="1181" t="s">
        <v>15</v>
      </c>
      <c r="IMY8" s="1181"/>
      <c r="IMZ8" s="4" t="s">
        <v>4</v>
      </c>
      <c r="INA8" s="5" t="s">
        <v>5</v>
      </c>
      <c r="INB8" s="1181" t="s">
        <v>15</v>
      </c>
      <c r="INC8" s="1181"/>
      <c r="IND8" s="5" t="s">
        <v>4</v>
      </c>
      <c r="INE8" s="5" t="s">
        <v>0</v>
      </c>
      <c r="INF8" s="1181" t="s">
        <v>15</v>
      </c>
      <c r="ING8" s="1181"/>
      <c r="INH8" s="4" t="s">
        <v>4</v>
      </c>
      <c r="INI8" s="5" t="s">
        <v>5</v>
      </c>
      <c r="INJ8" s="1181" t="s">
        <v>15</v>
      </c>
      <c r="INK8" s="1181"/>
      <c r="INL8" s="5" t="s">
        <v>4</v>
      </c>
      <c r="INM8" s="5" t="s">
        <v>0</v>
      </c>
      <c r="INN8" s="1181" t="s">
        <v>15</v>
      </c>
      <c r="INO8" s="1181"/>
      <c r="INP8" s="4" t="s">
        <v>4</v>
      </c>
      <c r="INQ8" s="5" t="s">
        <v>5</v>
      </c>
      <c r="INR8" s="1181" t="s">
        <v>15</v>
      </c>
      <c r="INS8" s="1181"/>
      <c r="INT8" s="5" t="s">
        <v>4</v>
      </c>
      <c r="INU8" s="5" t="s">
        <v>0</v>
      </c>
      <c r="INV8" s="1181" t="s">
        <v>15</v>
      </c>
      <c r="INW8" s="1181"/>
      <c r="INX8" s="4" t="s">
        <v>4</v>
      </c>
      <c r="INY8" s="5" t="s">
        <v>5</v>
      </c>
      <c r="INZ8" s="1181" t="s">
        <v>15</v>
      </c>
      <c r="IOA8" s="1181"/>
      <c r="IOB8" s="5" t="s">
        <v>4</v>
      </c>
      <c r="IOC8" s="5" t="s">
        <v>0</v>
      </c>
      <c r="IOD8" s="1181" t="s">
        <v>15</v>
      </c>
      <c r="IOE8" s="1181"/>
      <c r="IOF8" s="4" t="s">
        <v>4</v>
      </c>
      <c r="IOG8" s="5" t="s">
        <v>5</v>
      </c>
      <c r="IOH8" s="1181" t="s">
        <v>15</v>
      </c>
      <c r="IOI8" s="1181"/>
      <c r="IOJ8" s="5" t="s">
        <v>4</v>
      </c>
      <c r="IOK8" s="5" t="s">
        <v>0</v>
      </c>
      <c r="IOL8" s="1181" t="s">
        <v>15</v>
      </c>
      <c r="IOM8" s="1181"/>
      <c r="ION8" s="4" t="s">
        <v>4</v>
      </c>
      <c r="IOO8" s="5" t="s">
        <v>5</v>
      </c>
      <c r="IOP8" s="1181" t="s">
        <v>15</v>
      </c>
      <c r="IOQ8" s="1181"/>
      <c r="IOR8" s="5" t="s">
        <v>4</v>
      </c>
      <c r="IOS8" s="5" t="s">
        <v>0</v>
      </c>
      <c r="IOT8" s="1181" t="s">
        <v>15</v>
      </c>
      <c r="IOU8" s="1181"/>
      <c r="IOV8" s="4" t="s">
        <v>4</v>
      </c>
      <c r="IOW8" s="5" t="s">
        <v>5</v>
      </c>
      <c r="IOX8" s="1181" t="s">
        <v>15</v>
      </c>
      <c r="IOY8" s="1181"/>
      <c r="IOZ8" s="5" t="s">
        <v>4</v>
      </c>
      <c r="IPA8" s="5" t="s">
        <v>0</v>
      </c>
      <c r="IPB8" s="1181" t="s">
        <v>15</v>
      </c>
      <c r="IPC8" s="1181"/>
      <c r="IPD8" s="4" t="s">
        <v>4</v>
      </c>
      <c r="IPE8" s="5" t="s">
        <v>5</v>
      </c>
      <c r="IPF8" s="1181" t="s">
        <v>15</v>
      </c>
      <c r="IPG8" s="1181"/>
      <c r="IPH8" s="5" t="s">
        <v>4</v>
      </c>
      <c r="IPI8" s="5" t="s">
        <v>0</v>
      </c>
      <c r="IPJ8" s="1181" t="s">
        <v>15</v>
      </c>
      <c r="IPK8" s="1181"/>
      <c r="IPL8" s="4" t="s">
        <v>4</v>
      </c>
      <c r="IPM8" s="5" t="s">
        <v>5</v>
      </c>
      <c r="IPN8" s="1181" t="s">
        <v>15</v>
      </c>
      <c r="IPO8" s="1181"/>
      <c r="IPP8" s="5" t="s">
        <v>4</v>
      </c>
      <c r="IPQ8" s="5" t="s">
        <v>0</v>
      </c>
      <c r="IPR8" s="1181" t="s">
        <v>15</v>
      </c>
      <c r="IPS8" s="1181"/>
      <c r="IPT8" s="4" t="s">
        <v>4</v>
      </c>
      <c r="IPU8" s="5" t="s">
        <v>5</v>
      </c>
      <c r="IPV8" s="1181" t="s">
        <v>15</v>
      </c>
      <c r="IPW8" s="1181"/>
      <c r="IPX8" s="5" t="s">
        <v>4</v>
      </c>
      <c r="IPY8" s="5" t="s">
        <v>0</v>
      </c>
      <c r="IPZ8" s="1181" t="s">
        <v>15</v>
      </c>
      <c r="IQA8" s="1181"/>
      <c r="IQB8" s="4" t="s">
        <v>4</v>
      </c>
      <c r="IQC8" s="5" t="s">
        <v>5</v>
      </c>
      <c r="IQD8" s="1181" t="s">
        <v>15</v>
      </c>
      <c r="IQE8" s="1181"/>
      <c r="IQF8" s="5" t="s">
        <v>4</v>
      </c>
      <c r="IQG8" s="5" t="s">
        <v>0</v>
      </c>
      <c r="IQH8" s="1181" t="s">
        <v>15</v>
      </c>
      <c r="IQI8" s="1181"/>
      <c r="IQJ8" s="4" t="s">
        <v>4</v>
      </c>
      <c r="IQK8" s="5" t="s">
        <v>5</v>
      </c>
      <c r="IQL8" s="1181" t="s">
        <v>15</v>
      </c>
      <c r="IQM8" s="1181"/>
      <c r="IQN8" s="5" t="s">
        <v>4</v>
      </c>
      <c r="IQO8" s="5" t="s">
        <v>0</v>
      </c>
      <c r="IQP8" s="1181" t="s">
        <v>15</v>
      </c>
      <c r="IQQ8" s="1181"/>
      <c r="IQR8" s="4" t="s">
        <v>4</v>
      </c>
      <c r="IQS8" s="5" t="s">
        <v>5</v>
      </c>
      <c r="IQT8" s="1181" t="s">
        <v>15</v>
      </c>
      <c r="IQU8" s="1181"/>
      <c r="IQV8" s="5" t="s">
        <v>4</v>
      </c>
      <c r="IQW8" s="5" t="s">
        <v>0</v>
      </c>
      <c r="IQX8" s="1181" t="s">
        <v>15</v>
      </c>
      <c r="IQY8" s="1181"/>
      <c r="IQZ8" s="4" t="s">
        <v>4</v>
      </c>
      <c r="IRA8" s="5" t="s">
        <v>5</v>
      </c>
      <c r="IRB8" s="1181" t="s">
        <v>15</v>
      </c>
      <c r="IRC8" s="1181"/>
      <c r="IRD8" s="5" t="s">
        <v>4</v>
      </c>
      <c r="IRE8" s="5" t="s">
        <v>0</v>
      </c>
      <c r="IRF8" s="1181" t="s">
        <v>15</v>
      </c>
      <c r="IRG8" s="1181"/>
      <c r="IRH8" s="4" t="s">
        <v>4</v>
      </c>
      <c r="IRI8" s="5" t="s">
        <v>5</v>
      </c>
      <c r="IRJ8" s="1181" t="s">
        <v>15</v>
      </c>
      <c r="IRK8" s="1181"/>
      <c r="IRL8" s="5" t="s">
        <v>4</v>
      </c>
      <c r="IRM8" s="5" t="s">
        <v>0</v>
      </c>
      <c r="IRN8" s="1181" t="s">
        <v>15</v>
      </c>
      <c r="IRO8" s="1181"/>
      <c r="IRP8" s="4" t="s">
        <v>4</v>
      </c>
      <c r="IRQ8" s="5" t="s">
        <v>5</v>
      </c>
      <c r="IRR8" s="1181" t="s">
        <v>15</v>
      </c>
      <c r="IRS8" s="1181"/>
      <c r="IRT8" s="5" t="s">
        <v>4</v>
      </c>
      <c r="IRU8" s="5" t="s">
        <v>0</v>
      </c>
      <c r="IRV8" s="1181" t="s">
        <v>15</v>
      </c>
      <c r="IRW8" s="1181"/>
      <c r="IRX8" s="4" t="s">
        <v>4</v>
      </c>
      <c r="IRY8" s="5" t="s">
        <v>5</v>
      </c>
      <c r="IRZ8" s="1181" t="s">
        <v>15</v>
      </c>
      <c r="ISA8" s="1181"/>
      <c r="ISB8" s="5" t="s">
        <v>4</v>
      </c>
      <c r="ISC8" s="5" t="s">
        <v>0</v>
      </c>
      <c r="ISD8" s="1181" t="s">
        <v>15</v>
      </c>
      <c r="ISE8" s="1181"/>
      <c r="ISF8" s="4" t="s">
        <v>4</v>
      </c>
      <c r="ISG8" s="5" t="s">
        <v>5</v>
      </c>
      <c r="ISH8" s="1181" t="s">
        <v>15</v>
      </c>
      <c r="ISI8" s="1181"/>
      <c r="ISJ8" s="5" t="s">
        <v>4</v>
      </c>
      <c r="ISK8" s="5" t="s">
        <v>0</v>
      </c>
      <c r="ISL8" s="1181" t="s">
        <v>15</v>
      </c>
      <c r="ISM8" s="1181"/>
      <c r="ISN8" s="4" t="s">
        <v>4</v>
      </c>
      <c r="ISO8" s="5" t="s">
        <v>5</v>
      </c>
      <c r="ISP8" s="1181" t="s">
        <v>15</v>
      </c>
      <c r="ISQ8" s="1181"/>
      <c r="ISR8" s="5" t="s">
        <v>4</v>
      </c>
      <c r="ISS8" s="5" t="s">
        <v>0</v>
      </c>
      <c r="IST8" s="1181" t="s">
        <v>15</v>
      </c>
      <c r="ISU8" s="1181"/>
      <c r="ISV8" s="4" t="s">
        <v>4</v>
      </c>
      <c r="ISW8" s="5" t="s">
        <v>5</v>
      </c>
      <c r="ISX8" s="1181" t="s">
        <v>15</v>
      </c>
      <c r="ISY8" s="1181"/>
      <c r="ISZ8" s="5" t="s">
        <v>4</v>
      </c>
      <c r="ITA8" s="5" t="s">
        <v>0</v>
      </c>
      <c r="ITB8" s="1181" t="s">
        <v>15</v>
      </c>
      <c r="ITC8" s="1181"/>
      <c r="ITD8" s="4" t="s">
        <v>4</v>
      </c>
      <c r="ITE8" s="5" t="s">
        <v>5</v>
      </c>
      <c r="ITF8" s="1181" t="s">
        <v>15</v>
      </c>
      <c r="ITG8" s="1181"/>
      <c r="ITH8" s="5" t="s">
        <v>4</v>
      </c>
      <c r="ITI8" s="5" t="s">
        <v>0</v>
      </c>
      <c r="ITJ8" s="1181" t="s">
        <v>15</v>
      </c>
      <c r="ITK8" s="1181"/>
      <c r="ITL8" s="4" t="s">
        <v>4</v>
      </c>
      <c r="ITM8" s="5" t="s">
        <v>5</v>
      </c>
      <c r="ITN8" s="1181" t="s">
        <v>15</v>
      </c>
      <c r="ITO8" s="1181"/>
      <c r="ITP8" s="5" t="s">
        <v>4</v>
      </c>
      <c r="ITQ8" s="5" t="s">
        <v>0</v>
      </c>
      <c r="ITR8" s="1181" t="s">
        <v>15</v>
      </c>
      <c r="ITS8" s="1181"/>
      <c r="ITT8" s="4" t="s">
        <v>4</v>
      </c>
      <c r="ITU8" s="5" t="s">
        <v>5</v>
      </c>
      <c r="ITV8" s="1181" t="s">
        <v>15</v>
      </c>
      <c r="ITW8" s="1181"/>
      <c r="ITX8" s="5" t="s">
        <v>4</v>
      </c>
      <c r="ITY8" s="5" t="s">
        <v>0</v>
      </c>
      <c r="ITZ8" s="1181" t="s">
        <v>15</v>
      </c>
      <c r="IUA8" s="1181"/>
      <c r="IUB8" s="4" t="s">
        <v>4</v>
      </c>
      <c r="IUC8" s="5" t="s">
        <v>5</v>
      </c>
      <c r="IUD8" s="1181" t="s">
        <v>15</v>
      </c>
      <c r="IUE8" s="1181"/>
      <c r="IUF8" s="5" t="s">
        <v>4</v>
      </c>
      <c r="IUG8" s="5" t="s">
        <v>0</v>
      </c>
      <c r="IUH8" s="1181" t="s">
        <v>15</v>
      </c>
      <c r="IUI8" s="1181"/>
      <c r="IUJ8" s="4" t="s">
        <v>4</v>
      </c>
      <c r="IUK8" s="5" t="s">
        <v>5</v>
      </c>
      <c r="IUL8" s="1181" t="s">
        <v>15</v>
      </c>
      <c r="IUM8" s="1181"/>
      <c r="IUN8" s="5" t="s">
        <v>4</v>
      </c>
      <c r="IUO8" s="5" t="s">
        <v>0</v>
      </c>
      <c r="IUP8" s="1181" t="s">
        <v>15</v>
      </c>
      <c r="IUQ8" s="1181"/>
      <c r="IUR8" s="4" t="s">
        <v>4</v>
      </c>
      <c r="IUS8" s="5" t="s">
        <v>5</v>
      </c>
      <c r="IUT8" s="1181" t="s">
        <v>15</v>
      </c>
      <c r="IUU8" s="1181"/>
      <c r="IUV8" s="5" t="s">
        <v>4</v>
      </c>
      <c r="IUW8" s="5" t="s">
        <v>0</v>
      </c>
      <c r="IUX8" s="1181" t="s">
        <v>15</v>
      </c>
      <c r="IUY8" s="1181"/>
      <c r="IUZ8" s="4" t="s">
        <v>4</v>
      </c>
      <c r="IVA8" s="5" t="s">
        <v>5</v>
      </c>
      <c r="IVB8" s="1181" t="s">
        <v>15</v>
      </c>
      <c r="IVC8" s="1181"/>
      <c r="IVD8" s="5" t="s">
        <v>4</v>
      </c>
      <c r="IVE8" s="5" t="s">
        <v>0</v>
      </c>
      <c r="IVF8" s="1181" t="s">
        <v>15</v>
      </c>
      <c r="IVG8" s="1181"/>
      <c r="IVH8" s="4" t="s">
        <v>4</v>
      </c>
      <c r="IVI8" s="5" t="s">
        <v>5</v>
      </c>
      <c r="IVJ8" s="1181" t="s">
        <v>15</v>
      </c>
      <c r="IVK8" s="1181"/>
      <c r="IVL8" s="5" t="s">
        <v>4</v>
      </c>
      <c r="IVM8" s="5" t="s">
        <v>0</v>
      </c>
      <c r="IVN8" s="1181" t="s">
        <v>15</v>
      </c>
      <c r="IVO8" s="1181"/>
      <c r="IVP8" s="4" t="s">
        <v>4</v>
      </c>
      <c r="IVQ8" s="5" t="s">
        <v>5</v>
      </c>
      <c r="IVR8" s="1181" t="s">
        <v>15</v>
      </c>
      <c r="IVS8" s="1181"/>
      <c r="IVT8" s="5" t="s">
        <v>4</v>
      </c>
      <c r="IVU8" s="5" t="s">
        <v>0</v>
      </c>
      <c r="IVV8" s="1181" t="s">
        <v>15</v>
      </c>
      <c r="IVW8" s="1181"/>
      <c r="IVX8" s="4" t="s">
        <v>4</v>
      </c>
      <c r="IVY8" s="5" t="s">
        <v>5</v>
      </c>
      <c r="IVZ8" s="1181" t="s">
        <v>15</v>
      </c>
      <c r="IWA8" s="1181"/>
      <c r="IWB8" s="5" t="s">
        <v>4</v>
      </c>
      <c r="IWC8" s="5" t="s">
        <v>0</v>
      </c>
      <c r="IWD8" s="1181" t="s">
        <v>15</v>
      </c>
      <c r="IWE8" s="1181"/>
      <c r="IWF8" s="4" t="s">
        <v>4</v>
      </c>
      <c r="IWG8" s="5" t="s">
        <v>5</v>
      </c>
      <c r="IWH8" s="1181" t="s">
        <v>15</v>
      </c>
      <c r="IWI8" s="1181"/>
      <c r="IWJ8" s="5" t="s">
        <v>4</v>
      </c>
      <c r="IWK8" s="5" t="s">
        <v>0</v>
      </c>
      <c r="IWL8" s="1181" t="s">
        <v>15</v>
      </c>
      <c r="IWM8" s="1181"/>
      <c r="IWN8" s="4" t="s">
        <v>4</v>
      </c>
      <c r="IWO8" s="5" t="s">
        <v>5</v>
      </c>
      <c r="IWP8" s="1181" t="s">
        <v>15</v>
      </c>
      <c r="IWQ8" s="1181"/>
      <c r="IWR8" s="5" t="s">
        <v>4</v>
      </c>
      <c r="IWS8" s="5" t="s">
        <v>0</v>
      </c>
      <c r="IWT8" s="1181" t="s">
        <v>15</v>
      </c>
      <c r="IWU8" s="1181"/>
      <c r="IWV8" s="4" t="s">
        <v>4</v>
      </c>
      <c r="IWW8" s="5" t="s">
        <v>5</v>
      </c>
      <c r="IWX8" s="1181" t="s">
        <v>15</v>
      </c>
      <c r="IWY8" s="1181"/>
      <c r="IWZ8" s="5" t="s">
        <v>4</v>
      </c>
      <c r="IXA8" s="5" t="s">
        <v>0</v>
      </c>
      <c r="IXB8" s="1181" t="s">
        <v>15</v>
      </c>
      <c r="IXC8" s="1181"/>
      <c r="IXD8" s="4" t="s">
        <v>4</v>
      </c>
      <c r="IXE8" s="5" t="s">
        <v>5</v>
      </c>
      <c r="IXF8" s="1181" t="s">
        <v>15</v>
      </c>
      <c r="IXG8" s="1181"/>
      <c r="IXH8" s="5" t="s">
        <v>4</v>
      </c>
      <c r="IXI8" s="5" t="s">
        <v>0</v>
      </c>
      <c r="IXJ8" s="1181" t="s">
        <v>15</v>
      </c>
      <c r="IXK8" s="1181"/>
      <c r="IXL8" s="4" t="s">
        <v>4</v>
      </c>
      <c r="IXM8" s="5" t="s">
        <v>5</v>
      </c>
      <c r="IXN8" s="1181" t="s">
        <v>15</v>
      </c>
      <c r="IXO8" s="1181"/>
      <c r="IXP8" s="5" t="s">
        <v>4</v>
      </c>
      <c r="IXQ8" s="5" t="s">
        <v>0</v>
      </c>
      <c r="IXR8" s="1181" t="s">
        <v>15</v>
      </c>
      <c r="IXS8" s="1181"/>
      <c r="IXT8" s="4" t="s">
        <v>4</v>
      </c>
      <c r="IXU8" s="5" t="s">
        <v>5</v>
      </c>
      <c r="IXV8" s="1181" t="s">
        <v>15</v>
      </c>
      <c r="IXW8" s="1181"/>
      <c r="IXX8" s="5" t="s">
        <v>4</v>
      </c>
      <c r="IXY8" s="5" t="s">
        <v>0</v>
      </c>
      <c r="IXZ8" s="1181" t="s">
        <v>15</v>
      </c>
      <c r="IYA8" s="1181"/>
      <c r="IYB8" s="4" t="s">
        <v>4</v>
      </c>
      <c r="IYC8" s="5" t="s">
        <v>5</v>
      </c>
      <c r="IYD8" s="1181" t="s">
        <v>15</v>
      </c>
      <c r="IYE8" s="1181"/>
      <c r="IYF8" s="5" t="s">
        <v>4</v>
      </c>
      <c r="IYG8" s="5" t="s">
        <v>0</v>
      </c>
      <c r="IYH8" s="1181" t="s">
        <v>15</v>
      </c>
      <c r="IYI8" s="1181"/>
      <c r="IYJ8" s="4" t="s">
        <v>4</v>
      </c>
      <c r="IYK8" s="5" t="s">
        <v>5</v>
      </c>
      <c r="IYL8" s="1181" t="s">
        <v>15</v>
      </c>
      <c r="IYM8" s="1181"/>
      <c r="IYN8" s="5" t="s">
        <v>4</v>
      </c>
      <c r="IYO8" s="5" t="s">
        <v>0</v>
      </c>
      <c r="IYP8" s="1181" t="s">
        <v>15</v>
      </c>
      <c r="IYQ8" s="1181"/>
      <c r="IYR8" s="4" t="s">
        <v>4</v>
      </c>
      <c r="IYS8" s="5" t="s">
        <v>5</v>
      </c>
      <c r="IYT8" s="1181" t="s">
        <v>15</v>
      </c>
      <c r="IYU8" s="1181"/>
      <c r="IYV8" s="5" t="s">
        <v>4</v>
      </c>
      <c r="IYW8" s="5" t="s">
        <v>0</v>
      </c>
      <c r="IYX8" s="1181" t="s">
        <v>15</v>
      </c>
      <c r="IYY8" s="1181"/>
      <c r="IYZ8" s="4" t="s">
        <v>4</v>
      </c>
      <c r="IZA8" s="5" t="s">
        <v>5</v>
      </c>
      <c r="IZB8" s="1181" t="s">
        <v>15</v>
      </c>
      <c r="IZC8" s="1181"/>
      <c r="IZD8" s="5" t="s">
        <v>4</v>
      </c>
      <c r="IZE8" s="5" t="s">
        <v>0</v>
      </c>
      <c r="IZF8" s="1181" t="s">
        <v>15</v>
      </c>
      <c r="IZG8" s="1181"/>
      <c r="IZH8" s="4" t="s">
        <v>4</v>
      </c>
      <c r="IZI8" s="5" t="s">
        <v>5</v>
      </c>
      <c r="IZJ8" s="1181" t="s">
        <v>15</v>
      </c>
      <c r="IZK8" s="1181"/>
      <c r="IZL8" s="5" t="s">
        <v>4</v>
      </c>
      <c r="IZM8" s="5" t="s">
        <v>0</v>
      </c>
      <c r="IZN8" s="1181" t="s">
        <v>15</v>
      </c>
      <c r="IZO8" s="1181"/>
      <c r="IZP8" s="4" t="s">
        <v>4</v>
      </c>
      <c r="IZQ8" s="5" t="s">
        <v>5</v>
      </c>
      <c r="IZR8" s="1181" t="s">
        <v>15</v>
      </c>
      <c r="IZS8" s="1181"/>
      <c r="IZT8" s="5" t="s">
        <v>4</v>
      </c>
      <c r="IZU8" s="5" t="s">
        <v>0</v>
      </c>
      <c r="IZV8" s="1181" t="s">
        <v>15</v>
      </c>
      <c r="IZW8" s="1181"/>
      <c r="IZX8" s="4" t="s">
        <v>4</v>
      </c>
      <c r="IZY8" s="5" t="s">
        <v>5</v>
      </c>
      <c r="IZZ8" s="1181" t="s">
        <v>15</v>
      </c>
      <c r="JAA8" s="1181"/>
      <c r="JAB8" s="5" t="s">
        <v>4</v>
      </c>
      <c r="JAC8" s="5" t="s">
        <v>0</v>
      </c>
      <c r="JAD8" s="1181" t="s">
        <v>15</v>
      </c>
      <c r="JAE8" s="1181"/>
      <c r="JAF8" s="4" t="s">
        <v>4</v>
      </c>
      <c r="JAG8" s="5" t="s">
        <v>5</v>
      </c>
      <c r="JAH8" s="1181" t="s">
        <v>15</v>
      </c>
      <c r="JAI8" s="1181"/>
      <c r="JAJ8" s="5" t="s">
        <v>4</v>
      </c>
      <c r="JAK8" s="5" t="s">
        <v>0</v>
      </c>
      <c r="JAL8" s="1181" t="s">
        <v>15</v>
      </c>
      <c r="JAM8" s="1181"/>
      <c r="JAN8" s="4" t="s">
        <v>4</v>
      </c>
      <c r="JAO8" s="5" t="s">
        <v>5</v>
      </c>
      <c r="JAP8" s="1181" t="s">
        <v>15</v>
      </c>
      <c r="JAQ8" s="1181"/>
      <c r="JAR8" s="5" t="s">
        <v>4</v>
      </c>
      <c r="JAS8" s="5" t="s">
        <v>0</v>
      </c>
      <c r="JAT8" s="1181" t="s">
        <v>15</v>
      </c>
      <c r="JAU8" s="1181"/>
      <c r="JAV8" s="4" t="s">
        <v>4</v>
      </c>
      <c r="JAW8" s="5" t="s">
        <v>5</v>
      </c>
      <c r="JAX8" s="1181" t="s">
        <v>15</v>
      </c>
      <c r="JAY8" s="1181"/>
      <c r="JAZ8" s="5" t="s">
        <v>4</v>
      </c>
      <c r="JBA8" s="5" t="s">
        <v>0</v>
      </c>
      <c r="JBB8" s="1181" t="s">
        <v>15</v>
      </c>
      <c r="JBC8" s="1181"/>
      <c r="JBD8" s="4" t="s">
        <v>4</v>
      </c>
      <c r="JBE8" s="5" t="s">
        <v>5</v>
      </c>
      <c r="JBF8" s="1181" t="s">
        <v>15</v>
      </c>
      <c r="JBG8" s="1181"/>
      <c r="JBH8" s="5" t="s">
        <v>4</v>
      </c>
      <c r="JBI8" s="5" t="s">
        <v>0</v>
      </c>
      <c r="JBJ8" s="1181" t="s">
        <v>15</v>
      </c>
      <c r="JBK8" s="1181"/>
      <c r="JBL8" s="4" t="s">
        <v>4</v>
      </c>
      <c r="JBM8" s="5" t="s">
        <v>5</v>
      </c>
      <c r="JBN8" s="1181" t="s">
        <v>15</v>
      </c>
      <c r="JBO8" s="1181"/>
      <c r="JBP8" s="5" t="s">
        <v>4</v>
      </c>
      <c r="JBQ8" s="5" t="s">
        <v>0</v>
      </c>
      <c r="JBR8" s="1181" t="s">
        <v>15</v>
      </c>
      <c r="JBS8" s="1181"/>
      <c r="JBT8" s="4" t="s">
        <v>4</v>
      </c>
      <c r="JBU8" s="5" t="s">
        <v>5</v>
      </c>
      <c r="JBV8" s="1181" t="s">
        <v>15</v>
      </c>
      <c r="JBW8" s="1181"/>
      <c r="JBX8" s="5" t="s">
        <v>4</v>
      </c>
      <c r="JBY8" s="5" t="s">
        <v>0</v>
      </c>
      <c r="JBZ8" s="1181" t="s">
        <v>15</v>
      </c>
      <c r="JCA8" s="1181"/>
      <c r="JCB8" s="4" t="s">
        <v>4</v>
      </c>
      <c r="JCC8" s="5" t="s">
        <v>5</v>
      </c>
      <c r="JCD8" s="1181" t="s">
        <v>15</v>
      </c>
      <c r="JCE8" s="1181"/>
      <c r="JCF8" s="5" t="s">
        <v>4</v>
      </c>
      <c r="JCG8" s="5" t="s">
        <v>0</v>
      </c>
      <c r="JCH8" s="1181" t="s">
        <v>15</v>
      </c>
      <c r="JCI8" s="1181"/>
      <c r="JCJ8" s="4" t="s">
        <v>4</v>
      </c>
      <c r="JCK8" s="5" t="s">
        <v>5</v>
      </c>
      <c r="JCL8" s="1181" t="s">
        <v>15</v>
      </c>
      <c r="JCM8" s="1181"/>
      <c r="JCN8" s="5" t="s">
        <v>4</v>
      </c>
      <c r="JCO8" s="5" t="s">
        <v>0</v>
      </c>
      <c r="JCP8" s="1181" t="s">
        <v>15</v>
      </c>
      <c r="JCQ8" s="1181"/>
      <c r="JCR8" s="4" t="s">
        <v>4</v>
      </c>
      <c r="JCS8" s="5" t="s">
        <v>5</v>
      </c>
      <c r="JCT8" s="1181" t="s">
        <v>15</v>
      </c>
      <c r="JCU8" s="1181"/>
      <c r="JCV8" s="5" t="s">
        <v>4</v>
      </c>
      <c r="JCW8" s="5" t="s">
        <v>0</v>
      </c>
      <c r="JCX8" s="1181" t="s">
        <v>15</v>
      </c>
      <c r="JCY8" s="1181"/>
      <c r="JCZ8" s="4" t="s">
        <v>4</v>
      </c>
      <c r="JDA8" s="5" t="s">
        <v>5</v>
      </c>
      <c r="JDB8" s="1181" t="s">
        <v>15</v>
      </c>
      <c r="JDC8" s="1181"/>
      <c r="JDD8" s="5" t="s">
        <v>4</v>
      </c>
      <c r="JDE8" s="5" t="s">
        <v>0</v>
      </c>
      <c r="JDF8" s="1181" t="s">
        <v>15</v>
      </c>
      <c r="JDG8" s="1181"/>
      <c r="JDH8" s="4" t="s">
        <v>4</v>
      </c>
      <c r="JDI8" s="5" t="s">
        <v>5</v>
      </c>
      <c r="JDJ8" s="1181" t="s">
        <v>15</v>
      </c>
      <c r="JDK8" s="1181"/>
      <c r="JDL8" s="5" t="s">
        <v>4</v>
      </c>
      <c r="JDM8" s="5" t="s">
        <v>0</v>
      </c>
      <c r="JDN8" s="1181" t="s">
        <v>15</v>
      </c>
      <c r="JDO8" s="1181"/>
      <c r="JDP8" s="4" t="s">
        <v>4</v>
      </c>
      <c r="JDQ8" s="5" t="s">
        <v>5</v>
      </c>
      <c r="JDR8" s="1181" t="s">
        <v>15</v>
      </c>
      <c r="JDS8" s="1181"/>
      <c r="JDT8" s="5" t="s">
        <v>4</v>
      </c>
      <c r="JDU8" s="5" t="s">
        <v>0</v>
      </c>
      <c r="JDV8" s="1181" t="s">
        <v>15</v>
      </c>
      <c r="JDW8" s="1181"/>
      <c r="JDX8" s="4" t="s">
        <v>4</v>
      </c>
      <c r="JDY8" s="5" t="s">
        <v>5</v>
      </c>
      <c r="JDZ8" s="1181" t="s">
        <v>15</v>
      </c>
      <c r="JEA8" s="1181"/>
      <c r="JEB8" s="5" t="s">
        <v>4</v>
      </c>
      <c r="JEC8" s="5" t="s">
        <v>0</v>
      </c>
      <c r="JED8" s="1181" t="s">
        <v>15</v>
      </c>
      <c r="JEE8" s="1181"/>
      <c r="JEF8" s="4" t="s">
        <v>4</v>
      </c>
      <c r="JEG8" s="5" t="s">
        <v>5</v>
      </c>
      <c r="JEH8" s="1181" t="s">
        <v>15</v>
      </c>
      <c r="JEI8" s="1181"/>
      <c r="JEJ8" s="5" t="s">
        <v>4</v>
      </c>
      <c r="JEK8" s="5" t="s">
        <v>0</v>
      </c>
      <c r="JEL8" s="1181" t="s">
        <v>15</v>
      </c>
      <c r="JEM8" s="1181"/>
      <c r="JEN8" s="4" t="s">
        <v>4</v>
      </c>
      <c r="JEO8" s="5" t="s">
        <v>5</v>
      </c>
      <c r="JEP8" s="1181" t="s">
        <v>15</v>
      </c>
      <c r="JEQ8" s="1181"/>
      <c r="JER8" s="5" t="s">
        <v>4</v>
      </c>
      <c r="JES8" s="5" t="s">
        <v>0</v>
      </c>
      <c r="JET8" s="1181" t="s">
        <v>15</v>
      </c>
      <c r="JEU8" s="1181"/>
      <c r="JEV8" s="4" t="s">
        <v>4</v>
      </c>
      <c r="JEW8" s="5" t="s">
        <v>5</v>
      </c>
      <c r="JEX8" s="1181" t="s">
        <v>15</v>
      </c>
      <c r="JEY8" s="1181"/>
      <c r="JEZ8" s="5" t="s">
        <v>4</v>
      </c>
      <c r="JFA8" s="5" t="s">
        <v>0</v>
      </c>
      <c r="JFB8" s="1181" t="s">
        <v>15</v>
      </c>
      <c r="JFC8" s="1181"/>
      <c r="JFD8" s="4" t="s">
        <v>4</v>
      </c>
      <c r="JFE8" s="5" t="s">
        <v>5</v>
      </c>
      <c r="JFF8" s="1181" t="s">
        <v>15</v>
      </c>
      <c r="JFG8" s="1181"/>
      <c r="JFH8" s="5" t="s">
        <v>4</v>
      </c>
      <c r="JFI8" s="5" t="s">
        <v>0</v>
      </c>
      <c r="JFJ8" s="1181" t="s">
        <v>15</v>
      </c>
      <c r="JFK8" s="1181"/>
      <c r="JFL8" s="4" t="s">
        <v>4</v>
      </c>
      <c r="JFM8" s="5" t="s">
        <v>5</v>
      </c>
      <c r="JFN8" s="1181" t="s">
        <v>15</v>
      </c>
      <c r="JFO8" s="1181"/>
      <c r="JFP8" s="5" t="s">
        <v>4</v>
      </c>
      <c r="JFQ8" s="5" t="s">
        <v>0</v>
      </c>
      <c r="JFR8" s="1181" t="s">
        <v>15</v>
      </c>
      <c r="JFS8" s="1181"/>
      <c r="JFT8" s="4" t="s">
        <v>4</v>
      </c>
      <c r="JFU8" s="5" t="s">
        <v>5</v>
      </c>
      <c r="JFV8" s="1181" t="s">
        <v>15</v>
      </c>
      <c r="JFW8" s="1181"/>
      <c r="JFX8" s="5" t="s">
        <v>4</v>
      </c>
      <c r="JFY8" s="5" t="s">
        <v>0</v>
      </c>
      <c r="JFZ8" s="1181" t="s">
        <v>15</v>
      </c>
      <c r="JGA8" s="1181"/>
      <c r="JGB8" s="4" t="s">
        <v>4</v>
      </c>
      <c r="JGC8" s="5" t="s">
        <v>5</v>
      </c>
      <c r="JGD8" s="1181" t="s">
        <v>15</v>
      </c>
      <c r="JGE8" s="1181"/>
      <c r="JGF8" s="5" t="s">
        <v>4</v>
      </c>
      <c r="JGG8" s="5" t="s">
        <v>0</v>
      </c>
      <c r="JGH8" s="1181" t="s">
        <v>15</v>
      </c>
      <c r="JGI8" s="1181"/>
      <c r="JGJ8" s="4" t="s">
        <v>4</v>
      </c>
      <c r="JGK8" s="5" t="s">
        <v>5</v>
      </c>
      <c r="JGL8" s="1181" t="s">
        <v>15</v>
      </c>
      <c r="JGM8" s="1181"/>
      <c r="JGN8" s="5" t="s">
        <v>4</v>
      </c>
      <c r="JGO8" s="5" t="s">
        <v>0</v>
      </c>
      <c r="JGP8" s="1181" t="s">
        <v>15</v>
      </c>
      <c r="JGQ8" s="1181"/>
      <c r="JGR8" s="4" t="s">
        <v>4</v>
      </c>
      <c r="JGS8" s="5" t="s">
        <v>5</v>
      </c>
      <c r="JGT8" s="1181" t="s">
        <v>15</v>
      </c>
      <c r="JGU8" s="1181"/>
      <c r="JGV8" s="5" t="s">
        <v>4</v>
      </c>
      <c r="JGW8" s="5" t="s">
        <v>0</v>
      </c>
      <c r="JGX8" s="1181" t="s">
        <v>15</v>
      </c>
      <c r="JGY8" s="1181"/>
      <c r="JGZ8" s="4" t="s">
        <v>4</v>
      </c>
      <c r="JHA8" s="5" t="s">
        <v>5</v>
      </c>
      <c r="JHB8" s="1181" t="s">
        <v>15</v>
      </c>
      <c r="JHC8" s="1181"/>
      <c r="JHD8" s="5" t="s">
        <v>4</v>
      </c>
      <c r="JHE8" s="5" t="s">
        <v>0</v>
      </c>
      <c r="JHF8" s="1181" t="s">
        <v>15</v>
      </c>
      <c r="JHG8" s="1181"/>
      <c r="JHH8" s="4" t="s">
        <v>4</v>
      </c>
      <c r="JHI8" s="5" t="s">
        <v>5</v>
      </c>
      <c r="JHJ8" s="1181" t="s">
        <v>15</v>
      </c>
      <c r="JHK8" s="1181"/>
      <c r="JHL8" s="5" t="s">
        <v>4</v>
      </c>
      <c r="JHM8" s="5" t="s">
        <v>0</v>
      </c>
      <c r="JHN8" s="1181" t="s">
        <v>15</v>
      </c>
      <c r="JHO8" s="1181"/>
      <c r="JHP8" s="4" t="s">
        <v>4</v>
      </c>
      <c r="JHQ8" s="5" t="s">
        <v>5</v>
      </c>
      <c r="JHR8" s="1181" t="s">
        <v>15</v>
      </c>
      <c r="JHS8" s="1181"/>
      <c r="JHT8" s="5" t="s">
        <v>4</v>
      </c>
      <c r="JHU8" s="5" t="s">
        <v>0</v>
      </c>
      <c r="JHV8" s="1181" t="s">
        <v>15</v>
      </c>
      <c r="JHW8" s="1181"/>
      <c r="JHX8" s="4" t="s">
        <v>4</v>
      </c>
      <c r="JHY8" s="5" t="s">
        <v>5</v>
      </c>
      <c r="JHZ8" s="1181" t="s">
        <v>15</v>
      </c>
      <c r="JIA8" s="1181"/>
      <c r="JIB8" s="5" t="s">
        <v>4</v>
      </c>
      <c r="JIC8" s="5" t="s">
        <v>0</v>
      </c>
      <c r="JID8" s="1181" t="s">
        <v>15</v>
      </c>
      <c r="JIE8" s="1181"/>
      <c r="JIF8" s="4" t="s">
        <v>4</v>
      </c>
      <c r="JIG8" s="5" t="s">
        <v>5</v>
      </c>
      <c r="JIH8" s="1181" t="s">
        <v>15</v>
      </c>
      <c r="JII8" s="1181"/>
      <c r="JIJ8" s="5" t="s">
        <v>4</v>
      </c>
      <c r="JIK8" s="5" t="s">
        <v>0</v>
      </c>
      <c r="JIL8" s="1181" t="s">
        <v>15</v>
      </c>
      <c r="JIM8" s="1181"/>
      <c r="JIN8" s="4" t="s">
        <v>4</v>
      </c>
      <c r="JIO8" s="5" t="s">
        <v>5</v>
      </c>
      <c r="JIP8" s="1181" t="s">
        <v>15</v>
      </c>
      <c r="JIQ8" s="1181"/>
      <c r="JIR8" s="5" t="s">
        <v>4</v>
      </c>
      <c r="JIS8" s="5" t="s">
        <v>0</v>
      </c>
      <c r="JIT8" s="1181" t="s">
        <v>15</v>
      </c>
      <c r="JIU8" s="1181"/>
      <c r="JIV8" s="4" t="s">
        <v>4</v>
      </c>
      <c r="JIW8" s="5" t="s">
        <v>5</v>
      </c>
      <c r="JIX8" s="1181" t="s">
        <v>15</v>
      </c>
      <c r="JIY8" s="1181"/>
      <c r="JIZ8" s="5" t="s">
        <v>4</v>
      </c>
      <c r="JJA8" s="5" t="s">
        <v>0</v>
      </c>
      <c r="JJB8" s="1181" t="s">
        <v>15</v>
      </c>
      <c r="JJC8" s="1181"/>
      <c r="JJD8" s="4" t="s">
        <v>4</v>
      </c>
      <c r="JJE8" s="5" t="s">
        <v>5</v>
      </c>
      <c r="JJF8" s="1181" t="s">
        <v>15</v>
      </c>
      <c r="JJG8" s="1181"/>
      <c r="JJH8" s="5" t="s">
        <v>4</v>
      </c>
      <c r="JJI8" s="5" t="s">
        <v>0</v>
      </c>
      <c r="JJJ8" s="1181" t="s">
        <v>15</v>
      </c>
      <c r="JJK8" s="1181"/>
      <c r="JJL8" s="4" t="s">
        <v>4</v>
      </c>
      <c r="JJM8" s="5" t="s">
        <v>5</v>
      </c>
      <c r="JJN8" s="1181" t="s">
        <v>15</v>
      </c>
      <c r="JJO8" s="1181"/>
      <c r="JJP8" s="5" t="s">
        <v>4</v>
      </c>
      <c r="JJQ8" s="5" t="s">
        <v>0</v>
      </c>
      <c r="JJR8" s="1181" t="s">
        <v>15</v>
      </c>
      <c r="JJS8" s="1181"/>
      <c r="JJT8" s="4" t="s">
        <v>4</v>
      </c>
      <c r="JJU8" s="5" t="s">
        <v>5</v>
      </c>
      <c r="JJV8" s="1181" t="s">
        <v>15</v>
      </c>
      <c r="JJW8" s="1181"/>
      <c r="JJX8" s="5" t="s">
        <v>4</v>
      </c>
      <c r="JJY8" s="5" t="s">
        <v>0</v>
      </c>
      <c r="JJZ8" s="1181" t="s">
        <v>15</v>
      </c>
      <c r="JKA8" s="1181"/>
      <c r="JKB8" s="4" t="s">
        <v>4</v>
      </c>
      <c r="JKC8" s="5" t="s">
        <v>5</v>
      </c>
      <c r="JKD8" s="1181" t="s">
        <v>15</v>
      </c>
      <c r="JKE8" s="1181"/>
      <c r="JKF8" s="5" t="s">
        <v>4</v>
      </c>
      <c r="JKG8" s="5" t="s">
        <v>0</v>
      </c>
      <c r="JKH8" s="1181" t="s">
        <v>15</v>
      </c>
      <c r="JKI8" s="1181"/>
      <c r="JKJ8" s="4" t="s">
        <v>4</v>
      </c>
      <c r="JKK8" s="5" t="s">
        <v>5</v>
      </c>
      <c r="JKL8" s="1181" t="s">
        <v>15</v>
      </c>
      <c r="JKM8" s="1181"/>
      <c r="JKN8" s="5" t="s">
        <v>4</v>
      </c>
      <c r="JKO8" s="5" t="s">
        <v>0</v>
      </c>
      <c r="JKP8" s="1181" t="s">
        <v>15</v>
      </c>
      <c r="JKQ8" s="1181"/>
      <c r="JKR8" s="4" t="s">
        <v>4</v>
      </c>
      <c r="JKS8" s="5" t="s">
        <v>5</v>
      </c>
      <c r="JKT8" s="1181" t="s">
        <v>15</v>
      </c>
      <c r="JKU8" s="1181"/>
      <c r="JKV8" s="5" t="s">
        <v>4</v>
      </c>
      <c r="JKW8" s="5" t="s">
        <v>0</v>
      </c>
      <c r="JKX8" s="1181" t="s">
        <v>15</v>
      </c>
      <c r="JKY8" s="1181"/>
      <c r="JKZ8" s="4" t="s">
        <v>4</v>
      </c>
      <c r="JLA8" s="5" t="s">
        <v>5</v>
      </c>
      <c r="JLB8" s="1181" t="s">
        <v>15</v>
      </c>
      <c r="JLC8" s="1181"/>
      <c r="JLD8" s="5" t="s">
        <v>4</v>
      </c>
      <c r="JLE8" s="5" t="s">
        <v>0</v>
      </c>
      <c r="JLF8" s="1181" t="s">
        <v>15</v>
      </c>
      <c r="JLG8" s="1181"/>
      <c r="JLH8" s="4" t="s">
        <v>4</v>
      </c>
      <c r="JLI8" s="5" t="s">
        <v>5</v>
      </c>
      <c r="JLJ8" s="1181" t="s">
        <v>15</v>
      </c>
      <c r="JLK8" s="1181"/>
      <c r="JLL8" s="5" t="s">
        <v>4</v>
      </c>
      <c r="JLM8" s="5" t="s">
        <v>0</v>
      </c>
      <c r="JLN8" s="1181" t="s">
        <v>15</v>
      </c>
      <c r="JLO8" s="1181"/>
      <c r="JLP8" s="4" t="s">
        <v>4</v>
      </c>
      <c r="JLQ8" s="5" t="s">
        <v>5</v>
      </c>
      <c r="JLR8" s="1181" t="s">
        <v>15</v>
      </c>
      <c r="JLS8" s="1181"/>
      <c r="JLT8" s="5" t="s">
        <v>4</v>
      </c>
      <c r="JLU8" s="5" t="s">
        <v>0</v>
      </c>
      <c r="JLV8" s="1181" t="s">
        <v>15</v>
      </c>
      <c r="JLW8" s="1181"/>
      <c r="JLX8" s="4" t="s">
        <v>4</v>
      </c>
      <c r="JLY8" s="5" t="s">
        <v>5</v>
      </c>
      <c r="JLZ8" s="1181" t="s">
        <v>15</v>
      </c>
      <c r="JMA8" s="1181"/>
      <c r="JMB8" s="5" t="s">
        <v>4</v>
      </c>
      <c r="JMC8" s="5" t="s">
        <v>0</v>
      </c>
      <c r="JMD8" s="1181" t="s">
        <v>15</v>
      </c>
      <c r="JME8" s="1181"/>
      <c r="JMF8" s="4" t="s">
        <v>4</v>
      </c>
      <c r="JMG8" s="5" t="s">
        <v>5</v>
      </c>
      <c r="JMH8" s="1181" t="s">
        <v>15</v>
      </c>
      <c r="JMI8" s="1181"/>
      <c r="JMJ8" s="5" t="s">
        <v>4</v>
      </c>
      <c r="JMK8" s="5" t="s">
        <v>0</v>
      </c>
      <c r="JML8" s="1181" t="s">
        <v>15</v>
      </c>
      <c r="JMM8" s="1181"/>
      <c r="JMN8" s="4" t="s">
        <v>4</v>
      </c>
      <c r="JMO8" s="5" t="s">
        <v>5</v>
      </c>
      <c r="JMP8" s="1181" t="s">
        <v>15</v>
      </c>
      <c r="JMQ8" s="1181"/>
      <c r="JMR8" s="5" t="s">
        <v>4</v>
      </c>
      <c r="JMS8" s="5" t="s">
        <v>0</v>
      </c>
      <c r="JMT8" s="1181" t="s">
        <v>15</v>
      </c>
      <c r="JMU8" s="1181"/>
      <c r="JMV8" s="4" t="s">
        <v>4</v>
      </c>
      <c r="JMW8" s="5" t="s">
        <v>5</v>
      </c>
      <c r="JMX8" s="1181" t="s">
        <v>15</v>
      </c>
      <c r="JMY8" s="1181"/>
      <c r="JMZ8" s="5" t="s">
        <v>4</v>
      </c>
      <c r="JNA8" s="5" t="s">
        <v>0</v>
      </c>
      <c r="JNB8" s="1181" t="s">
        <v>15</v>
      </c>
      <c r="JNC8" s="1181"/>
      <c r="JND8" s="4" t="s">
        <v>4</v>
      </c>
      <c r="JNE8" s="5" t="s">
        <v>5</v>
      </c>
      <c r="JNF8" s="1181" t="s">
        <v>15</v>
      </c>
      <c r="JNG8" s="1181"/>
      <c r="JNH8" s="5" t="s">
        <v>4</v>
      </c>
      <c r="JNI8" s="5" t="s">
        <v>0</v>
      </c>
      <c r="JNJ8" s="1181" t="s">
        <v>15</v>
      </c>
      <c r="JNK8" s="1181"/>
      <c r="JNL8" s="4" t="s">
        <v>4</v>
      </c>
      <c r="JNM8" s="5" t="s">
        <v>5</v>
      </c>
      <c r="JNN8" s="1181" t="s">
        <v>15</v>
      </c>
      <c r="JNO8" s="1181"/>
      <c r="JNP8" s="5" t="s">
        <v>4</v>
      </c>
      <c r="JNQ8" s="5" t="s">
        <v>0</v>
      </c>
      <c r="JNR8" s="1181" t="s">
        <v>15</v>
      </c>
      <c r="JNS8" s="1181"/>
      <c r="JNT8" s="4" t="s">
        <v>4</v>
      </c>
      <c r="JNU8" s="5" t="s">
        <v>5</v>
      </c>
      <c r="JNV8" s="1181" t="s">
        <v>15</v>
      </c>
      <c r="JNW8" s="1181"/>
      <c r="JNX8" s="5" t="s">
        <v>4</v>
      </c>
      <c r="JNY8" s="5" t="s">
        <v>0</v>
      </c>
      <c r="JNZ8" s="1181" t="s">
        <v>15</v>
      </c>
      <c r="JOA8" s="1181"/>
      <c r="JOB8" s="4" t="s">
        <v>4</v>
      </c>
      <c r="JOC8" s="5" t="s">
        <v>5</v>
      </c>
      <c r="JOD8" s="1181" t="s">
        <v>15</v>
      </c>
      <c r="JOE8" s="1181"/>
      <c r="JOF8" s="5" t="s">
        <v>4</v>
      </c>
      <c r="JOG8" s="5" t="s">
        <v>0</v>
      </c>
      <c r="JOH8" s="1181" t="s">
        <v>15</v>
      </c>
      <c r="JOI8" s="1181"/>
      <c r="JOJ8" s="4" t="s">
        <v>4</v>
      </c>
      <c r="JOK8" s="5" t="s">
        <v>5</v>
      </c>
      <c r="JOL8" s="1181" t="s">
        <v>15</v>
      </c>
      <c r="JOM8" s="1181"/>
      <c r="JON8" s="5" t="s">
        <v>4</v>
      </c>
      <c r="JOO8" s="5" t="s">
        <v>0</v>
      </c>
      <c r="JOP8" s="1181" t="s">
        <v>15</v>
      </c>
      <c r="JOQ8" s="1181"/>
      <c r="JOR8" s="4" t="s">
        <v>4</v>
      </c>
      <c r="JOS8" s="5" t="s">
        <v>5</v>
      </c>
      <c r="JOT8" s="1181" t="s">
        <v>15</v>
      </c>
      <c r="JOU8" s="1181"/>
      <c r="JOV8" s="5" t="s">
        <v>4</v>
      </c>
      <c r="JOW8" s="5" t="s">
        <v>0</v>
      </c>
      <c r="JOX8" s="1181" t="s">
        <v>15</v>
      </c>
      <c r="JOY8" s="1181"/>
      <c r="JOZ8" s="4" t="s">
        <v>4</v>
      </c>
      <c r="JPA8" s="5" t="s">
        <v>5</v>
      </c>
      <c r="JPB8" s="1181" t="s">
        <v>15</v>
      </c>
      <c r="JPC8" s="1181"/>
      <c r="JPD8" s="5" t="s">
        <v>4</v>
      </c>
      <c r="JPE8" s="5" t="s">
        <v>0</v>
      </c>
      <c r="JPF8" s="1181" t="s">
        <v>15</v>
      </c>
      <c r="JPG8" s="1181"/>
      <c r="JPH8" s="4" t="s">
        <v>4</v>
      </c>
      <c r="JPI8" s="5" t="s">
        <v>5</v>
      </c>
      <c r="JPJ8" s="1181" t="s">
        <v>15</v>
      </c>
      <c r="JPK8" s="1181"/>
      <c r="JPL8" s="5" t="s">
        <v>4</v>
      </c>
      <c r="JPM8" s="5" t="s">
        <v>0</v>
      </c>
      <c r="JPN8" s="1181" t="s">
        <v>15</v>
      </c>
      <c r="JPO8" s="1181"/>
      <c r="JPP8" s="4" t="s">
        <v>4</v>
      </c>
      <c r="JPQ8" s="5" t="s">
        <v>5</v>
      </c>
      <c r="JPR8" s="1181" t="s">
        <v>15</v>
      </c>
      <c r="JPS8" s="1181"/>
      <c r="JPT8" s="5" t="s">
        <v>4</v>
      </c>
      <c r="JPU8" s="5" t="s">
        <v>0</v>
      </c>
      <c r="JPV8" s="1181" t="s">
        <v>15</v>
      </c>
      <c r="JPW8" s="1181"/>
      <c r="JPX8" s="4" t="s">
        <v>4</v>
      </c>
      <c r="JPY8" s="5" t="s">
        <v>5</v>
      </c>
      <c r="JPZ8" s="1181" t="s">
        <v>15</v>
      </c>
      <c r="JQA8" s="1181"/>
      <c r="JQB8" s="5" t="s">
        <v>4</v>
      </c>
      <c r="JQC8" s="5" t="s">
        <v>0</v>
      </c>
      <c r="JQD8" s="1181" t="s">
        <v>15</v>
      </c>
      <c r="JQE8" s="1181"/>
      <c r="JQF8" s="4" t="s">
        <v>4</v>
      </c>
      <c r="JQG8" s="5" t="s">
        <v>5</v>
      </c>
      <c r="JQH8" s="1181" t="s">
        <v>15</v>
      </c>
      <c r="JQI8" s="1181"/>
      <c r="JQJ8" s="5" t="s">
        <v>4</v>
      </c>
      <c r="JQK8" s="5" t="s">
        <v>0</v>
      </c>
      <c r="JQL8" s="1181" t="s">
        <v>15</v>
      </c>
      <c r="JQM8" s="1181"/>
      <c r="JQN8" s="4" t="s">
        <v>4</v>
      </c>
      <c r="JQO8" s="5" t="s">
        <v>5</v>
      </c>
      <c r="JQP8" s="1181" t="s">
        <v>15</v>
      </c>
      <c r="JQQ8" s="1181"/>
      <c r="JQR8" s="5" t="s">
        <v>4</v>
      </c>
      <c r="JQS8" s="5" t="s">
        <v>0</v>
      </c>
      <c r="JQT8" s="1181" t="s">
        <v>15</v>
      </c>
      <c r="JQU8" s="1181"/>
      <c r="JQV8" s="4" t="s">
        <v>4</v>
      </c>
      <c r="JQW8" s="5" t="s">
        <v>5</v>
      </c>
      <c r="JQX8" s="1181" t="s">
        <v>15</v>
      </c>
      <c r="JQY8" s="1181"/>
      <c r="JQZ8" s="5" t="s">
        <v>4</v>
      </c>
      <c r="JRA8" s="5" t="s">
        <v>0</v>
      </c>
      <c r="JRB8" s="1181" t="s">
        <v>15</v>
      </c>
      <c r="JRC8" s="1181"/>
      <c r="JRD8" s="4" t="s">
        <v>4</v>
      </c>
      <c r="JRE8" s="5" t="s">
        <v>5</v>
      </c>
      <c r="JRF8" s="1181" t="s">
        <v>15</v>
      </c>
      <c r="JRG8" s="1181"/>
      <c r="JRH8" s="5" t="s">
        <v>4</v>
      </c>
      <c r="JRI8" s="5" t="s">
        <v>0</v>
      </c>
      <c r="JRJ8" s="1181" t="s">
        <v>15</v>
      </c>
      <c r="JRK8" s="1181"/>
      <c r="JRL8" s="4" t="s">
        <v>4</v>
      </c>
      <c r="JRM8" s="5" t="s">
        <v>5</v>
      </c>
      <c r="JRN8" s="1181" t="s">
        <v>15</v>
      </c>
      <c r="JRO8" s="1181"/>
      <c r="JRP8" s="5" t="s">
        <v>4</v>
      </c>
      <c r="JRQ8" s="5" t="s">
        <v>0</v>
      </c>
      <c r="JRR8" s="1181" t="s">
        <v>15</v>
      </c>
      <c r="JRS8" s="1181"/>
      <c r="JRT8" s="4" t="s">
        <v>4</v>
      </c>
      <c r="JRU8" s="5" t="s">
        <v>5</v>
      </c>
      <c r="JRV8" s="1181" t="s">
        <v>15</v>
      </c>
      <c r="JRW8" s="1181"/>
      <c r="JRX8" s="5" t="s">
        <v>4</v>
      </c>
      <c r="JRY8" s="5" t="s">
        <v>0</v>
      </c>
      <c r="JRZ8" s="1181" t="s">
        <v>15</v>
      </c>
      <c r="JSA8" s="1181"/>
      <c r="JSB8" s="4" t="s">
        <v>4</v>
      </c>
      <c r="JSC8" s="5" t="s">
        <v>5</v>
      </c>
      <c r="JSD8" s="1181" t="s">
        <v>15</v>
      </c>
      <c r="JSE8" s="1181"/>
      <c r="JSF8" s="5" t="s">
        <v>4</v>
      </c>
      <c r="JSG8" s="5" t="s">
        <v>0</v>
      </c>
      <c r="JSH8" s="1181" t="s">
        <v>15</v>
      </c>
      <c r="JSI8" s="1181"/>
      <c r="JSJ8" s="4" t="s">
        <v>4</v>
      </c>
      <c r="JSK8" s="5" t="s">
        <v>5</v>
      </c>
      <c r="JSL8" s="1181" t="s">
        <v>15</v>
      </c>
      <c r="JSM8" s="1181"/>
      <c r="JSN8" s="5" t="s">
        <v>4</v>
      </c>
      <c r="JSO8" s="5" t="s">
        <v>0</v>
      </c>
      <c r="JSP8" s="1181" t="s">
        <v>15</v>
      </c>
      <c r="JSQ8" s="1181"/>
      <c r="JSR8" s="4" t="s">
        <v>4</v>
      </c>
      <c r="JSS8" s="5" t="s">
        <v>5</v>
      </c>
      <c r="JST8" s="1181" t="s">
        <v>15</v>
      </c>
      <c r="JSU8" s="1181"/>
      <c r="JSV8" s="5" t="s">
        <v>4</v>
      </c>
      <c r="JSW8" s="5" t="s">
        <v>0</v>
      </c>
      <c r="JSX8" s="1181" t="s">
        <v>15</v>
      </c>
      <c r="JSY8" s="1181"/>
      <c r="JSZ8" s="4" t="s">
        <v>4</v>
      </c>
      <c r="JTA8" s="5" t="s">
        <v>5</v>
      </c>
      <c r="JTB8" s="1181" t="s">
        <v>15</v>
      </c>
      <c r="JTC8" s="1181"/>
      <c r="JTD8" s="5" t="s">
        <v>4</v>
      </c>
      <c r="JTE8" s="5" t="s">
        <v>0</v>
      </c>
      <c r="JTF8" s="1181" t="s">
        <v>15</v>
      </c>
      <c r="JTG8" s="1181"/>
      <c r="JTH8" s="4" t="s">
        <v>4</v>
      </c>
      <c r="JTI8" s="5" t="s">
        <v>5</v>
      </c>
      <c r="JTJ8" s="1181" t="s">
        <v>15</v>
      </c>
      <c r="JTK8" s="1181"/>
      <c r="JTL8" s="5" t="s">
        <v>4</v>
      </c>
      <c r="JTM8" s="5" t="s">
        <v>0</v>
      </c>
      <c r="JTN8" s="1181" t="s">
        <v>15</v>
      </c>
      <c r="JTO8" s="1181"/>
      <c r="JTP8" s="4" t="s">
        <v>4</v>
      </c>
      <c r="JTQ8" s="5" t="s">
        <v>5</v>
      </c>
      <c r="JTR8" s="1181" t="s">
        <v>15</v>
      </c>
      <c r="JTS8" s="1181"/>
      <c r="JTT8" s="5" t="s">
        <v>4</v>
      </c>
      <c r="JTU8" s="5" t="s">
        <v>0</v>
      </c>
      <c r="JTV8" s="1181" t="s">
        <v>15</v>
      </c>
      <c r="JTW8" s="1181"/>
      <c r="JTX8" s="4" t="s">
        <v>4</v>
      </c>
      <c r="JTY8" s="5" t="s">
        <v>5</v>
      </c>
      <c r="JTZ8" s="1181" t="s">
        <v>15</v>
      </c>
      <c r="JUA8" s="1181"/>
      <c r="JUB8" s="5" t="s">
        <v>4</v>
      </c>
      <c r="JUC8" s="5" t="s">
        <v>0</v>
      </c>
      <c r="JUD8" s="1181" t="s">
        <v>15</v>
      </c>
      <c r="JUE8" s="1181"/>
      <c r="JUF8" s="4" t="s">
        <v>4</v>
      </c>
      <c r="JUG8" s="5" t="s">
        <v>5</v>
      </c>
      <c r="JUH8" s="1181" t="s">
        <v>15</v>
      </c>
      <c r="JUI8" s="1181"/>
      <c r="JUJ8" s="5" t="s">
        <v>4</v>
      </c>
      <c r="JUK8" s="5" t="s">
        <v>0</v>
      </c>
      <c r="JUL8" s="1181" t="s">
        <v>15</v>
      </c>
      <c r="JUM8" s="1181"/>
      <c r="JUN8" s="4" t="s">
        <v>4</v>
      </c>
      <c r="JUO8" s="5" t="s">
        <v>5</v>
      </c>
      <c r="JUP8" s="1181" t="s">
        <v>15</v>
      </c>
      <c r="JUQ8" s="1181"/>
      <c r="JUR8" s="5" t="s">
        <v>4</v>
      </c>
      <c r="JUS8" s="5" t="s">
        <v>0</v>
      </c>
      <c r="JUT8" s="1181" t="s">
        <v>15</v>
      </c>
      <c r="JUU8" s="1181"/>
      <c r="JUV8" s="4" t="s">
        <v>4</v>
      </c>
      <c r="JUW8" s="5" t="s">
        <v>5</v>
      </c>
      <c r="JUX8" s="1181" t="s">
        <v>15</v>
      </c>
      <c r="JUY8" s="1181"/>
      <c r="JUZ8" s="5" t="s">
        <v>4</v>
      </c>
      <c r="JVA8" s="5" t="s">
        <v>0</v>
      </c>
      <c r="JVB8" s="1181" t="s">
        <v>15</v>
      </c>
      <c r="JVC8" s="1181"/>
      <c r="JVD8" s="4" t="s">
        <v>4</v>
      </c>
      <c r="JVE8" s="5" t="s">
        <v>5</v>
      </c>
      <c r="JVF8" s="1181" t="s">
        <v>15</v>
      </c>
      <c r="JVG8" s="1181"/>
      <c r="JVH8" s="5" t="s">
        <v>4</v>
      </c>
      <c r="JVI8" s="5" t="s">
        <v>0</v>
      </c>
      <c r="JVJ8" s="1181" t="s">
        <v>15</v>
      </c>
      <c r="JVK8" s="1181"/>
      <c r="JVL8" s="4" t="s">
        <v>4</v>
      </c>
      <c r="JVM8" s="5" t="s">
        <v>5</v>
      </c>
      <c r="JVN8" s="1181" t="s">
        <v>15</v>
      </c>
      <c r="JVO8" s="1181"/>
      <c r="JVP8" s="5" t="s">
        <v>4</v>
      </c>
      <c r="JVQ8" s="5" t="s">
        <v>0</v>
      </c>
      <c r="JVR8" s="1181" t="s">
        <v>15</v>
      </c>
      <c r="JVS8" s="1181"/>
      <c r="JVT8" s="4" t="s">
        <v>4</v>
      </c>
      <c r="JVU8" s="5" t="s">
        <v>5</v>
      </c>
      <c r="JVV8" s="1181" t="s">
        <v>15</v>
      </c>
      <c r="JVW8" s="1181"/>
      <c r="JVX8" s="5" t="s">
        <v>4</v>
      </c>
      <c r="JVY8" s="5" t="s">
        <v>0</v>
      </c>
      <c r="JVZ8" s="1181" t="s">
        <v>15</v>
      </c>
      <c r="JWA8" s="1181"/>
      <c r="JWB8" s="4" t="s">
        <v>4</v>
      </c>
      <c r="JWC8" s="5" t="s">
        <v>5</v>
      </c>
      <c r="JWD8" s="1181" t="s">
        <v>15</v>
      </c>
      <c r="JWE8" s="1181"/>
      <c r="JWF8" s="5" t="s">
        <v>4</v>
      </c>
      <c r="JWG8" s="5" t="s">
        <v>0</v>
      </c>
      <c r="JWH8" s="1181" t="s">
        <v>15</v>
      </c>
      <c r="JWI8" s="1181"/>
      <c r="JWJ8" s="4" t="s">
        <v>4</v>
      </c>
      <c r="JWK8" s="5" t="s">
        <v>5</v>
      </c>
      <c r="JWL8" s="1181" t="s">
        <v>15</v>
      </c>
      <c r="JWM8" s="1181"/>
      <c r="JWN8" s="5" t="s">
        <v>4</v>
      </c>
      <c r="JWO8" s="5" t="s">
        <v>0</v>
      </c>
      <c r="JWP8" s="1181" t="s">
        <v>15</v>
      </c>
      <c r="JWQ8" s="1181"/>
      <c r="JWR8" s="4" t="s">
        <v>4</v>
      </c>
      <c r="JWS8" s="5" t="s">
        <v>5</v>
      </c>
      <c r="JWT8" s="1181" t="s">
        <v>15</v>
      </c>
      <c r="JWU8" s="1181"/>
      <c r="JWV8" s="5" t="s">
        <v>4</v>
      </c>
      <c r="JWW8" s="5" t="s">
        <v>0</v>
      </c>
      <c r="JWX8" s="1181" t="s">
        <v>15</v>
      </c>
      <c r="JWY8" s="1181"/>
      <c r="JWZ8" s="4" t="s">
        <v>4</v>
      </c>
      <c r="JXA8" s="5" t="s">
        <v>5</v>
      </c>
      <c r="JXB8" s="1181" t="s">
        <v>15</v>
      </c>
      <c r="JXC8" s="1181"/>
      <c r="JXD8" s="5" t="s">
        <v>4</v>
      </c>
      <c r="JXE8" s="5" t="s">
        <v>0</v>
      </c>
      <c r="JXF8" s="1181" t="s">
        <v>15</v>
      </c>
      <c r="JXG8" s="1181"/>
      <c r="JXH8" s="4" t="s">
        <v>4</v>
      </c>
      <c r="JXI8" s="5" t="s">
        <v>5</v>
      </c>
      <c r="JXJ8" s="1181" t="s">
        <v>15</v>
      </c>
      <c r="JXK8" s="1181"/>
      <c r="JXL8" s="5" t="s">
        <v>4</v>
      </c>
      <c r="JXM8" s="5" t="s">
        <v>0</v>
      </c>
      <c r="JXN8" s="1181" t="s">
        <v>15</v>
      </c>
      <c r="JXO8" s="1181"/>
      <c r="JXP8" s="4" t="s">
        <v>4</v>
      </c>
      <c r="JXQ8" s="5" t="s">
        <v>5</v>
      </c>
      <c r="JXR8" s="1181" t="s">
        <v>15</v>
      </c>
      <c r="JXS8" s="1181"/>
      <c r="JXT8" s="5" t="s">
        <v>4</v>
      </c>
      <c r="JXU8" s="5" t="s">
        <v>0</v>
      </c>
      <c r="JXV8" s="1181" t="s">
        <v>15</v>
      </c>
      <c r="JXW8" s="1181"/>
      <c r="JXX8" s="4" t="s">
        <v>4</v>
      </c>
      <c r="JXY8" s="5" t="s">
        <v>5</v>
      </c>
      <c r="JXZ8" s="1181" t="s">
        <v>15</v>
      </c>
      <c r="JYA8" s="1181"/>
      <c r="JYB8" s="5" t="s">
        <v>4</v>
      </c>
      <c r="JYC8" s="5" t="s">
        <v>0</v>
      </c>
      <c r="JYD8" s="1181" t="s">
        <v>15</v>
      </c>
      <c r="JYE8" s="1181"/>
      <c r="JYF8" s="4" t="s">
        <v>4</v>
      </c>
      <c r="JYG8" s="5" t="s">
        <v>5</v>
      </c>
      <c r="JYH8" s="1181" t="s">
        <v>15</v>
      </c>
      <c r="JYI8" s="1181"/>
      <c r="JYJ8" s="5" t="s">
        <v>4</v>
      </c>
      <c r="JYK8" s="5" t="s">
        <v>0</v>
      </c>
      <c r="JYL8" s="1181" t="s">
        <v>15</v>
      </c>
      <c r="JYM8" s="1181"/>
      <c r="JYN8" s="4" t="s">
        <v>4</v>
      </c>
      <c r="JYO8" s="5" t="s">
        <v>5</v>
      </c>
      <c r="JYP8" s="1181" t="s">
        <v>15</v>
      </c>
      <c r="JYQ8" s="1181"/>
      <c r="JYR8" s="5" t="s">
        <v>4</v>
      </c>
      <c r="JYS8" s="5" t="s">
        <v>0</v>
      </c>
      <c r="JYT8" s="1181" t="s">
        <v>15</v>
      </c>
      <c r="JYU8" s="1181"/>
      <c r="JYV8" s="4" t="s">
        <v>4</v>
      </c>
      <c r="JYW8" s="5" t="s">
        <v>5</v>
      </c>
      <c r="JYX8" s="1181" t="s">
        <v>15</v>
      </c>
      <c r="JYY8" s="1181"/>
      <c r="JYZ8" s="5" t="s">
        <v>4</v>
      </c>
      <c r="JZA8" s="5" t="s">
        <v>0</v>
      </c>
      <c r="JZB8" s="1181" t="s">
        <v>15</v>
      </c>
      <c r="JZC8" s="1181"/>
      <c r="JZD8" s="4" t="s">
        <v>4</v>
      </c>
      <c r="JZE8" s="5" t="s">
        <v>5</v>
      </c>
      <c r="JZF8" s="1181" t="s">
        <v>15</v>
      </c>
      <c r="JZG8" s="1181"/>
      <c r="JZH8" s="5" t="s">
        <v>4</v>
      </c>
      <c r="JZI8" s="5" t="s">
        <v>0</v>
      </c>
      <c r="JZJ8" s="1181" t="s">
        <v>15</v>
      </c>
      <c r="JZK8" s="1181"/>
      <c r="JZL8" s="4" t="s">
        <v>4</v>
      </c>
      <c r="JZM8" s="5" t="s">
        <v>5</v>
      </c>
      <c r="JZN8" s="1181" t="s">
        <v>15</v>
      </c>
      <c r="JZO8" s="1181"/>
      <c r="JZP8" s="5" t="s">
        <v>4</v>
      </c>
      <c r="JZQ8" s="5" t="s">
        <v>0</v>
      </c>
      <c r="JZR8" s="1181" t="s">
        <v>15</v>
      </c>
      <c r="JZS8" s="1181"/>
      <c r="JZT8" s="4" t="s">
        <v>4</v>
      </c>
      <c r="JZU8" s="5" t="s">
        <v>5</v>
      </c>
      <c r="JZV8" s="1181" t="s">
        <v>15</v>
      </c>
      <c r="JZW8" s="1181"/>
      <c r="JZX8" s="5" t="s">
        <v>4</v>
      </c>
      <c r="JZY8" s="5" t="s">
        <v>0</v>
      </c>
      <c r="JZZ8" s="1181" t="s">
        <v>15</v>
      </c>
      <c r="KAA8" s="1181"/>
      <c r="KAB8" s="4" t="s">
        <v>4</v>
      </c>
      <c r="KAC8" s="5" t="s">
        <v>5</v>
      </c>
      <c r="KAD8" s="1181" t="s">
        <v>15</v>
      </c>
      <c r="KAE8" s="1181"/>
      <c r="KAF8" s="5" t="s">
        <v>4</v>
      </c>
      <c r="KAG8" s="5" t="s">
        <v>0</v>
      </c>
      <c r="KAH8" s="1181" t="s">
        <v>15</v>
      </c>
      <c r="KAI8" s="1181"/>
      <c r="KAJ8" s="4" t="s">
        <v>4</v>
      </c>
      <c r="KAK8" s="5" t="s">
        <v>5</v>
      </c>
      <c r="KAL8" s="1181" t="s">
        <v>15</v>
      </c>
      <c r="KAM8" s="1181"/>
      <c r="KAN8" s="5" t="s">
        <v>4</v>
      </c>
      <c r="KAO8" s="5" t="s">
        <v>0</v>
      </c>
      <c r="KAP8" s="1181" t="s">
        <v>15</v>
      </c>
      <c r="KAQ8" s="1181"/>
      <c r="KAR8" s="4" t="s">
        <v>4</v>
      </c>
      <c r="KAS8" s="5" t="s">
        <v>5</v>
      </c>
      <c r="KAT8" s="1181" t="s">
        <v>15</v>
      </c>
      <c r="KAU8" s="1181"/>
      <c r="KAV8" s="5" t="s">
        <v>4</v>
      </c>
      <c r="KAW8" s="5" t="s">
        <v>0</v>
      </c>
      <c r="KAX8" s="1181" t="s">
        <v>15</v>
      </c>
      <c r="KAY8" s="1181"/>
      <c r="KAZ8" s="4" t="s">
        <v>4</v>
      </c>
      <c r="KBA8" s="5" t="s">
        <v>5</v>
      </c>
      <c r="KBB8" s="1181" t="s">
        <v>15</v>
      </c>
      <c r="KBC8" s="1181"/>
      <c r="KBD8" s="5" t="s">
        <v>4</v>
      </c>
      <c r="KBE8" s="5" t="s">
        <v>0</v>
      </c>
      <c r="KBF8" s="1181" t="s">
        <v>15</v>
      </c>
      <c r="KBG8" s="1181"/>
      <c r="KBH8" s="4" t="s">
        <v>4</v>
      </c>
      <c r="KBI8" s="5" t="s">
        <v>5</v>
      </c>
      <c r="KBJ8" s="1181" t="s">
        <v>15</v>
      </c>
      <c r="KBK8" s="1181"/>
      <c r="KBL8" s="5" t="s">
        <v>4</v>
      </c>
      <c r="KBM8" s="5" t="s">
        <v>0</v>
      </c>
      <c r="KBN8" s="1181" t="s">
        <v>15</v>
      </c>
      <c r="KBO8" s="1181"/>
      <c r="KBP8" s="4" t="s">
        <v>4</v>
      </c>
      <c r="KBQ8" s="5" t="s">
        <v>5</v>
      </c>
      <c r="KBR8" s="1181" t="s">
        <v>15</v>
      </c>
      <c r="KBS8" s="1181"/>
      <c r="KBT8" s="5" t="s">
        <v>4</v>
      </c>
      <c r="KBU8" s="5" t="s">
        <v>0</v>
      </c>
      <c r="KBV8" s="1181" t="s">
        <v>15</v>
      </c>
      <c r="KBW8" s="1181"/>
      <c r="KBX8" s="4" t="s">
        <v>4</v>
      </c>
      <c r="KBY8" s="5" t="s">
        <v>5</v>
      </c>
      <c r="KBZ8" s="1181" t="s">
        <v>15</v>
      </c>
      <c r="KCA8" s="1181"/>
      <c r="KCB8" s="5" t="s">
        <v>4</v>
      </c>
      <c r="KCC8" s="5" t="s">
        <v>0</v>
      </c>
      <c r="KCD8" s="1181" t="s">
        <v>15</v>
      </c>
      <c r="KCE8" s="1181"/>
      <c r="KCF8" s="4" t="s">
        <v>4</v>
      </c>
      <c r="KCG8" s="5" t="s">
        <v>5</v>
      </c>
      <c r="KCH8" s="1181" t="s">
        <v>15</v>
      </c>
      <c r="KCI8" s="1181"/>
      <c r="KCJ8" s="5" t="s">
        <v>4</v>
      </c>
      <c r="KCK8" s="5" t="s">
        <v>0</v>
      </c>
      <c r="KCL8" s="1181" t="s">
        <v>15</v>
      </c>
      <c r="KCM8" s="1181"/>
      <c r="KCN8" s="4" t="s">
        <v>4</v>
      </c>
      <c r="KCO8" s="5" t="s">
        <v>5</v>
      </c>
      <c r="KCP8" s="1181" t="s">
        <v>15</v>
      </c>
      <c r="KCQ8" s="1181"/>
      <c r="KCR8" s="5" t="s">
        <v>4</v>
      </c>
      <c r="KCS8" s="5" t="s">
        <v>0</v>
      </c>
      <c r="KCT8" s="1181" t="s">
        <v>15</v>
      </c>
      <c r="KCU8" s="1181"/>
      <c r="KCV8" s="4" t="s">
        <v>4</v>
      </c>
      <c r="KCW8" s="5" t="s">
        <v>5</v>
      </c>
      <c r="KCX8" s="1181" t="s">
        <v>15</v>
      </c>
      <c r="KCY8" s="1181"/>
      <c r="KCZ8" s="5" t="s">
        <v>4</v>
      </c>
      <c r="KDA8" s="5" t="s">
        <v>0</v>
      </c>
      <c r="KDB8" s="1181" t="s">
        <v>15</v>
      </c>
      <c r="KDC8" s="1181"/>
      <c r="KDD8" s="4" t="s">
        <v>4</v>
      </c>
      <c r="KDE8" s="5" t="s">
        <v>5</v>
      </c>
      <c r="KDF8" s="1181" t="s">
        <v>15</v>
      </c>
      <c r="KDG8" s="1181"/>
      <c r="KDH8" s="5" t="s">
        <v>4</v>
      </c>
      <c r="KDI8" s="5" t="s">
        <v>0</v>
      </c>
      <c r="KDJ8" s="1181" t="s">
        <v>15</v>
      </c>
      <c r="KDK8" s="1181"/>
      <c r="KDL8" s="4" t="s">
        <v>4</v>
      </c>
      <c r="KDM8" s="5" t="s">
        <v>5</v>
      </c>
      <c r="KDN8" s="1181" t="s">
        <v>15</v>
      </c>
      <c r="KDO8" s="1181"/>
      <c r="KDP8" s="5" t="s">
        <v>4</v>
      </c>
      <c r="KDQ8" s="5" t="s">
        <v>0</v>
      </c>
      <c r="KDR8" s="1181" t="s">
        <v>15</v>
      </c>
      <c r="KDS8" s="1181"/>
      <c r="KDT8" s="4" t="s">
        <v>4</v>
      </c>
      <c r="KDU8" s="5" t="s">
        <v>5</v>
      </c>
      <c r="KDV8" s="1181" t="s">
        <v>15</v>
      </c>
      <c r="KDW8" s="1181"/>
      <c r="KDX8" s="5" t="s">
        <v>4</v>
      </c>
      <c r="KDY8" s="5" t="s">
        <v>0</v>
      </c>
      <c r="KDZ8" s="1181" t="s">
        <v>15</v>
      </c>
      <c r="KEA8" s="1181"/>
      <c r="KEB8" s="4" t="s">
        <v>4</v>
      </c>
      <c r="KEC8" s="5" t="s">
        <v>5</v>
      </c>
      <c r="KED8" s="1181" t="s">
        <v>15</v>
      </c>
      <c r="KEE8" s="1181"/>
      <c r="KEF8" s="5" t="s">
        <v>4</v>
      </c>
      <c r="KEG8" s="5" t="s">
        <v>0</v>
      </c>
      <c r="KEH8" s="1181" t="s">
        <v>15</v>
      </c>
      <c r="KEI8" s="1181"/>
      <c r="KEJ8" s="4" t="s">
        <v>4</v>
      </c>
      <c r="KEK8" s="5" t="s">
        <v>5</v>
      </c>
      <c r="KEL8" s="1181" t="s">
        <v>15</v>
      </c>
      <c r="KEM8" s="1181"/>
      <c r="KEN8" s="5" t="s">
        <v>4</v>
      </c>
      <c r="KEO8" s="5" t="s">
        <v>0</v>
      </c>
      <c r="KEP8" s="1181" t="s">
        <v>15</v>
      </c>
      <c r="KEQ8" s="1181"/>
      <c r="KER8" s="4" t="s">
        <v>4</v>
      </c>
      <c r="KES8" s="5" t="s">
        <v>5</v>
      </c>
      <c r="KET8" s="1181" t="s">
        <v>15</v>
      </c>
      <c r="KEU8" s="1181"/>
      <c r="KEV8" s="5" t="s">
        <v>4</v>
      </c>
      <c r="KEW8" s="5" t="s">
        <v>0</v>
      </c>
      <c r="KEX8" s="1181" t="s">
        <v>15</v>
      </c>
      <c r="KEY8" s="1181"/>
      <c r="KEZ8" s="4" t="s">
        <v>4</v>
      </c>
      <c r="KFA8" s="5" t="s">
        <v>5</v>
      </c>
      <c r="KFB8" s="1181" t="s">
        <v>15</v>
      </c>
      <c r="KFC8" s="1181"/>
      <c r="KFD8" s="5" t="s">
        <v>4</v>
      </c>
      <c r="KFE8" s="5" t="s">
        <v>0</v>
      </c>
      <c r="KFF8" s="1181" t="s">
        <v>15</v>
      </c>
      <c r="KFG8" s="1181"/>
      <c r="KFH8" s="4" t="s">
        <v>4</v>
      </c>
      <c r="KFI8" s="5" t="s">
        <v>5</v>
      </c>
      <c r="KFJ8" s="1181" t="s">
        <v>15</v>
      </c>
      <c r="KFK8" s="1181"/>
      <c r="KFL8" s="5" t="s">
        <v>4</v>
      </c>
      <c r="KFM8" s="5" t="s">
        <v>0</v>
      </c>
      <c r="KFN8" s="1181" t="s">
        <v>15</v>
      </c>
      <c r="KFO8" s="1181"/>
      <c r="KFP8" s="4" t="s">
        <v>4</v>
      </c>
      <c r="KFQ8" s="5" t="s">
        <v>5</v>
      </c>
      <c r="KFR8" s="1181" t="s">
        <v>15</v>
      </c>
      <c r="KFS8" s="1181"/>
      <c r="KFT8" s="5" t="s">
        <v>4</v>
      </c>
      <c r="KFU8" s="5" t="s">
        <v>0</v>
      </c>
      <c r="KFV8" s="1181" t="s">
        <v>15</v>
      </c>
      <c r="KFW8" s="1181"/>
      <c r="KFX8" s="4" t="s">
        <v>4</v>
      </c>
      <c r="KFY8" s="5" t="s">
        <v>5</v>
      </c>
      <c r="KFZ8" s="1181" t="s">
        <v>15</v>
      </c>
      <c r="KGA8" s="1181"/>
      <c r="KGB8" s="5" t="s">
        <v>4</v>
      </c>
      <c r="KGC8" s="5" t="s">
        <v>0</v>
      </c>
      <c r="KGD8" s="1181" t="s">
        <v>15</v>
      </c>
      <c r="KGE8" s="1181"/>
      <c r="KGF8" s="4" t="s">
        <v>4</v>
      </c>
      <c r="KGG8" s="5" t="s">
        <v>5</v>
      </c>
      <c r="KGH8" s="1181" t="s">
        <v>15</v>
      </c>
      <c r="KGI8" s="1181"/>
      <c r="KGJ8" s="5" t="s">
        <v>4</v>
      </c>
      <c r="KGK8" s="5" t="s">
        <v>0</v>
      </c>
      <c r="KGL8" s="1181" t="s">
        <v>15</v>
      </c>
      <c r="KGM8" s="1181"/>
      <c r="KGN8" s="4" t="s">
        <v>4</v>
      </c>
      <c r="KGO8" s="5" t="s">
        <v>5</v>
      </c>
      <c r="KGP8" s="1181" t="s">
        <v>15</v>
      </c>
      <c r="KGQ8" s="1181"/>
      <c r="KGR8" s="5" t="s">
        <v>4</v>
      </c>
      <c r="KGS8" s="5" t="s">
        <v>0</v>
      </c>
      <c r="KGT8" s="1181" t="s">
        <v>15</v>
      </c>
      <c r="KGU8" s="1181"/>
      <c r="KGV8" s="4" t="s">
        <v>4</v>
      </c>
      <c r="KGW8" s="5" t="s">
        <v>5</v>
      </c>
      <c r="KGX8" s="1181" t="s">
        <v>15</v>
      </c>
      <c r="KGY8" s="1181"/>
      <c r="KGZ8" s="5" t="s">
        <v>4</v>
      </c>
      <c r="KHA8" s="5" t="s">
        <v>0</v>
      </c>
      <c r="KHB8" s="1181" t="s">
        <v>15</v>
      </c>
      <c r="KHC8" s="1181"/>
      <c r="KHD8" s="4" t="s">
        <v>4</v>
      </c>
      <c r="KHE8" s="5" t="s">
        <v>5</v>
      </c>
      <c r="KHF8" s="1181" t="s">
        <v>15</v>
      </c>
      <c r="KHG8" s="1181"/>
      <c r="KHH8" s="5" t="s">
        <v>4</v>
      </c>
      <c r="KHI8" s="5" t="s">
        <v>0</v>
      </c>
      <c r="KHJ8" s="1181" t="s">
        <v>15</v>
      </c>
      <c r="KHK8" s="1181"/>
      <c r="KHL8" s="4" t="s">
        <v>4</v>
      </c>
      <c r="KHM8" s="5" t="s">
        <v>5</v>
      </c>
      <c r="KHN8" s="1181" t="s">
        <v>15</v>
      </c>
      <c r="KHO8" s="1181"/>
      <c r="KHP8" s="5" t="s">
        <v>4</v>
      </c>
      <c r="KHQ8" s="5" t="s">
        <v>0</v>
      </c>
      <c r="KHR8" s="1181" t="s">
        <v>15</v>
      </c>
      <c r="KHS8" s="1181"/>
      <c r="KHT8" s="4" t="s">
        <v>4</v>
      </c>
      <c r="KHU8" s="5" t="s">
        <v>5</v>
      </c>
      <c r="KHV8" s="1181" t="s">
        <v>15</v>
      </c>
      <c r="KHW8" s="1181"/>
      <c r="KHX8" s="5" t="s">
        <v>4</v>
      </c>
      <c r="KHY8" s="5" t="s">
        <v>0</v>
      </c>
      <c r="KHZ8" s="1181" t="s">
        <v>15</v>
      </c>
      <c r="KIA8" s="1181"/>
      <c r="KIB8" s="4" t="s">
        <v>4</v>
      </c>
      <c r="KIC8" s="5" t="s">
        <v>5</v>
      </c>
      <c r="KID8" s="1181" t="s">
        <v>15</v>
      </c>
      <c r="KIE8" s="1181"/>
      <c r="KIF8" s="5" t="s">
        <v>4</v>
      </c>
      <c r="KIG8" s="5" t="s">
        <v>0</v>
      </c>
      <c r="KIH8" s="1181" t="s">
        <v>15</v>
      </c>
      <c r="KII8" s="1181"/>
      <c r="KIJ8" s="4" t="s">
        <v>4</v>
      </c>
      <c r="KIK8" s="5" t="s">
        <v>5</v>
      </c>
      <c r="KIL8" s="1181" t="s">
        <v>15</v>
      </c>
      <c r="KIM8" s="1181"/>
      <c r="KIN8" s="5" t="s">
        <v>4</v>
      </c>
      <c r="KIO8" s="5" t="s">
        <v>0</v>
      </c>
      <c r="KIP8" s="1181" t="s">
        <v>15</v>
      </c>
      <c r="KIQ8" s="1181"/>
      <c r="KIR8" s="4" t="s">
        <v>4</v>
      </c>
      <c r="KIS8" s="5" t="s">
        <v>5</v>
      </c>
      <c r="KIT8" s="1181" t="s">
        <v>15</v>
      </c>
      <c r="KIU8" s="1181"/>
      <c r="KIV8" s="5" t="s">
        <v>4</v>
      </c>
      <c r="KIW8" s="5" t="s">
        <v>0</v>
      </c>
      <c r="KIX8" s="1181" t="s">
        <v>15</v>
      </c>
      <c r="KIY8" s="1181"/>
      <c r="KIZ8" s="4" t="s">
        <v>4</v>
      </c>
      <c r="KJA8" s="5" t="s">
        <v>5</v>
      </c>
      <c r="KJB8" s="1181" t="s">
        <v>15</v>
      </c>
      <c r="KJC8" s="1181"/>
      <c r="KJD8" s="5" t="s">
        <v>4</v>
      </c>
      <c r="KJE8" s="5" t="s">
        <v>0</v>
      </c>
      <c r="KJF8" s="1181" t="s">
        <v>15</v>
      </c>
      <c r="KJG8" s="1181"/>
      <c r="KJH8" s="4" t="s">
        <v>4</v>
      </c>
      <c r="KJI8" s="5" t="s">
        <v>5</v>
      </c>
      <c r="KJJ8" s="1181" t="s">
        <v>15</v>
      </c>
      <c r="KJK8" s="1181"/>
      <c r="KJL8" s="5" t="s">
        <v>4</v>
      </c>
      <c r="KJM8" s="5" t="s">
        <v>0</v>
      </c>
      <c r="KJN8" s="1181" t="s">
        <v>15</v>
      </c>
      <c r="KJO8" s="1181"/>
      <c r="KJP8" s="4" t="s">
        <v>4</v>
      </c>
      <c r="KJQ8" s="5" t="s">
        <v>5</v>
      </c>
      <c r="KJR8" s="1181" t="s">
        <v>15</v>
      </c>
      <c r="KJS8" s="1181"/>
      <c r="KJT8" s="5" t="s">
        <v>4</v>
      </c>
      <c r="KJU8" s="5" t="s">
        <v>0</v>
      </c>
      <c r="KJV8" s="1181" t="s">
        <v>15</v>
      </c>
      <c r="KJW8" s="1181"/>
      <c r="KJX8" s="4" t="s">
        <v>4</v>
      </c>
      <c r="KJY8" s="5" t="s">
        <v>5</v>
      </c>
      <c r="KJZ8" s="1181" t="s">
        <v>15</v>
      </c>
      <c r="KKA8" s="1181"/>
      <c r="KKB8" s="5" t="s">
        <v>4</v>
      </c>
      <c r="KKC8" s="5" t="s">
        <v>0</v>
      </c>
      <c r="KKD8" s="1181" t="s">
        <v>15</v>
      </c>
      <c r="KKE8" s="1181"/>
      <c r="KKF8" s="4" t="s">
        <v>4</v>
      </c>
      <c r="KKG8" s="5" t="s">
        <v>5</v>
      </c>
      <c r="KKH8" s="1181" t="s">
        <v>15</v>
      </c>
      <c r="KKI8" s="1181"/>
      <c r="KKJ8" s="5" t="s">
        <v>4</v>
      </c>
      <c r="KKK8" s="5" t="s">
        <v>0</v>
      </c>
      <c r="KKL8" s="1181" t="s">
        <v>15</v>
      </c>
      <c r="KKM8" s="1181"/>
      <c r="KKN8" s="4" t="s">
        <v>4</v>
      </c>
      <c r="KKO8" s="5" t="s">
        <v>5</v>
      </c>
      <c r="KKP8" s="1181" t="s">
        <v>15</v>
      </c>
      <c r="KKQ8" s="1181"/>
      <c r="KKR8" s="5" t="s">
        <v>4</v>
      </c>
      <c r="KKS8" s="5" t="s">
        <v>0</v>
      </c>
      <c r="KKT8" s="1181" t="s">
        <v>15</v>
      </c>
      <c r="KKU8" s="1181"/>
      <c r="KKV8" s="4" t="s">
        <v>4</v>
      </c>
      <c r="KKW8" s="5" t="s">
        <v>5</v>
      </c>
      <c r="KKX8" s="1181" t="s">
        <v>15</v>
      </c>
      <c r="KKY8" s="1181"/>
      <c r="KKZ8" s="5" t="s">
        <v>4</v>
      </c>
      <c r="KLA8" s="5" t="s">
        <v>0</v>
      </c>
      <c r="KLB8" s="1181" t="s">
        <v>15</v>
      </c>
      <c r="KLC8" s="1181"/>
      <c r="KLD8" s="4" t="s">
        <v>4</v>
      </c>
      <c r="KLE8" s="5" t="s">
        <v>5</v>
      </c>
      <c r="KLF8" s="1181" t="s">
        <v>15</v>
      </c>
      <c r="KLG8" s="1181"/>
      <c r="KLH8" s="5" t="s">
        <v>4</v>
      </c>
      <c r="KLI8" s="5" t="s">
        <v>0</v>
      </c>
      <c r="KLJ8" s="1181" t="s">
        <v>15</v>
      </c>
      <c r="KLK8" s="1181"/>
      <c r="KLL8" s="4" t="s">
        <v>4</v>
      </c>
      <c r="KLM8" s="5" t="s">
        <v>5</v>
      </c>
      <c r="KLN8" s="1181" t="s">
        <v>15</v>
      </c>
      <c r="KLO8" s="1181"/>
      <c r="KLP8" s="5" t="s">
        <v>4</v>
      </c>
      <c r="KLQ8" s="5" t="s">
        <v>0</v>
      </c>
      <c r="KLR8" s="1181" t="s">
        <v>15</v>
      </c>
      <c r="KLS8" s="1181"/>
      <c r="KLT8" s="4" t="s">
        <v>4</v>
      </c>
      <c r="KLU8" s="5" t="s">
        <v>5</v>
      </c>
      <c r="KLV8" s="1181" t="s">
        <v>15</v>
      </c>
      <c r="KLW8" s="1181"/>
      <c r="KLX8" s="5" t="s">
        <v>4</v>
      </c>
      <c r="KLY8" s="5" t="s">
        <v>0</v>
      </c>
      <c r="KLZ8" s="1181" t="s">
        <v>15</v>
      </c>
      <c r="KMA8" s="1181"/>
      <c r="KMB8" s="4" t="s">
        <v>4</v>
      </c>
      <c r="KMC8" s="5" t="s">
        <v>5</v>
      </c>
      <c r="KMD8" s="1181" t="s">
        <v>15</v>
      </c>
      <c r="KME8" s="1181"/>
      <c r="KMF8" s="5" t="s">
        <v>4</v>
      </c>
      <c r="KMG8" s="5" t="s">
        <v>0</v>
      </c>
      <c r="KMH8" s="1181" t="s">
        <v>15</v>
      </c>
      <c r="KMI8" s="1181"/>
      <c r="KMJ8" s="4" t="s">
        <v>4</v>
      </c>
      <c r="KMK8" s="5" t="s">
        <v>5</v>
      </c>
      <c r="KML8" s="1181" t="s">
        <v>15</v>
      </c>
      <c r="KMM8" s="1181"/>
      <c r="KMN8" s="5" t="s">
        <v>4</v>
      </c>
      <c r="KMO8" s="5" t="s">
        <v>0</v>
      </c>
      <c r="KMP8" s="1181" t="s">
        <v>15</v>
      </c>
      <c r="KMQ8" s="1181"/>
      <c r="KMR8" s="4" t="s">
        <v>4</v>
      </c>
      <c r="KMS8" s="5" t="s">
        <v>5</v>
      </c>
      <c r="KMT8" s="1181" t="s">
        <v>15</v>
      </c>
      <c r="KMU8" s="1181"/>
      <c r="KMV8" s="5" t="s">
        <v>4</v>
      </c>
      <c r="KMW8" s="5" t="s">
        <v>0</v>
      </c>
      <c r="KMX8" s="1181" t="s">
        <v>15</v>
      </c>
      <c r="KMY8" s="1181"/>
      <c r="KMZ8" s="4" t="s">
        <v>4</v>
      </c>
      <c r="KNA8" s="5" t="s">
        <v>5</v>
      </c>
      <c r="KNB8" s="1181" t="s">
        <v>15</v>
      </c>
      <c r="KNC8" s="1181"/>
      <c r="KND8" s="5" t="s">
        <v>4</v>
      </c>
      <c r="KNE8" s="5" t="s">
        <v>0</v>
      </c>
      <c r="KNF8" s="1181" t="s">
        <v>15</v>
      </c>
      <c r="KNG8" s="1181"/>
      <c r="KNH8" s="4" t="s">
        <v>4</v>
      </c>
      <c r="KNI8" s="5" t="s">
        <v>5</v>
      </c>
      <c r="KNJ8" s="1181" t="s">
        <v>15</v>
      </c>
      <c r="KNK8" s="1181"/>
      <c r="KNL8" s="5" t="s">
        <v>4</v>
      </c>
      <c r="KNM8" s="5" t="s">
        <v>0</v>
      </c>
      <c r="KNN8" s="1181" t="s">
        <v>15</v>
      </c>
      <c r="KNO8" s="1181"/>
      <c r="KNP8" s="4" t="s">
        <v>4</v>
      </c>
      <c r="KNQ8" s="5" t="s">
        <v>5</v>
      </c>
      <c r="KNR8" s="1181" t="s">
        <v>15</v>
      </c>
      <c r="KNS8" s="1181"/>
      <c r="KNT8" s="5" t="s">
        <v>4</v>
      </c>
      <c r="KNU8" s="5" t="s">
        <v>0</v>
      </c>
      <c r="KNV8" s="1181" t="s">
        <v>15</v>
      </c>
      <c r="KNW8" s="1181"/>
      <c r="KNX8" s="4" t="s">
        <v>4</v>
      </c>
      <c r="KNY8" s="5" t="s">
        <v>5</v>
      </c>
      <c r="KNZ8" s="1181" t="s">
        <v>15</v>
      </c>
      <c r="KOA8" s="1181"/>
      <c r="KOB8" s="5" t="s">
        <v>4</v>
      </c>
      <c r="KOC8" s="5" t="s">
        <v>0</v>
      </c>
      <c r="KOD8" s="1181" t="s">
        <v>15</v>
      </c>
      <c r="KOE8" s="1181"/>
      <c r="KOF8" s="4" t="s">
        <v>4</v>
      </c>
      <c r="KOG8" s="5" t="s">
        <v>5</v>
      </c>
      <c r="KOH8" s="1181" t="s">
        <v>15</v>
      </c>
      <c r="KOI8" s="1181"/>
      <c r="KOJ8" s="5" t="s">
        <v>4</v>
      </c>
      <c r="KOK8" s="5" t="s">
        <v>0</v>
      </c>
      <c r="KOL8" s="1181" t="s">
        <v>15</v>
      </c>
      <c r="KOM8" s="1181"/>
      <c r="KON8" s="4" t="s">
        <v>4</v>
      </c>
      <c r="KOO8" s="5" t="s">
        <v>5</v>
      </c>
      <c r="KOP8" s="1181" t="s">
        <v>15</v>
      </c>
      <c r="KOQ8" s="1181"/>
      <c r="KOR8" s="5" t="s">
        <v>4</v>
      </c>
      <c r="KOS8" s="5" t="s">
        <v>0</v>
      </c>
      <c r="KOT8" s="1181" t="s">
        <v>15</v>
      </c>
      <c r="KOU8" s="1181"/>
      <c r="KOV8" s="4" t="s">
        <v>4</v>
      </c>
      <c r="KOW8" s="5" t="s">
        <v>5</v>
      </c>
      <c r="KOX8" s="1181" t="s">
        <v>15</v>
      </c>
      <c r="KOY8" s="1181"/>
      <c r="KOZ8" s="5" t="s">
        <v>4</v>
      </c>
      <c r="KPA8" s="5" t="s">
        <v>0</v>
      </c>
      <c r="KPB8" s="1181" t="s">
        <v>15</v>
      </c>
      <c r="KPC8" s="1181"/>
      <c r="KPD8" s="4" t="s">
        <v>4</v>
      </c>
      <c r="KPE8" s="5" t="s">
        <v>5</v>
      </c>
      <c r="KPF8" s="1181" t="s">
        <v>15</v>
      </c>
      <c r="KPG8" s="1181"/>
      <c r="KPH8" s="5" t="s">
        <v>4</v>
      </c>
      <c r="KPI8" s="5" t="s">
        <v>0</v>
      </c>
      <c r="KPJ8" s="1181" t="s">
        <v>15</v>
      </c>
      <c r="KPK8" s="1181"/>
      <c r="KPL8" s="4" t="s">
        <v>4</v>
      </c>
      <c r="KPM8" s="5" t="s">
        <v>5</v>
      </c>
      <c r="KPN8" s="1181" t="s">
        <v>15</v>
      </c>
      <c r="KPO8" s="1181"/>
      <c r="KPP8" s="5" t="s">
        <v>4</v>
      </c>
      <c r="KPQ8" s="5" t="s">
        <v>0</v>
      </c>
      <c r="KPR8" s="1181" t="s">
        <v>15</v>
      </c>
      <c r="KPS8" s="1181"/>
      <c r="KPT8" s="4" t="s">
        <v>4</v>
      </c>
      <c r="KPU8" s="5" t="s">
        <v>5</v>
      </c>
      <c r="KPV8" s="1181" t="s">
        <v>15</v>
      </c>
      <c r="KPW8" s="1181"/>
      <c r="KPX8" s="5" t="s">
        <v>4</v>
      </c>
      <c r="KPY8" s="5" t="s">
        <v>0</v>
      </c>
      <c r="KPZ8" s="1181" t="s">
        <v>15</v>
      </c>
      <c r="KQA8" s="1181"/>
      <c r="KQB8" s="4" t="s">
        <v>4</v>
      </c>
      <c r="KQC8" s="5" t="s">
        <v>5</v>
      </c>
      <c r="KQD8" s="1181" t="s">
        <v>15</v>
      </c>
      <c r="KQE8" s="1181"/>
      <c r="KQF8" s="5" t="s">
        <v>4</v>
      </c>
      <c r="KQG8" s="5" t="s">
        <v>0</v>
      </c>
      <c r="KQH8" s="1181" t="s">
        <v>15</v>
      </c>
      <c r="KQI8" s="1181"/>
      <c r="KQJ8" s="4" t="s">
        <v>4</v>
      </c>
      <c r="KQK8" s="5" t="s">
        <v>5</v>
      </c>
      <c r="KQL8" s="1181" t="s">
        <v>15</v>
      </c>
      <c r="KQM8" s="1181"/>
      <c r="KQN8" s="5" t="s">
        <v>4</v>
      </c>
      <c r="KQO8" s="5" t="s">
        <v>0</v>
      </c>
      <c r="KQP8" s="1181" t="s">
        <v>15</v>
      </c>
      <c r="KQQ8" s="1181"/>
      <c r="KQR8" s="4" t="s">
        <v>4</v>
      </c>
      <c r="KQS8" s="5" t="s">
        <v>5</v>
      </c>
      <c r="KQT8" s="1181" t="s">
        <v>15</v>
      </c>
      <c r="KQU8" s="1181"/>
      <c r="KQV8" s="5" t="s">
        <v>4</v>
      </c>
      <c r="KQW8" s="5" t="s">
        <v>0</v>
      </c>
      <c r="KQX8" s="1181" t="s">
        <v>15</v>
      </c>
      <c r="KQY8" s="1181"/>
      <c r="KQZ8" s="4" t="s">
        <v>4</v>
      </c>
      <c r="KRA8" s="5" t="s">
        <v>5</v>
      </c>
      <c r="KRB8" s="1181" t="s">
        <v>15</v>
      </c>
      <c r="KRC8" s="1181"/>
      <c r="KRD8" s="5" t="s">
        <v>4</v>
      </c>
      <c r="KRE8" s="5" t="s">
        <v>0</v>
      </c>
      <c r="KRF8" s="1181" t="s">
        <v>15</v>
      </c>
      <c r="KRG8" s="1181"/>
      <c r="KRH8" s="4" t="s">
        <v>4</v>
      </c>
      <c r="KRI8" s="5" t="s">
        <v>5</v>
      </c>
      <c r="KRJ8" s="1181" t="s">
        <v>15</v>
      </c>
      <c r="KRK8" s="1181"/>
      <c r="KRL8" s="5" t="s">
        <v>4</v>
      </c>
      <c r="KRM8" s="5" t="s">
        <v>0</v>
      </c>
      <c r="KRN8" s="1181" t="s">
        <v>15</v>
      </c>
      <c r="KRO8" s="1181"/>
      <c r="KRP8" s="4" t="s">
        <v>4</v>
      </c>
      <c r="KRQ8" s="5" t="s">
        <v>5</v>
      </c>
      <c r="KRR8" s="1181" t="s">
        <v>15</v>
      </c>
      <c r="KRS8" s="1181"/>
      <c r="KRT8" s="5" t="s">
        <v>4</v>
      </c>
      <c r="KRU8" s="5" t="s">
        <v>0</v>
      </c>
      <c r="KRV8" s="1181" t="s">
        <v>15</v>
      </c>
      <c r="KRW8" s="1181"/>
      <c r="KRX8" s="4" t="s">
        <v>4</v>
      </c>
      <c r="KRY8" s="5" t="s">
        <v>5</v>
      </c>
      <c r="KRZ8" s="1181" t="s">
        <v>15</v>
      </c>
      <c r="KSA8" s="1181"/>
      <c r="KSB8" s="5" t="s">
        <v>4</v>
      </c>
      <c r="KSC8" s="5" t="s">
        <v>0</v>
      </c>
      <c r="KSD8" s="1181" t="s">
        <v>15</v>
      </c>
      <c r="KSE8" s="1181"/>
      <c r="KSF8" s="4" t="s">
        <v>4</v>
      </c>
      <c r="KSG8" s="5" t="s">
        <v>5</v>
      </c>
      <c r="KSH8" s="1181" t="s">
        <v>15</v>
      </c>
      <c r="KSI8" s="1181"/>
      <c r="KSJ8" s="5" t="s">
        <v>4</v>
      </c>
      <c r="KSK8" s="5" t="s">
        <v>0</v>
      </c>
      <c r="KSL8" s="1181" t="s">
        <v>15</v>
      </c>
      <c r="KSM8" s="1181"/>
      <c r="KSN8" s="4" t="s">
        <v>4</v>
      </c>
      <c r="KSO8" s="5" t="s">
        <v>5</v>
      </c>
      <c r="KSP8" s="1181" t="s">
        <v>15</v>
      </c>
      <c r="KSQ8" s="1181"/>
      <c r="KSR8" s="5" t="s">
        <v>4</v>
      </c>
      <c r="KSS8" s="5" t="s">
        <v>0</v>
      </c>
      <c r="KST8" s="1181" t="s">
        <v>15</v>
      </c>
      <c r="KSU8" s="1181"/>
      <c r="KSV8" s="4" t="s">
        <v>4</v>
      </c>
      <c r="KSW8" s="5" t="s">
        <v>5</v>
      </c>
      <c r="KSX8" s="1181" t="s">
        <v>15</v>
      </c>
      <c r="KSY8" s="1181"/>
      <c r="KSZ8" s="5" t="s">
        <v>4</v>
      </c>
      <c r="KTA8" s="5" t="s">
        <v>0</v>
      </c>
      <c r="KTB8" s="1181" t="s">
        <v>15</v>
      </c>
      <c r="KTC8" s="1181"/>
      <c r="KTD8" s="4" t="s">
        <v>4</v>
      </c>
      <c r="KTE8" s="5" t="s">
        <v>5</v>
      </c>
      <c r="KTF8" s="1181" t="s">
        <v>15</v>
      </c>
      <c r="KTG8" s="1181"/>
      <c r="KTH8" s="5" t="s">
        <v>4</v>
      </c>
      <c r="KTI8" s="5" t="s">
        <v>0</v>
      </c>
      <c r="KTJ8" s="1181" t="s">
        <v>15</v>
      </c>
      <c r="KTK8" s="1181"/>
      <c r="KTL8" s="4" t="s">
        <v>4</v>
      </c>
      <c r="KTM8" s="5" t="s">
        <v>5</v>
      </c>
      <c r="KTN8" s="1181" t="s">
        <v>15</v>
      </c>
      <c r="KTO8" s="1181"/>
      <c r="KTP8" s="5" t="s">
        <v>4</v>
      </c>
      <c r="KTQ8" s="5" t="s">
        <v>0</v>
      </c>
      <c r="KTR8" s="1181" t="s">
        <v>15</v>
      </c>
      <c r="KTS8" s="1181"/>
      <c r="KTT8" s="4" t="s">
        <v>4</v>
      </c>
      <c r="KTU8" s="5" t="s">
        <v>5</v>
      </c>
      <c r="KTV8" s="1181" t="s">
        <v>15</v>
      </c>
      <c r="KTW8" s="1181"/>
      <c r="KTX8" s="5" t="s">
        <v>4</v>
      </c>
      <c r="KTY8" s="5" t="s">
        <v>0</v>
      </c>
      <c r="KTZ8" s="1181" t="s">
        <v>15</v>
      </c>
      <c r="KUA8" s="1181"/>
      <c r="KUB8" s="4" t="s">
        <v>4</v>
      </c>
      <c r="KUC8" s="5" t="s">
        <v>5</v>
      </c>
      <c r="KUD8" s="1181" t="s">
        <v>15</v>
      </c>
      <c r="KUE8" s="1181"/>
      <c r="KUF8" s="5" t="s">
        <v>4</v>
      </c>
      <c r="KUG8" s="5" t="s">
        <v>0</v>
      </c>
      <c r="KUH8" s="1181" t="s">
        <v>15</v>
      </c>
      <c r="KUI8" s="1181"/>
      <c r="KUJ8" s="4" t="s">
        <v>4</v>
      </c>
      <c r="KUK8" s="5" t="s">
        <v>5</v>
      </c>
      <c r="KUL8" s="1181" t="s">
        <v>15</v>
      </c>
      <c r="KUM8" s="1181"/>
      <c r="KUN8" s="5" t="s">
        <v>4</v>
      </c>
      <c r="KUO8" s="5" t="s">
        <v>0</v>
      </c>
      <c r="KUP8" s="1181" t="s">
        <v>15</v>
      </c>
      <c r="KUQ8" s="1181"/>
      <c r="KUR8" s="4" t="s">
        <v>4</v>
      </c>
      <c r="KUS8" s="5" t="s">
        <v>5</v>
      </c>
      <c r="KUT8" s="1181" t="s">
        <v>15</v>
      </c>
      <c r="KUU8" s="1181"/>
      <c r="KUV8" s="5" t="s">
        <v>4</v>
      </c>
      <c r="KUW8" s="5" t="s">
        <v>0</v>
      </c>
      <c r="KUX8" s="1181" t="s">
        <v>15</v>
      </c>
      <c r="KUY8" s="1181"/>
      <c r="KUZ8" s="4" t="s">
        <v>4</v>
      </c>
      <c r="KVA8" s="5" t="s">
        <v>5</v>
      </c>
      <c r="KVB8" s="1181" t="s">
        <v>15</v>
      </c>
      <c r="KVC8" s="1181"/>
      <c r="KVD8" s="5" t="s">
        <v>4</v>
      </c>
      <c r="KVE8" s="5" t="s">
        <v>0</v>
      </c>
      <c r="KVF8" s="1181" t="s">
        <v>15</v>
      </c>
      <c r="KVG8" s="1181"/>
      <c r="KVH8" s="4" t="s">
        <v>4</v>
      </c>
      <c r="KVI8" s="5" t="s">
        <v>5</v>
      </c>
      <c r="KVJ8" s="1181" t="s">
        <v>15</v>
      </c>
      <c r="KVK8" s="1181"/>
      <c r="KVL8" s="5" t="s">
        <v>4</v>
      </c>
      <c r="KVM8" s="5" t="s">
        <v>0</v>
      </c>
      <c r="KVN8" s="1181" t="s">
        <v>15</v>
      </c>
      <c r="KVO8" s="1181"/>
      <c r="KVP8" s="4" t="s">
        <v>4</v>
      </c>
      <c r="KVQ8" s="5" t="s">
        <v>5</v>
      </c>
      <c r="KVR8" s="1181" t="s">
        <v>15</v>
      </c>
      <c r="KVS8" s="1181"/>
      <c r="KVT8" s="5" t="s">
        <v>4</v>
      </c>
      <c r="KVU8" s="5" t="s">
        <v>0</v>
      </c>
      <c r="KVV8" s="1181" t="s">
        <v>15</v>
      </c>
      <c r="KVW8" s="1181"/>
      <c r="KVX8" s="4" t="s">
        <v>4</v>
      </c>
      <c r="KVY8" s="5" t="s">
        <v>5</v>
      </c>
      <c r="KVZ8" s="1181" t="s">
        <v>15</v>
      </c>
      <c r="KWA8" s="1181"/>
      <c r="KWB8" s="5" t="s">
        <v>4</v>
      </c>
      <c r="KWC8" s="5" t="s">
        <v>0</v>
      </c>
      <c r="KWD8" s="1181" t="s">
        <v>15</v>
      </c>
      <c r="KWE8" s="1181"/>
      <c r="KWF8" s="4" t="s">
        <v>4</v>
      </c>
      <c r="KWG8" s="5" t="s">
        <v>5</v>
      </c>
      <c r="KWH8" s="1181" t="s">
        <v>15</v>
      </c>
      <c r="KWI8" s="1181"/>
      <c r="KWJ8" s="5" t="s">
        <v>4</v>
      </c>
      <c r="KWK8" s="5" t="s">
        <v>0</v>
      </c>
      <c r="KWL8" s="1181" t="s">
        <v>15</v>
      </c>
      <c r="KWM8" s="1181"/>
      <c r="KWN8" s="4" t="s">
        <v>4</v>
      </c>
      <c r="KWO8" s="5" t="s">
        <v>5</v>
      </c>
      <c r="KWP8" s="1181" t="s">
        <v>15</v>
      </c>
      <c r="KWQ8" s="1181"/>
      <c r="KWR8" s="5" t="s">
        <v>4</v>
      </c>
      <c r="KWS8" s="5" t="s">
        <v>0</v>
      </c>
      <c r="KWT8" s="1181" t="s">
        <v>15</v>
      </c>
      <c r="KWU8" s="1181"/>
      <c r="KWV8" s="4" t="s">
        <v>4</v>
      </c>
      <c r="KWW8" s="5" t="s">
        <v>5</v>
      </c>
      <c r="KWX8" s="1181" t="s">
        <v>15</v>
      </c>
      <c r="KWY8" s="1181"/>
      <c r="KWZ8" s="5" t="s">
        <v>4</v>
      </c>
      <c r="KXA8" s="5" t="s">
        <v>0</v>
      </c>
      <c r="KXB8" s="1181" t="s">
        <v>15</v>
      </c>
      <c r="KXC8" s="1181"/>
      <c r="KXD8" s="4" t="s">
        <v>4</v>
      </c>
      <c r="KXE8" s="5" t="s">
        <v>5</v>
      </c>
      <c r="KXF8" s="1181" t="s">
        <v>15</v>
      </c>
      <c r="KXG8" s="1181"/>
      <c r="KXH8" s="5" t="s">
        <v>4</v>
      </c>
      <c r="KXI8" s="5" t="s">
        <v>0</v>
      </c>
      <c r="KXJ8" s="1181" t="s">
        <v>15</v>
      </c>
      <c r="KXK8" s="1181"/>
      <c r="KXL8" s="4" t="s">
        <v>4</v>
      </c>
      <c r="KXM8" s="5" t="s">
        <v>5</v>
      </c>
      <c r="KXN8" s="1181" t="s">
        <v>15</v>
      </c>
      <c r="KXO8" s="1181"/>
      <c r="KXP8" s="5" t="s">
        <v>4</v>
      </c>
      <c r="KXQ8" s="5" t="s">
        <v>0</v>
      </c>
      <c r="KXR8" s="1181" t="s">
        <v>15</v>
      </c>
      <c r="KXS8" s="1181"/>
      <c r="KXT8" s="4" t="s">
        <v>4</v>
      </c>
      <c r="KXU8" s="5" t="s">
        <v>5</v>
      </c>
      <c r="KXV8" s="1181" t="s">
        <v>15</v>
      </c>
      <c r="KXW8" s="1181"/>
      <c r="KXX8" s="5" t="s">
        <v>4</v>
      </c>
      <c r="KXY8" s="5" t="s">
        <v>0</v>
      </c>
      <c r="KXZ8" s="1181" t="s">
        <v>15</v>
      </c>
      <c r="KYA8" s="1181"/>
      <c r="KYB8" s="4" t="s">
        <v>4</v>
      </c>
      <c r="KYC8" s="5" t="s">
        <v>5</v>
      </c>
      <c r="KYD8" s="1181" t="s">
        <v>15</v>
      </c>
      <c r="KYE8" s="1181"/>
      <c r="KYF8" s="5" t="s">
        <v>4</v>
      </c>
      <c r="KYG8" s="5" t="s">
        <v>0</v>
      </c>
      <c r="KYH8" s="1181" t="s">
        <v>15</v>
      </c>
      <c r="KYI8" s="1181"/>
      <c r="KYJ8" s="4" t="s">
        <v>4</v>
      </c>
      <c r="KYK8" s="5" t="s">
        <v>5</v>
      </c>
      <c r="KYL8" s="1181" t="s">
        <v>15</v>
      </c>
      <c r="KYM8" s="1181"/>
      <c r="KYN8" s="5" t="s">
        <v>4</v>
      </c>
      <c r="KYO8" s="5" t="s">
        <v>0</v>
      </c>
      <c r="KYP8" s="1181" t="s">
        <v>15</v>
      </c>
      <c r="KYQ8" s="1181"/>
      <c r="KYR8" s="4" t="s">
        <v>4</v>
      </c>
      <c r="KYS8" s="5" t="s">
        <v>5</v>
      </c>
      <c r="KYT8" s="1181" t="s">
        <v>15</v>
      </c>
      <c r="KYU8" s="1181"/>
      <c r="KYV8" s="5" t="s">
        <v>4</v>
      </c>
      <c r="KYW8" s="5" t="s">
        <v>0</v>
      </c>
      <c r="KYX8" s="1181" t="s">
        <v>15</v>
      </c>
      <c r="KYY8" s="1181"/>
      <c r="KYZ8" s="4" t="s">
        <v>4</v>
      </c>
      <c r="KZA8" s="5" t="s">
        <v>5</v>
      </c>
      <c r="KZB8" s="1181" t="s">
        <v>15</v>
      </c>
      <c r="KZC8" s="1181"/>
      <c r="KZD8" s="5" t="s">
        <v>4</v>
      </c>
      <c r="KZE8" s="5" t="s">
        <v>0</v>
      </c>
      <c r="KZF8" s="1181" t="s">
        <v>15</v>
      </c>
      <c r="KZG8" s="1181"/>
      <c r="KZH8" s="4" t="s">
        <v>4</v>
      </c>
      <c r="KZI8" s="5" t="s">
        <v>5</v>
      </c>
      <c r="KZJ8" s="1181" t="s">
        <v>15</v>
      </c>
      <c r="KZK8" s="1181"/>
      <c r="KZL8" s="5" t="s">
        <v>4</v>
      </c>
      <c r="KZM8" s="5" t="s">
        <v>0</v>
      </c>
      <c r="KZN8" s="1181" t="s">
        <v>15</v>
      </c>
      <c r="KZO8" s="1181"/>
      <c r="KZP8" s="4" t="s">
        <v>4</v>
      </c>
      <c r="KZQ8" s="5" t="s">
        <v>5</v>
      </c>
      <c r="KZR8" s="1181" t="s">
        <v>15</v>
      </c>
      <c r="KZS8" s="1181"/>
      <c r="KZT8" s="5" t="s">
        <v>4</v>
      </c>
      <c r="KZU8" s="5" t="s">
        <v>0</v>
      </c>
      <c r="KZV8" s="1181" t="s">
        <v>15</v>
      </c>
      <c r="KZW8" s="1181"/>
      <c r="KZX8" s="4" t="s">
        <v>4</v>
      </c>
      <c r="KZY8" s="5" t="s">
        <v>5</v>
      </c>
      <c r="KZZ8" s="1181" t="s">
        <v>15</v>
      </c>
      <c r="LAA8" s="1181"/>
      <c r="LAB8" s="5" t="s">
        <v>4</v>
      </c>
      <c r="LAC8" s="5" t="s">
        <v>0</v>
      </c>
      <c r="LAD8" s="1181" t="s">
        <v>15</v>
      </c>
      <c r="LAE8" s="1181"/>
      <c r="LAF8" s="4" t="s">
        <v>4</v>
      </c>
      <c r="LAG8" s="5" t="s">
        <v>5</v>
      </c>
      <c r="LAH8" s="1181" t="s">
        <v>15</v>
      </c>
      <c r="LAI8" s="1181"/>
      <c r="LAJ8" s="5" t="s">
        <v>4</v>
      </c>
      <c r="LAK8" s="5" t="s">
        <v>0</v>
      </c>
      <c r="LAL8" s="1181" t="s">
        <v>15</v>
      </c>
      <c r="LAM8" s="1181"/>
      <c r="LAN8" s="4" t="s">
        <v>4</v>
      </c>
      <c r="LAO8" s="5" t="s">
        <v>5</v>
      </c>
      <c r="LAP8" s="1181" t="s">
        <v>15</v>
      </c>
      <c r="LAQ8" s="1181"/>
      <c r="LAR8" s="5" t="s">
        <v>4</v>
      </c>
      <c r="LAS8" s="5" t="s">
        <v>0</v>
      </c>
      <c r="LAT8" s="1181" t="s">
        <v>15</v>
      </c>
      <c r="LAU8" s="1181"/>
      <c r="LAV8" s="4" t="s">
        <v>4</v>
      </c>
      <c r="LAW8" s="5" t="s">
        <v>5</v>
      </c>
      <c r="LAX8" s="1181" t="s">
        <v>15</v>
      </c>
      <c r="LAY8" s="1181"/>
      <c r="LAZ8" s="5" t="s">
        <v>4</v>
      </c>
      <c r="LBA8" s="5" t="s">
        <v>0</v>
      </c>
      <c r="LBB8" s="1181" t="s">
        <v>15</v>
      </c>
      <c r="LBC8" s="1181"/>
      <c r="LBD8" s="4" t="s">
        <v>4</v>
      </c>
      <c r="LBE8" s="5" t="s">
        <v>5</v>
      </c>
      <c r="LBF8" s="1181" t="s">
        <v>15</v>
      </c>
      <c r="LBG8" s="1181"/>
      <c r="LBH8" s="5" t="s">
        <v>4</v>
      </c>
      <c r="LBI8" s="5" t="s">
        <v>0</v>
      </c>
      <c r="LBJ8" s="1181" t="s">
        <v>15</v>
      </c>
      <c r="LBK8" s="1181"/>
      <c r="LBL8" s="4" t="s">
        <v>4</v>
      </c>
      <c r="LBM8" s="5" t="s">
        <v>5</v>
      </c>
      <c r="LBN8" s="1181" t="s">
        <v>15</v>
      </c>
      <c r="LBO8" s="1181"/>
      <c r="LBP8" s="5" t="s">
        <v>4</v>
      </c>
      <c r="LBQ8" s="5" t="s">
        <v>0</v>
      </c>
      <c r="LBR8" s="1181" t="s">
        <v>15</v>
      </c>
      <c r="LBS8" s="1181"/>
      <c r="LBT8" s="4" t="s">
        <v>4</v>
      </c>
      <c r="LBU8" s="5" t="s">
        <v>5</v>
      </c>
      <c r="LBV8" s="1181" t="s">
        <v>15</v>
      </c>
      <c r="LBW8" s="1181"/>
      <c r="LBX8" s="5" t="s">
        <v>4</v>
      </c>
      <c r="LBY8" s="5" t="s">
        <v>0</v>
      </c>
      <c r="LBZ8" s="1181" t="s">
        <v>15</v>
      </c>
      <c r="LCA8" s="1181"/>
      <c r="LCB8" s="4" t="s">
        <v>4</v>
      </c>
      <c r="LCC8" s="5" t="s">
        <v>5</v>
      </c>
      <c r="LCD8" s="1181" t="s">
        <v>15</v>
      </c>
      <c r="LCE8" s="1181"/>
      <c r="LCF8" s="5" t="s">
        <v>4</v>
      </c>
      <c r="LCG8" s="5" t="s">
        <v>0</v>
      </c>
      <c r="LCH8" s="1181" t="s">
        <v>15</v>
      </c>
      <c r="LCI8" s="1181"/>
      <c r="LCJ8" s="4" t="s">
        <v>4</v>
      </c>
      <c r="LCK8" s="5" t="s">
        <v>5</v>
      </c>
      <c r="LCL8" s="1181" t="s">
        <v>15</v>
      </c>
      <c r="LCM8" s="1181"/>
      <c r="LCN8" s="5" t="s">
        <v>4</v>
      </c>
      <c r="LCO8" s="5" t="s">
        <v>0</v>
      </c>
      <c r="LCP8" s="1181" t="s">
        <v>15</v>
      </c>
      <c r="LCQ8" s="1181"/>
      <c r="LCR8" s="4" t="s">
        <v>4</v>
      </c>
      <c r="LCS8" s="5" t="s">
        <v>5</v>
      </c>
      <c r="LCT8" s="1181" t="s">
        <v>15</v>
      </c>
      <c r="LCU8" s="1181"/>
      <c r="LCV8" s="5" t="s">
        <v>4</v>
      </c>
      <c r="LCW8" s="5" t="s">
        <v>0</v>
      </c>
      <c r="LCX8" s="1181" t="s">
        <v>15</v>
      </c>
      <c r="LCY8" s="1181"/>
      <c r="LCZ8" s="4" t="s">
        <v>4</v>
      </c>
      <c r="LDA8" s="5" t="s">
        <v>5</v>
      </c>
      <c r="LDB8" s="1181" t="s">
        <v>15</v>
      </c>
      <c r="LDC8" s="1181"/>
      <c r="LDD8" s="5" t="s">
        <v>4</v>
      </c>
      <c r="LDE8" s="5" t="s">
        <v>0</v>
      </c>
      <c r="LDF8" s="1181" t="s">
        <v>15</v>
      </c>
      <c r="LDG8" s="1181"/>
      <c r="LDH8" s="4" t="s">
        <v>4</v>
      </c>
      <c r="LDI8" s="5" t="s">
        <v>5</v>
      </c>
      <c r="LDJ8" s="1181" t="s">
        <v>15</v>
      </c>
      <c r="LDK8" s="1181"/>
      <c r="LDL8" s="5" t="s">
        <v>4</v>
      </c>
      <c r="LDM8" s="5" t="s">
        <v>0</v>
      </c>
      <c r="LDN8" s="1181" t="s">
        <v>15</v>
      </c>
      <c r="LDO8" s="1181"/>
      <c r="LDP8" s="4" t="s">
        <v>4</v>
      </c>
      <c r="LDQ8" s="5" t="s">
        <v>5</v>
      </c>
      <c r="LDR8" s="1181" t="s">
        <v>15</v>
      </c>
      <c r="LDS8" s="1181"/>
      <c r="LDT8" s="5" t="s">
        <v>4</v>
      </c>
      <c r="LDU8" s="5" t="s">
        <v>0</v>
      </c>
      <c r="LDV8" s="1181" t="s">
        <v>15</v>
      </c>
      <c r="LDW8" s="1181"/>
      <c r="LDX8" s="4" t="s">
        <v>4</v>
      </c>
      <c r="LDY8" s="5" t="s">
        <v>5</v>
      </c>
      <c r="LDZ8" s="1181" t="s">
        <v>15</v>
      </c>
      <c r="LEA8" s="1181"/>
      <c r="LEB8" s="5" t="s">
        <v>4</v>
      </c>
      <c r="LEC8" s="5" t="s">
        <v>0</v>
      </c>
      <c r="LED8" s="1181" t="s">
        <v>15</v>
      </c>
      <c r="LEE8" s="1181"/>
      <c r="LEF8" s="4" t="s">
        <v>4</v>
      </c>
      <c r="LEG8" s="5" t="s">
        <v>5</v>
      </c>
      <c r="LEH8" s="1181" t="s">
        <v>15</v>
      </c>
      <c r="LEI8" s="1181"/>
      <c r="LEJ8" s="5" t="s">
        <v>4</v>
      </c>
      <c r="LEK8" s="5" t="s">
        <v>0</v>
      </c>
      <c r="LEL8" s="1181" t="s">
        <v>15</v>
      </c>
      <c r="LEM8" s="1181"/>
      <c r="LEN8" s="4" t="s">
        <v>4</v>
      </c>
      <c r="LEO8" s="5" t="s">
        <v>5</v>
      </c>
      <c r="LEP8" s="1181" t="s">
        <v>15</v>
      </c>
      <c r="LEQ8" s="1181"/>
      <c r="LER8" s="5" t="s">
        <v>4</v>
      </c>
      <c r="LES8" s="5" t="s">
        <v>0</v>
      </c>
      <c r="LET8" s="1181" t="s">
        <v>15</v>
      </c>
      <c r="LEU8" s="1181"/>
      <c r="LEV8" s="4" t="s">
        <v>4</v>
      </c>
      <c r="LEW8" s="5" t="s">
        <v>5</v>
      </c>
      <c r="LEX8" s="1181" t="s">
        <v>15</v>
      </c>
      <c r="LEY8" s="1181"/>
      <c r="LEZ8" s="5" t="s">
        <v>4</v>
      </c>
      <c r="LFA8" s="5" t="s">
        <v>0</v>
      </c>
      <c r="LFB8" s="1181" t="s">
        <v>15</v>
      </c>
      <c r="LFC8" s="1181"/>
      <c r="LFD8" s="4" t="s">
        <v>4</v>
      </c>
      <c r="LFE8" s="5" t="s">
        <v>5</v>
      </c>
      <c r="LFF8" s="1181" t="s">
        <v>15</v>
      </c>
      <c r="LFG8" s="1181"/>
      <c r="LFH8" s="5" t="s">
        <v>4</v>
      </c>
      <c r="LFI8" s="5" t="s">
        <v>0</v>
      </c>
      <c r="LFJ8" s="1181" t="s">
        <v>15</v>
      </c>
      <c r="LFK8" s="1181"/>
      <c r="LFL8" s="4" t="s">
        <v>4</v>
      </c>
      <c r="LFM8" s="5" t="s">
        <v>5</v>
      </c>
      <c r="LFN8" s="1181" t="s">
        <v>15</v>
      </c>
      <c r="LFO8" s="1181"/>
      <c r="LFP8" s="5" t="s">
        <v>4</v>
      </c>
      <c r="LFQ8" s="5" t="s">
        <v>0</v>
      </c>
      <c r="LFR8" s="1181" t="s">
        <v>15</v>
      </c>
      <c r="LFS8" s="1181"/>
      <c r="LFT8" s="4" t="s">
        <v>4</v>
      </c>
      <c r="LFU8" s="5" t="s">
        <v>5</v>
      </c>
      <c r="LFV8" s="1181" t="s">
        <v>15</v>
      </c>
      <c r="LFW8" s="1181"/>
      <c r="LFX8" s="5" t="s">
        <v>4</v>
      </c>
      <c r="LFY8" s="5" t="s">
        <v>0</v>
      </c>
      <c r="LFZ8" s="1181" t="s">
        <v>15</v>
      </c>
      <c r="LGA8" s="1181"/>
      <c r="LGB8" s="4" t="s">
        <v>4</v>
      </c>
      <c r="LGC8" s="5" t="s">
        <v>5</v>
      </c>
      <c r="LGD8" s="1181" t="s">
        <v>15</v>
      </c>
      <c r="LGE8" s="1181"/>
      <c r="LGF8" s="5" t="s">
        <v>4</v>
      </c>
      <c r="LGG8" s="5" t="s">
        <v>0</v>
      </c>
      <c r="LGH8" s="1181" t="s">
        <v>15</v>
      </c>
      <c r="LGI8" s="1181"/>
      <c r="LGJ8" s="4" t="s">
        <v>4</v>
      </c>
      <c r="LGK8" s="5" t="s">
        <v>5</v>
      </c>
      <c r="LGL8" s="1181" t="s">
        <v>15</v>
      </c>
      <c r="LGM8" s="1181"/>
      <c r="LGN8" s="5" t="s">
        <v>4</v>
      </c>
      <c r="LGO8" s="5" t="s">
        <v>0</v>
      </c>
      <c r="LGP8" s="1181" t="s">
        <v>15</v>
      </c>
      <c r="LGQ8" s="1181"/>
      <c r="LGR8" s="4" t="s">
        <v>4</v>
      </c>
      <c r="LGS8" s="5" t="s">
        <v>5</v>
      </c>
      <c r="LGT8" s="1181" t="s">
        <v>15</v>
      </c>
      <c r="LGU8" s="1181"/>
      <c r="LGV8" s="5" t="s">
        <v>4</v>
      </c>
      <c r="LGW8" s="5" t="s">
        <v>0</v>
      </c>
      <c r="LGX8" s="1181" t="s">
        <v>15</v>
      </c>
      <c r="LGY8" s="1181"/>
      <c r="LGZ8" s="4" t="s">
        <v>4</v>
      </c>
      <c r="LHA8" s="5" t="s">
        <v>5</v>
      </c>
      <c r="LHB8" s="1181" t="s">
        <v>15</v>
      </c>
      <c r="LHC8" s="1181"/>
      <c r="LHD8" s="5" t="s">
        <v>4</v>
      </c>
      <c r="LHE8" s="5" t="s">
        <v>0</v>
      </c>
      <c r="LHF8" s="1181" t="s">
        <v>15</v>
      </c>
      <c r="LHG8" s="1181"/>
      <c r="LHH8" s="4" t="s">
        <v>4</v>
      </c>
      <c r="LHI8" s="5" t="s">
        <v>5</v>
      </c>
      <c r="LHJ8" s="1181" t="s">
        <v>15</v>
      </c>
      <c r="LHK8" s="1181"/>
      <c r="LHL8" s="5" t="s">
        <v>4</v>
      </c>
      <c r="LHM8" s="5" t="s">
        <v>0</v>
      </c>
      <c r="LHN8" s="1181" t="s">
        <v>15</v>
      </c>
      <c r="LHO8" s="1181"/>
      <c r="LHP8" s="4" t="s">
        <v>4</v>
      </c>
      <c r="LHQ8" s="5" t="s">
        <v>5</v>
      </c>
      <c r="LHR8" s="1181" t="s">
        <v>15</v>
      </c>
      <c r="LHS8" s="1181"/>
      <c r="LHT8" s="5" t="s">
        <v>4</v>
      </c>
      <c r="LHU8" s="5" t="s">
        <v>0</v>
      </c>
      <c r="LHV8" s="1181" t="s">
        <v>15</v>
      </c>
      <c r="LHW8" s="1181"/>
      <c r="LHX8" s="4" t="s">
        <v>4</v>
      </c>
      <c r="LHY8" s="5" t="s">
        <v>5</v>
      </c>
      <c r="LHZ8" s="1181" t="s">
        <v>15</v>
      </c>
      <c r="LIA8" s="1181"/>
      <c r="LIB8" s="5" t="s">
        <v>4</v>
      </c>
      <c r="LIC8" s="5" t="s">
        <v>0</v>
      </c>
      <c r="LID8" s="1181" t="s">
        <v>15</v>
      </c>
      <c r="LIE8" s="1181"/>
      <c r="LIF8" s="4" t="s">
        <v>4</v>
      </c>
      <c r="LIG8" s="5" t="s">
        <v>5</v>
      </c>
      <c r="LIH8" s="1181" t="s">
        <v>15</v>
      </c>
      <c r="LII8" s="1181"/>
      <c r="LIJ8" s="5" t="s">
        <v>4</v>
      </c>
      <c r="LIK8" s="5" t="s">
        <v>0</v>
      </c>
      <c r="LIL8" s="1181" t="s">
        <v>15</v>
      </c>
      <c r="LIM8" s="1181"/>
      <c r="LIN8" s="4" t="s">
        <v>4</v>
      </c>
      <c r="LIO8" s="5" t="s">
        <v>5</v>
      </c>
      <c r="LIP8" s="1181" t="s">
        <v>15</v>
      </c>
      <c r="LIQ8" s="1181"/>
      <c r="LIR8" s="5" t="s">
        <v>4</v>
      </c>
      <c r="LIS8" s="5" t="s">
        <v>0</v>
      </c>
      <c r="LIT8" s="1181" t="s">
        <v>15</v>
      </c>
      <c r="LIU8" s="1181"/>
      <c r="LIV8" s="4" t="s">
        <v>4</v>
      </c>
      <c r="LIW8" s="5" t="s">
        <v>5</v>
      </c>
      <c r="LIX8" s="1181" t="s">
        <v>15</v>
      </c>
      <c r="LIY8" s="1181"/>
      <c r="LIZ8" s="5" t="s">
        <v>4</v>
      </c>
      <c r="LJA8" s="5" t="s">
        <v>0</v>
      </c>
      <c r="LJB8" s="1181" t="s">
        <v>15</v>
      </c>
      <c r="LJC8" s="1181"/>
      <c r="LJD8" s="4" t="s">
        <v>4</v>
      </c>
      <c r="LJE8" s="5" t="s">
        <v>5</v>
      </c>
      <c r="LJF8" s="1181" t="s">
        <v>15</v>
      </c>
      <c r="LJG8" s="1181"/>
      <c r="LJH8" s="5" t="s">
        <v>4</v>
      </c>
      <c r="LJI8" s="5" t="s">
        <v>0</v>
      </c>
      <c r="LJJ8" s="1181" t="s">
        <v>15</v>
      </c>
      <c r="LJK8" s="1181"/>
      <c r="LJL8" s="4" t="s">
        <v>4</v>
      </c>
      <c r="LJM8" s="5" t="s">
        <v>5</v>
      </c>
      <c r="LJN8" s="1181" t="s">
        <v>15</v>
      </c>
      <c r="LJO8" s="1181"/>
      <c r="LJP8" s="5" t="s">
        <v>4</v>
      </c>
      <c r="LJQ8" s="5" t="s">
        <v>0</v>
      </c>
      <c r="LJR8" s="1181" t="s">
        <v>15</v>
      </c>
      <c r="LJS8" s="1181"/>
      <c r="LJT8" s="4" t="s">
        <v>4</v>
      </c>
      <c r="LJU8" s="5" t="s">
        <v>5</v>
      </c>
      <c r="LJV8" s="1181" t="s">
        <v>15</v>
      </c>
      <c r="LJW8" s="1181"/>
      <c r="LJX8" s="5" t="s">
        <v>4</v>
      </c>
      <c r="LJY8" s="5" t="s">
        <v>0</v>
      </c>
      <c r="LJZ8" s="1181" t="s">
        <v>15</v>
      </c>
      <c r="LKA8" s="1181"/>
      <c r="LKB8" s="4" t="s">
        <v>4</v>
      </c>
      <c r="LKC8" s="5" t="s">
        <v>5</v>
      </c>
      <c r="LKD8" s="1181" t="s">
        <v>15</v>
      </c>
      <c r="LKE8" s="1181"/>
      <c r="LKF8" s="5" t="s">
        <v>4</v>
      </c>
      <c r="LKG8" s="5" t="s">
        <v>0</v>
      </c>
      <c r="LKH8" s="1181" t="s">
        <v>15</v>
      </c>
      <c r="LKI8" s="1181"/>
      <c r="LKJ8" s="4" t="s">
        <v>4</v>
      </c>
      <c r="LKK8" s="5" t="s">
        <v>5</v>
      </c>
      <c r="LKL8" s="1181" t="s">
        <v>15</v>
      </c>
      <c r="LKM8" s="1181"/>
      <c r="LKN8" s="5" t="s">
        <v>4</v>
      </c>
      <c r="LKO8" s="5" t="s">
        <v>0</v>
      </c>
      <c r="LKP8" s="1181" t="s">
        <v>15</v>
      </c>
      <c r="LKQ8" s="1181"/>
      <c r="LKR8" s="4" t="s">
        <v>4</v>
      </c>
      <c r="LKS8" s="5" t="s">
        <v>5</v>
      </c>
      <c r="LKT8" s="1181" t="s">
        <v>15</v>
      </c>
      <c r="LKU8" s="1181"/>
      <c r="LKV8" s="5" t="s">
        <v>4</v>
      </c>
      <c r="LKW8" s="5" t="s">
        <v>0</v>
      </c>
      <c r="LKX8" s="1181" t="s">
        <v>15</v>
      </c>
      <c r="LKY8" s="1181"/>
      <c r="LKZ8" s="4" t="s">
        <v>4</v>
      </c>
      <c r="LLA8" s="5" t="s">
        <v>5</v>
      </c>
      <c r="LLB8" s="1181" t="s">
        <v>15</v>
      </c>
      <c r="LLC8" s="1181"/>
      <c r="LLD8" s="5" t="s">
        <v>4</v>
      </c>
      <c r="LLE8" s="5" t="s">
        <v>0</v>
      </c>
      <c r="LLF8" s="1181" t="s">
        <v>15</v>
      </c>
      <c r="LLG8" s="1181"/>
      <c r="LLH8" s="4" t="s">
        <v>4</v>
      </c>
      <c r="LLI8" s="5" t="s">
        <v>5</v>
      </c>
      <c r="LLJ8" s="1181" t="s">
        <v>15</v>
      </c>
      <c r="LLK8" s="1181"/>
      <c r="LLL8" s="5" t="s">
        <v>4</v>
      </c>
      <c r="LLM8" s="5" t="s">
        <v>0</v>
      </c>
      <c r="LLN8" s="1181" t="s">
        <v>15</v>
      </c>
      <c r="LLO8" s="1181"/>
      <c r="LLP8" s="4" t="s">
        <v>4</v>
      </c>
      <c r="LLQ8" s="5" t="s">
        <v>5</v>
      </c>
      <c r="LLR8" s="1181" t="s">
        <v>15</v>
      </c>
      <c r="LLS8" s="1181"/>
      <c r="LLT8" s="5" t="s">
        <v>4</v>
      </c>
      <c r="LLU8" s="5" t="s">
        <v>0</v>
      </c>
      <c r="LLV8" s="1181" t="s">
        <v>15</v>
      </c>
      <c r="LLW8" s="1181"/>
      <c r="LLX8" s="4" t="s">
        <v>4</v>
      </c>
      <c r="LLY8" s="5" t="s">
        <v>5</v>
      </c>
      <c r="LLZ8" s="1181" t="s">
        <v>15</v>
      </c>
      <c r="LMA8" s="1181"/>
      <c r="LMB8" s="5" t="s">
        <v>4</v>
      </c>
      <c r="LMC8" s="5" t="s">
        <v>0</v>
      </c>
      <c r="LMD8" s="1181" t="s">
        <v>15</v>
      </c>
      <c r="LME8" s="1181"/>
      <c r="LMF8" s="4" t="s">
        <v>4</v>
      </c>
      <c r="LMG8" s="5" t="s">
        <v>5</v>
      </c>
      <c r="LMH8" s="1181" t="s">
        <v>15</v>
      </c>
      <c r="LMI8" s="1181"/>
      <c r="LMJ8" s="5" t="s">
        <v>4</v>
      </c>
      <c r="LMK8" s="5" t="s">
        <v>0</v>
      </c>
      <c r="LML8" s="1181" t="s">
        <v>15</v>
      </c>
      <c r="LMM8" s="1181"/>
      <c r="LMN8" s="4" t="s">
        <v>4</v>
      </c>
      <c r="LMO8" s="5" t="s">
        <v>5</v>
      </c>
      <c r="LMP8" s="1181" t="s">
        <v>15</v>
      </c>
      <c r="LMQ8" s="1181"/>
      <c r="LMR8" s="5" t="s">
        <v>4</v>
      </c>
      <c r="LMS8" s="5" t="s">
        <v>0</v>
      </c>
      <c r="LMT8" s="1181" t="s">
        <v>15</v>
      </c>
      <c r="LMU8" s="1181"/>
      <c r="LMV8" s="4" t="s">
        <v>4</v>
      </c>
      <c r="LMW8" s="5" t="s">
        <v>5</v>
      </c>
      <c r="LMX8" s="1181" t="s">
        <v>15</v>
      </c>
      <c r="LMY8" s="1181"/>
      <c r="LMZ8" s="5" t="s">
        <v>4</v>
      </c>
      <c r="LNA8" s="5" t="s">
        <v>0</v>
      </c>
      <c r="LNB8" s="1181" t="s">
        <v>15</v>
      </c>
      <c r="LNC8" s="1181"/>
      <c r="LND8" s="4" t="s">
        <v>4</v>
      </c>
      <c r="LNE8" s="5" t="s">
        <v>5</v>
      </c>
      <c r="LNF8" s="1181" t="s">
        <v>15</v>
      </c>
      <c r="LNG8" s="1181"/>
      <c r="LNH8" s="5" t="s">
        <v>4</v>
      </c>
      <c r="LNI8" s="5" t="s">
        <v>0</v>
      </c>
      <c r="LNJ8" s="1181" t="s">
        <v>15</v>
      </c>
      <c r="LNK8" s="1181"/>
      <c r="LNL8" s="4" t="s">
        <v>4</v>
      </c>
      <c r="LNM8" s="5" t="s">
        <v>5</v>
      </c>
      <c r="LNN8" s="1181" t="s">
        <v>15</v>
      </c>
      <c r="LNO8" s="1181"/>
      <c r="LNP8" s="5" t="s">
        <v>4</v>
      </c>
      <c r="LNQ8" s="5" t="s">
        <v>0</v>
      </c>
      <c r="LNR8" s="1181" t="s">
        <v>15</v>
      </c>
      <c r="LNS8" s="1181"/>
      <c r="LNT8" s="4" t="s">
        <v>4</v>
      </c>
      <c r="LNU8" s="5" t="s">
        <v>5</v>
      </c>
      <c r="LNV8" s="1181" t="s">
        <v>15</v>
      </c>
      <c r="LNW8" s="1181"/>
      <c r="LNX8" s="5" t="s">
        <v>4</v>
      </c>
      <c r="LNY8" s="5" t="s">
        <v>0</v>
      </c>
      <c r="LNZ8" s="1181" t="s">
        <v>15</v>
      </c>
      <c r="LOA8" s="1181"/>
      <c r="LOB8" s="4" t="s">
        <v>4</v>
      </c>
      <c r="LOC8" s="5" t="s">
        <v>5</v>
      </c>
      <c r="LOD8" s="1181" t="s">
        <v>15</v>
      </c>
      <c r="LOE8" s="1181"/>
      <c r="LOF8" s="5" t="s">
        <v>4</v>
      </c>
      <c r="LOG8" s="5" t="s">
        <v>0</v>
      </c>
      <c r="LOH8" s="1181" t="s">
        <v>15</v>
      </c>
      <c r="LOI8" s="1181"/>
      <c r="LOJ8" s="4" t="s">
        <v>4</v>
      </c>
      <c r="LOK8" s="5" t="s">
        <v>5</v>
      </c>
      <c r="LOL8" s="1181" t="s">
        <v>15</v>
      </c>
      <c r="LOM8" s="1181"/>
      <c r="LON8" s="5" t="s">
        <v>4</v>
      </c>
      <c r="LOO8" s="5" t="s">
        <v>0</v>
      </c>
      <c r="LOP8" s="1181" t="s">
        <v>15</v>
      </c>
      <c r="LOQ8" s="1181"/>
      <c r="LOR8" s="4" t="s">
        <v>4</v>
      </c>
      <c r="LOS8" s="5" t="s">
        <v>5</v>
      </c>
      <c r="LOT8" s="1181" t="s">
        <v>15</v>
      </c>
      <c r="LOU8" s="1181"/>
      <c r="LOV8" s="5" t="s">
        <v>4</v>
      </c>
      <c r="LOW8" s="5" t="s">
        <v>0</v>
      </c>
      <c r="LOX8" s="1181" t="s">
        <v>15</v>
      </c>
      <c r="LOY8" s="1181"/>
      <c r="LOZ8" s="4" t="s">
        <v>4</v>
      </c>
      <c r="LPA8" s="5" t="s">
        <v>5</v>
      </c>
      <c r="LPB8" s="1181" t="s">
        <v>15</v>
      </c>
      <c r="LPC8" s="1181"/>
      <c r="LPD8" s="5" t="s">
        <v>4</v>
      </c>
      <c r="LPE8" s="5" t="s">
        <v>0</v>
      </c>
      <c r="LPF8" s="1181" t="s">
        <v>15</v>
      </c>
      <c r="LPG8" s="1181"/>
      <c r="LPH8" s="4" t="s">
        <v>4</v>
      </c>
      <c r="LPI8" s="5" t="s">
        <v>5</v>
      </c>
      <c r="LPJ8" s="1181" t="s">
        <v>15</v>
      </c>
      <c r="LPK8" s="1181"/>
      <c r="LPL8" s="5" t="s">
        <v>4</v>
      </c>
      <c r="LPM8" s="5" t="s">
        <v>0</v>
      </c>
      <c r="LPN8" s="1181" t="s">
        <v>15</v>
      </c>
      <c r="LPO8" s="1181"/>
      <c r="LPP8" s="4" t="s">
        <v>4</v>
      </c>
      <c r="LPQ8" s="5" t="s">
        <v>5</v>
      </c>
      <c r="LPR8" s="1181" t="s">
        <v>15</v>
      </c>
      <c r="LPS8" s="1181"/>
      <c r="LPT8" s="5" t="s">
        <v>4</v>
      </c>
      <c r="LPU8" s="5" t="s">
        <v>0</v>
      </c>
      <c r="LPV8" s="1181" t="s">
        <v>15</v>
      </c>
      <c r="LPW8" s="1181"/>
      <c r="LPX8" s="4" t="s">
        <v>4</v>
      </c>
      <c r="LPY8" s="5" t="s">
        <v>5</v>
      </c>
      <c r="LPZ8" s="1181" t="s">
        <v>15</v>
      </c>
      <c r="LQA8" s="1181"/>
      <c r="LQB8" s="5" t="s">
        <v>4</v>
      </c>
      <c r="LQC8" s="5" t="s">
        <v>0</v>
      </c>
      <c r="LQD8" s="1181" t="s">
        <v>15</v>
      </c>
      <c r="LQE8" s="1181"/>
      <c r="LQF8" s="4" t="s">
        <v>4</v>
      </c>
      <c r="LQG8" s="5" t="s">
        <v>5</v>
      </c>
      <c r="LQH8" s="1181" t="s">
        <v>15</v>
      </c>
      <c r="LQI8" s="1181"/>
      <c r="LQJ8" s="5" t="s">
        <v>4</v>
      </c>
      <c r="LQK8" s="5" t="s">
        <v>0</v>
      </c>
      <c r="LQL8" s="1181" t="s">
        <v>15</v>
      </c>
      <c r="LQM8" s="1181"/>
      <c r="LQN8" s="4" t="s">
        <v>4</v>
      </c>
      <c r="LQO8" s="5" t="s">
        <v>5</v>
      </c>
      <c r="LQP8" s="1181" t="s">
        <v>15</v>
      </c>
      <c r="LQQ8" s="1181"/>
      <c r="LQR8" s="5" t="s">
        <v>4</v>
      </c>
      <c r="LQS8" s="5" t="s">
        <v>0</v>
      </c>
      <c r="LQT8" s="1181" t="s">
        <v>15</v>
      </c>
      <c r="LQU8" s="1181"/>
      <c r="LQV8" s="4" t="s">
        <v>4</v>
      </c>
      <c r="LQW8" s="5" t="s">
        <v>5</v>
      </c>
      <c r="LQX8" s="1181" t="s">
        <v>15</v>
      </c>
      <c r="LQY8" s="1181"/>
      <c r="LQZ8" s="5" t="s">
        <v>4</v>
      </c>
      <c r="LRA8" s="5" t="s">
        <v>0</v>
      </c>
      <c r="LRB8" s="1181" t="s">
        <v>15</v>
      </c>
      <c r="LRC8" s="1181"/>
      <c r="LRD8" s="4" t="s">
        <v>4</v>
      </c>
      <c r="LRE8" s="5" t="s">
        <v>5</v>
      </c>
      <c r="LRF8" s="1181" t="s">
        <v>15</v>
      </c>
      <c r="LRG8" s="1181"/>
      <c r="LRH8" s="5" t="s">
        <v>4</v>
      </c>
      <c r="LRI8" s="5" t="s">
        <v>0</v>
      </c>
      <c r="LRJ8" s="1181" t="s">
        <v>15</v>
      </c>
      <c r="LRK8" s="1181"/>
      <c r="LRL8" s="4" t="s">
        <v>4</v>
      </c>
      <c r="LRM8" s="5" t="s">
        <v>5</v>
      </c>
      <c r="LRN8" s="1181" t="s">
        <v>15</v>
      </c>
      <c r="LRO8" s="1181"/>
      <c r="LRP8" s="5" t="s">
        <v>4</v>
      </c>
      <c r="LRQ8" s="5" t="s">
        <v>0</v>
      </c>
      <c r="LRR8" s="1181" t="s">
        <v>15</v>
      </c>
      <c r="LRS8" s="1181"/>
      <c r="LRT8" s="4" t="s">
        <v>4</v>
      </c>
      <c r="LRU8" s="5" t="s">
        <v>5</v>
      </c>
      <c r="LRV8" s="1181" t="s">
        <v>15</v>
      </c>
      <c r="LRW8" s="1181"/>
      <c r="LRX8" s="5" t="s">
        <v>4</v>
      </c>
      <c r="LRY8" s="5" t="s">
        <v>0</v>
      </c>
      <c r="LRZ8" s="1181" t="s">
        <v>15</v>
      </c>
      <c r="LSA8" s="1181"/>
      <c r="LSB8" s="4" t="s">
        <v>4</v>
      </c>
      <c r="LSC8" s="5" t="s">
        <v>5</v>
      </c>
      <c r="LSD8" s="1181" t="s">
        <v>15</v>
      </c>
      <c r="LSE8" s="1181"/>
      <c r="LSF8" s="5" t="s">
        <v>4</v>
      </c>
      <c r="LSG8" s="5" t="s">
        <v>0</v>
      </c>
      <c r="LSH8" s="1181" t="s">
        <v>15</v>
      </c>
      <c r="LSI8" s="1181"/>
      <c r="LSJ8" s="4" t="s">
        <v>4</v>
      </c>
      <c r="LSK8" s="5" t="s">
        <v>5</v>
      </c>
      <c r="LSL8" s="1181" t="s">
        <v>15</v>
      </c>
      <c r="LSM8" s="1181"/>
      <c r="LSN8" s="5" t="s">
        <v>4</v>
      </c>
      <c r="LSO8" s="5" t="s">
        <v>0</v>
      </c>
      <c r="LSP8" s="1181" t="s">
        <v>15</v>
      </c>
      <c r="LSQ8" s="1181"/>
      <c r="LSR8" s="4" t="s">
        <v>4</v>
      </c>
      <c r="LSS8" s="5" t="s">
        <v>5</v>
      </c>
      <c r="LST8" s="1181" t="s">
        <v>15</v>
      </c>
      <c r="LSU8" s="1181"/>
      <c r="LSV8" s="5" t="s">
        <v>4</v>
      </c>
      <c r="LSW8" s="5" t="s">
        <v>0</v>
      </c>
      <c r="LSX8" s="1181" t="s">
        <v>15</v>
      </c>
      <c r="LSY8" s="1181"/>
      <c r="LSZ8" s="4" t="s">
        <v>4</v>
      </c>
      <c r="LTA8" s="5" t="s">
        <v>5</v>
      </c>
      <c r="LTB8" s="1181" t="s">
        <v>15</v>
      </c>
      <c r="LTC8" s="1181"/>
      <c r="LTD8" s="5" t="s">
        <v>4</v>
      </c>
      <c r="LTE8" s="5" t="s">
        <v>0</v>
      </c>
      <c r="LTF8" s="1181" t="s">
        <v>15</v>
      </c>
      <c r="LTG8" s="1181"/>
      <c r="LTH8" s="4" t="s">
        <v>4</v>
      </c>
      <c r="LTI8" s="5" t="s">
        <v>5</v>
      </c>
      <c r="LTJ8" s="1181" t="s">
        <v>15</v>
      </c>
      <c r="LTK8" s="1181"/>
      <c r="LTL8" s="5" t="s">
        <v>4</v>
      </c>
      <c r="LTM8" s="5" t="s">
        <v>0</v>
      </c>
      <c r="LTN8" s="1181" t="s">
        <v>15</v>
      </c>
      <c r="LTO8" s="1181"/>
      <c r="LTP8" s="4" t="s">
        <v>4</v>
      </c>
      <c r="LTQ8" s="5" t="s">
        <v>5</v>
      </c>
      <c r="LTR8" s="1181" t="s">
        <v>15</v>
      </c>
      <c r="LTS8" s="1181"/>
      <c r="LTT8" s="5" t="s">
        <v>4</v>
      </c>
      <c r="LTU8" s="5" t="s">
        <v>0</v>
      </c>
      <c r="LTV8" s="1181" t="s">
        <v>15</v>
      </c>
      <c r="LTW8" s="1181"/>
      <c r="LTX8" s="4" t="s">
        <v>4</v>
      </c>
      <c r="LTY8" s="5" t="s">
        <v>5</v>
      </c>
      <c r="LTZ8" s="1181" t="s">
        <v>15</v>
      </c>
      <c r="LUA8" s="1181"/>
      <c r="LUB8" s="5" t="s">
        <v>4</v>
      </c>
      <c r="LUC8" s="5" t="s">
        <v>0</v>
      </c>
      <c r="LUD8" s="1181" t="s">
        <v>15</v>
      </c>
      <c r="LUE8" s="1181"/>
      <c r="LUF8" s="4" t="s">
        <v>4</v>
      </c>
      <c r="LUG8" s="5" t="s">
        <v>5</v>
      </c>
      <c r="LUH8" s="1181" t="s">
        <v>15</v>
      </c>
      <c r="LUI8" s="1181"/>
      <c r="LUJ8" s="5" t="s">
        <v>4</v>
      </c>
      <c r="LUK8" s="5" t="s">
        <v>0</v>
      </c>
      <c r="LUL8" s="1181" t="s">
        <v>15</v>
      </c>
      <c r="LUM8" s="1181"/>
      <c r="LUN8" s="4" t="s">
        <v>4</v>
      </c>
      <c r="LUO8" s="5" t="s">
        <v>5</v>
      </c>
      <c r="LUP8" s="1181" t="s">
        <v>15</v>
      </c>
      <c r="LUQ8" s="1181"/>
      <c r="LUR8" s="5" t="s">
        <v>4</v>
      </c>
      <c r="LUS8" s="5" t="s">
        <v>0</v>
      </c>
      <c r="LUT8" s="1181" t="s">
        <v>15</v>
      </c>
      <c r="LUU8" s="1181"/>
      <c r="LUV8" s="4" t="s">
        <v>4</v>
      </c>
      <c r="LUW8" s="5" t="s">
        <v>5</v>
      </c>
      <c r="LUX8" s="1181" t="s">
        <v>15</v>
      </c>
      <c r="LUY8" s="1181"/>
      <c r="LUZ8" s="5" t="s">
        <v>4</v>
      </c>
      <c r="LVA8" s="5" t="s">
        <v>0</v>
      </c>
      <c r="LVB8" s="1181" t="s">
        <v>15</v>
      </c>
      <c r="LVC8" s="1181"/>
      <c r="LVD8" s="4" t="s">
        <v>4</v>
      </c>
      <c r="LVE8" s="5" t="s">
        <v>5</v>
      </c>
      <c r="LVF8" s="1181" t="s">
        <v>15</v>
      </c>
      <c r="LVG8" s="1181"/>
      <c r="LVH8" s="5" t="s">
        <v>4</v>
      </c>
      <c r="LVI8" s="5" t="s">
        <v>0</v>
      </c>
      <c r="LVJ8" s="1181" t="s">
        <v>15</v>
      </c>
      <c r="LVK8" s="1181"/>
      <c r="LVL8" s="4" t="s">
        <v>4</v>
      </c>
      <c r="LVM8" s="5" t="s">
        <v>5</v>
      </c>
      <c r="LVN8" s="1181" t="s">
        <v>15</v>
      </c>
      <c r="LVO8" s="1181"/>
      <c r="LVP8" s="5" t="s">
        <v>4</v>
      </c>
      <c r="LVQ8" s="5" t="s">
        <v>0</v>
      </c>
      <c r="LVR8" s="1181" t="s">
        <v>15</v>
      </c>
      <c r="LVS8" s="1181"/>
      <c r="LVT8" s="4" t="s">
        <v>4</v>
      </c>
      <c r="LVU8" s="5" t="s">
        <v>5</v>
      </c>
      <c r="LVV8" s="1181" t="s">
        <v>15</v>
      </c>
      <c r="LVW8" s="1181"/>
      <c r="LVX8" s="5" t="s">
        <v>4</v>
      </c>
      <c r="LVY8" s="5" t="s">
        <v>0</v>
      </c>
      <c r="LVZ8" s="1181" t="s">
        <v>15</v>
      </c>
      <c r="LWA8" s="1181"/>
      <c r="LWB8" s="4" t="s">
        <v>4</v>
      </c>
      <c r="LWC8" s="5" t="s">
        <v>5</v>
      </c>
      <c r="LWD8" s="1181" t="s">
        <v>15</v>
      </c>
      <c r="LWE8" s="1181"/>
      <c r="LWF8" s="5" t="s">
        <v>4</v>
      </c>
      <c r="LWG8" s="5" t="s">
        <v>0</v>
      </c>
      <c r="LWH8" s="1181" t="s">
        <v>15</v>
      </c>
      <c r="LWI8" s="1181"/>
      <c r="LWJ8" s="4" t="s">
        <v>4</v>
      </c>
      <c r="LWK8" s="5" t="s">
        <v>5</v>
      </c>
      <c r="LWL8" s="1181" t="s">
        <v>15</v>
      </c>
      <c r="LWM8" s="1181"/>
      <c r="LWN8" s="5" t="s">
        <v>4</v>
      </c>
      <c r="LWO8" s="5" t="s">
        <v>0</v>
      </c>
      <c r="LWP8" s="1181" t="s">
        <v>15</v>
      </c>
      <c r="LWQ8" s="1181"/>
      <c r="LWR8" s="4" t="s">
        <v>4</v>
      </c>
      <c r="LWS8" s="5" t="s">
        <v>5</v>
      </c>
      <c r="LWT8" s="1181" t="s">
        <v>15</v>
      </c>
      <c r="LWU8" s="1181"/>
      <c r="LWV8" s="5" t="s">
        <v>4</v>
      </c>
      <c r="LWW8" s="5" t="s">
        <v>0</v>
      </c>
      <c r="LWX8" s="1181" t="s">
        <v>15</v>
      </c>
      <c r="LWY8" s="1181"/>
      <c r="LWZ8" s="4" t="s">
        <v>4</v>
      </c>
      <c r="LXA8" s="5" t="s">
        <v>5</v>
      </c>
      <c r="LXB8" s="1181" t="s">
        <v>15</v>
      </c>
      <c r="LXC8" s="1181"/>
      <c r="LXD8" s="5" t="s">
        <v>4</v>
      </c>
      <c r="LXE8" s="5" t="s">
        <v>0</v>
      </c>
      <c r="LXF8" s="1181" t="s">
        <v>15</v>
      </c>
      <c r="LXG8" s="1181"/>
      <c r="LXH8" s="4" t="s">
        <v>4</v>
      </c>
      <c r="LXI8" s="5" t="s">
        <v>5</v>
      </c>
      <c r="LXJ8" s="1181" t="s">
        <v>15</v>
      </c>
      <c r="LXK8" s="1181"/>
      <c r="LXL8" s="5" t="s">
        <v>4</v>
      </c>
      <c r="LXM8" s="5" t="s">
        <v>0</v>
      </c>
      <c r="LXN8" s="1181" t="s">
        <v>15</v>
      </c>
      <c r="LXO8" s="1181"/>
      <c r="LXP8" s="4" t="s">
        <v>4</v>
      </c>
      <c r="LXQ8" s="5" t="s">
        <v>5</v>
      </c>
      <c r="LXR8" s="1181" t="s">
        <v>15</v>
      </c>
      <c r="LXS8" s="1181"/>
      <c r="LXT8" s="5" t="s">
        <v>4</v>
      </c>
      <c r="LXU8" s="5" t="s">
        <v>0</v>
      </c>
      <c r="LXV8" s="1181" t="s">
        <v>15</v>
      </c>
      <c r="LXW8" s="1181"/>
      <c r="LXX8" s="4" t="s">
        <v>4</v>
      </c>
      <c r="LXY8" s="5" t="s">
        <v>5</v>
      </c>
      <c r="LXZ8" s="1181" t="s">
        <v>15</v>
      </c>
      <c r="LYA8" s="1181"/>
      <c r="LYB8" s="5" t="s">
        <v>4</v>
      </c>
      <c r="LYC8" s="5" t="s">
        <v>0</v>
      </c>
      <c r="LYD8" s="1181" t="s">
        <v>15</v>
      </c>
      <c r="LYE8" s="1181"/>
      <c r="LYF8" s="4" t="s">
        <v>4</v>
      </c>
      <c r="LYG8" s="5" t="s">
        <v>5</v>
      </c>
      <c r="LYH8" s="1181" t="s">
        <v>15</v>
      </c>
      <c r="LYI8" s="1181"/>
      <c r="LYJ8" s="5" t="s">
        <v>4</v>
      </c>
      <c r="LYK8" s="5" t="s">
        <v>0</v>
      </c>
      <c r="LYL8" s="1181" t="s">
        <v>15</v>
      </c>
      <c r="LYM8" s="1181"/>
      <c r="LYN8" s="4" t="s">
        <v>4</v>
      </c>
      <c r="LYO8" s="5" t="s">
        <v>5</v>
      </c>
      <c r="LYP8" s="1181" t="s">
        <v>15</v>
      </c>
      <c r="LYQ8" s="1181"/>
      <c r="LYR8" s="5" t="s">
        <v>4</v>
      </c>
      <c r="LYS8" s="5" t="s">
        <v>0</v>
      </c>
      <c r="LYT8" s="1181" t="s">
        <v>15</v>
      </c>
      <c r="LYU8" s="1181"/>
      <c r="LYV8" s="4" t="s">
        <v>4</v>
      </c>
      <c r="LYW8" s="5" t="s">
        <v>5</v>
      </c>
      <c r="LYX8" s="1181" t="s">
        <v>15</v>
      </c>
      <c r="LYY8" s="1181"/>
      <c r="LYZ8" s="5" t="s">
        <v>4</v>
      </c>
      <c r="LZA8" s="5" t="s">
        <v>0</v>
      </c>
      <c r="LZB8" s="1181" t="s">
        <v>15</v>
      </c>
      <c r="LZC8" s="1181"/>
      <c r="LZD8" s="4" t="s">
        <v>4</v>
      </c>
      <c r="LZE8" s="5" t="s">
        <v>5</v>
      </c>
      <c r="LZF8" s="1181" t="s">
        <v>15</v>
      </c>
      <c r="LZG8" s="1181"/>
      <c r="LZH8" s="5" t="s">
        <v>4</v>
      </c>
      <c r="LZI8" s="5" t="s">
        <v>0</v>
      </c>
      <c r="LZJ8" s="1181" t="s">
        <v>15</v>
      </c>
      <c r="LZK8" s="1181"/>
      <c r="LZL8" s="4" t="s">
        <v>4</v>
      </c>
      <c r="LZM8" s="5" t="s">
        <v>5</v>
      </c>
      <c r="LZN8" s="1181" t="s">
        <v>15</v>
      </c>
      <c r="LZO8" s="1181"/>
      <c r="LZP8" s="5" t="s">
        <v>4</v>
      </c>
      <c r="LZQ8" s="5" t="s">
        <v>0</v>
      </c>
      <c r="LZR8" s="1181" t="s">
        <v>15</v>
      </c>
      <c r="LZS8" s="1181"/>
      <c r="LZT8" s="4" t="s">
        <v>4</v>
      </c>
      <c r="LZU8" s="5" t="s">
        <v>5</v>
      </c>
      <c r="LZV8" s="1181" t="s">
        <v>15</v>
      </c>
      <c r="LZW8" s="1181"/>
      <c r="LZX8" s="5" t="s">
        <v>4</v>
      </c>
      <c r="LZY8" s="5" t="s">
        <v>0</v>
      </c>
      <c r="LZZ8" s="1181" t="s">
        <v>15</v>
      </c>
      <c r="MAA8" s="1181"/>
      <c r="MAB8" s="4" t="s">
        <v>4</v>
      </c>
      <c r="MAC8" s="5" t="s">
        <v>5</v>
      </c>
      <c r="MAD8" s="1181" t="s">
        <v>15</v>
      </c>
      <c r="MAE8" s="1181"/>
      <c r="MAF8" s="5" t="s">
        <v>4</v>
      </c>
      <c r="MAG8" s="5" t="s">
        <v>0</v>
      </c>
      <c r="MAH8" s="1181" t="s">
        <v>15</v>
      </c>
      <c r="MAI8" s="1181"/>
      <c r="MAJ8" s="4" t="s">
        <v>4</v>
      </c>
      <c r="MAK8" s="5" t="s">
        <v>5</v>
      </c>
      <c r="MAL8" s="1181" t="s">
        <v>15</v>
      </c>
      <c r="MAM8" s="1181"/>
      <c r="MAN8" s="5" t="s">
        <v>4</v>
      </c>
      <c r="MAO8" s="5" t="s">
        <v>0</v>
      </c>
      <c r="MAP8" s="1181" t="s">
        <v>15</v>
      </c>
      <c r="MAQ8" s="1181"/>
      <c r="MAR8" s="4" t="s">
        <v>4</v>
      </c>
      <c r="MAS8" s="5" t="s">
        <v>5</v>
      </c>
      <c r="MAT8" s="1181" t="s">
        <v>15</v>
      </c>
      <c r="MAU8" s="1181"/>
      <c r="MAV8" s="5" t="s">
        <v>4</v>
      </c>
      <c r="MAW8" s="5" t="s">
        <v>0</v>
      </c>
      <c r="MAX8" s="1181" t="s">
        <v>15</v>
      </c>
      <c r="MAY8" s="1181"/>
      <c r="MAZ8" s="4" t="s">
        <v>4</v>
      </c>
      <c r="MBA8" s="5" t="s">
        <v>5</v>
      </c>
      <c r="MBB8" s="1181" t="s">
        <v>15</v>
      </c>
      <c r="MBC8" s="1181"/>
      <c r="MBD8" s="5" t="s">
        <v>4</v>
      </c>
      <c r="MBE8" s="5" t="s">
        <v>0</v>
      </c>
      <c r="MBF8" s="1181" t="s">
        <v>15</v>
      </c>
      <c r="MBG8" s="1181"/>
      <c r="MBH8" s="4" t="s">
        <v>4</v>
      </c>
      <c r="MBI8" s="5" t="s">
        <v>5</v>
      </c>
      <c r="MBJ8" s="1181" t="s">
        <v>15</v>
      </c>
      <c r="MBK8" s="1181"/>
      <c r="MBL8" s="5" t="s">
        <v>4</v>
      </c>
      <c r="MBM8" s="5" t="s">
        <v>0</v>
      </c>
      <c r="MBN8" s="1181" t="s">
        <v>15</v>
      </c>
      <c r="MBO8" s="1181"/>
      <c r="MBP8" s="4" t="s">
        <v>4</v>
      </c>
      <c r="MBQ8" s="5" t="s">
        <v>5</v>
      </c>
      <c r="MBR8" s="1181" t="s">
        <v>15</v>
      </c>
      <c r="MBS8" s="1181"/>
      <c r="MBT8" s="5" t="s">
        <v>4</v>
      </c>
      <c r="MBU8" s="5" t="s">
        <v>0</v>
      </c>
      <c r="MBV8" s="1181" t="s">
        <v>15</v>
      </c>
      <c r="MBW8" s="1181"/>
      <c r="MBX8" s="4" t="s">
        <v>4</v>
      </c>
      <c r="MBY8" s="5" t="s">
        <v>5</v>
      </c>
      <c r="MBZ8" s="1181" t="s">
        <v>15</v>
      </c>
      <c r="MCA8" s="1181"/>
      <c r="MCB8" s="5" t="s">
        <v>4</v>
      </c>
      <c r="MCC8" s="5" t="s">
        <v>0</v>
      </c>
      <c r="MCD8" s="1181" t="s">
        <v>15</v>
      </c>
      <c r="MCE8" s="1181"/>
      <c r="MCF8" s="4" t="s">
        <v>4</v>
      </c>
      <c r="MCG8" s="5" t="s">
        <v>5</v>
      </c>
      <c r="MCH8" s="1181" t="s">
        <v>15</v>
      </c>
      <c r="MCI8" s="1181"/>
      <c r="MCJ8" s="5" t="s">
        <v>4</v>
      </c>
      <c r="MCK8" s="5" t="s">
        <v>0</v>
      </c>
      <c r="MCL8" s="1181" t="s">
        <v>15</v>
      </c>
      <c r="MCM8" s="1181"/>
      <c r="MCN8" s="4" t="s">
        <v>4</v>
      </c>
      <c r="MCO8" s="5" t="s">
        <v>5</v>
      </c>
      <c r="MCP8" s="1181" t="s">
        <v>15</v>
      </c>
      <c r="MCQ8" s="1181"/>
      <c r="MCR8" s="5" t="s">
        <v>4</v>
      </c>
      <c r="MCS8" s="5" t="s">
        <v>0</v>
      </c>
      <c r="MCT8" s="1181" t="s">
        <v>15</v>
      </c>
      <c r="MCU8" s="1181"/>
      <c r="MCV8" s="4" t="s">
        <v>4</v>
      </c>
      <c r="MCW8" s="5" t="s">
        <v>5</v>
      </c>
      <c r="MCX8" s="1181" t="s">
        <v>15</v>
      </c>
      <c r="MCY8" s="1181"/>
      <c r="MCZ8" s="5" t="s">
        <v>4</v>
      </c>
      <c r="MDA8" s="5" t="s">
        <v>0</v>
      </c>
      <c r="MDB8" s="1181" t="s">
        <v>15</v>
      </c>
      <c r="MDC8" s="1181"/>
      <c r="MDD8" s="4" t="s">
        <v>4</v>
      </c>
      <c r="MDE8" s="5" t="s">
        <v>5</v>
      </c>
      <c r="MDF8" s="1181" t="s">
        <v>15</v>
      </c>
      <c r="MDG8" s="1181"/>
      <c r="MDH8" s="5" t="s">
        <v>4</v>
      </c>
      <c r="MDI8" s="5" t="s">
        <v>0</v>
      </c>
      <c r="MDJ8" s="1181" t="s">
        <v>15</v>
      </c>
      <c r="MDK8" s="1181"/>
      <c r="MDL8" s="4" t="s">
        <v>4</v>
      </c>
      <c r="MDM8" s="5" t="s">
        <v>5</v>
      </c>
      <c r="MDN8" s="1181" t="s">
        <v>15</v>
      </c>
      <c r="MDO8" s="1181"/>
      <c r="MDP8" s="5" t="s">
        <v>4</v>
      </c>
      <c r="MDQ8" s="5" t="s">
        <v>0</v>
      </c>
      <c r="MDR8" s="1181" t="s">
        <v>15</v>
      </c>
      <c r="MDS8" s="1181"/>
      <c r="MDT8" s="4" t="s">
        <v>4</v>
      </c>
      <c r="MDU8" s="5" t="s">
        <v>5</v>
      </c>
      <c r="MDV8" s="1181" t="s">
        <v>15</v>
      </c>
      <c r="MDW8" s="1181"/>
      <c r="MDX8" s="5" t="s">
        <v>4</v>
      </c>
      <c r="MDY8" s="5" t="s">
        <v>0</v>
      </c>
      <c r="MDZ8" s="1181" t="s">
        <v>15</v>
      </c>
      <c r="MEA8" s="1181"/>
      <c r="MEB8" s="4" t="s">
        <v>4</v>
      </c>
      <c r="MEC8" s="5" t="s">
        <v>5</v>
      </c>
      <c r="MED8" s="1181" t="s">
        <v>15</v>
      </c>
      <c r="MEE8" s="1181"/>
      <c r="MEF8" s="5" t="s">
        <v>4</v>
      </c>
      <c r="MEG8" s="5" t="s">
        <v>0</v>
      </c>
      <c r="MEH8" s="1181" t="s">
        <v>15</v>
      </c>
      <c r="MEI8" s="1181"/>
      <c r="MEJ8" s="4" t="s">
        <v>4</v>
      </c>
      <c r="MEK8" s="5" t="s">
        <v>5</v>
      </c>
      <c r="MEL8" s="1181" t="s">
        <v>15</v>
      </c>
      <c r="MEM8" s="1181"/>
      <c r="MEN8" s="5" t="s">
        <v>4</v>
      </c>
      <c r="MEO8" s="5" t="s">
        <v>0</v>
      </c>
      <c r="MEP8" s="1181" t="s">
        <v>15</v>
      </c>
      <c r="MEQ8" s="1181"/>
      <c r="MER8" s="4" t="s">
        <v>4</v>
      </c>
      <c r="MES8" s="5" t="s">
        <v>5</v>
      </c>
      <c r="MET8" s="1181" t="s">
        <v>15</v>
      </c>
      <c r="MEU8" s="1181"/>
      <c r="MEV8" s="5" t="s">
        <v>4</v>
      </c>
      <c r="MEW8" s="5" t="s">
        <v>0</v>
      </c>
      <c r="MEX8" s="1181" t="s">
        <v>15</v>
      </c>
      <c r="MEY8" s="1181"/>
      <c r="MEZ8" s="4" t="s">
        <v>4</v>
      </c>
      <c r="MFA8" s="5" t="s">
        <v>5</v>
      </c>
      <c r="MFB8" s="1181" t="s">
        <v>15</v>
      </c>
      <c r="MFC8" s="1181"/>
      <c r="MFD8" s="5" t="s">
        <v>4</v>
      </c>
      <c r="MFE8" s="5" t="s">
        <v>0</v>
      </c>
      <c r="MFF8" s="1181" t="s">
        <v>15</v>
      </c>
      <c r="MFG8" s="1181"/>
      <c r="MFH8" s="4" t="s">
        <v>4</v>
      </c>
      <c r="MFI8" s="5" t="s">
        <v>5</v>
      </c>
      <c r="MFJ8" s="1181" t="s">
        <v>15</v>
      </c>
      <c r="MFK8" s="1181"/>
      <c r="MFL8" s="5" t="s">
        <v>4</v>
      </c>
      <c r="MFM8" s="5" t="s">
        <v>0</v>
      </c>
      <c r="MFN8" s="1181" t="s">
        <v>15</v>
      </c>
      <c r="MFO8" s="1181"/>
      <c r="MFP8" s="4" t="s">
        <v>4</v>
      </c>
      <c r="MFQ8" s="5" t="s">
        <v>5</v>
      </c>
      <c r="MFR8" s="1181" t="s">
        <v>15</v>
      </c>
      <c r="MFS8" s="1181"/>
      <c r="MFT8" s="5" t="s">
        <v>4</v>
      </c>
      <c r="MFU8" s="5" t="s">
        <v>0</v>
      </c>
      <c r="MFV8" s="1181" t="s">
        <v>15</v>
      </c>
      <c r="MFW8" s="1181"/>
      <c r="MFX8" s="4" t="s">
        <v>4</v>
      </c>
      <c r="MFY8" s="5" t="s">
        <v>5</v>
      </c>
      <c r="MFZ8" s="1181" t="s">
        <v>15</v>
      </c>
      <c r="MGA8" s="1181"/>
      <c r="MGB8" s="5" t="s">
        <v>4</v>
      </c>
      <c r="MGC8" s="5" t="s">
        <v>0</v>
      </c>
      <c r="MGD8" s="1181" t="s">
        <v>15</v>
      </c>
      <c r="MGE8" s="1181"/>
      <c r="MGF8" s="4" t="s">
        <v>4</v>
      </c>
      <c r="MGG8" s="5" t="s">
        <v>5</v>
      </c>
      <c r="MGH8" s="1181" t="s">
        <v>15</v>
      </c>
      <c r="MGI8" s="1181"/>
      <c r="MGJ8" s="5" t="s">
        <v>4</v>
      </c>
      <c r="MGK8" s="5" t="s">
        <v>0</v>
      </c>
      <c r="MGL8" s="1181" t="s">
        <v>15</v>
      </c>
      <c r="MGM8" s="1181"/>
      <c r="MGN8" s="4" t="s">
        <v>4</v>
      </c>
      <c r="MGO8" s="5" t="s">
        <v>5</v>
      </c>
      <c r="MGP8" s="1181" t="s">
        <v>15</v>
      </c>
      <c r="MGQ8" s="1181"/>
      <c r="MGR8" s="5" t="s">
        <v>4</v>
      </c>
      <c r="MGS8" s="5" t="s">
        <v>0</v>
      </c>
      <c r="MGT8" s="1181" t="s">
        <v>15</v>
      </c>
      <c r="MGU8" s="1181"/>
      <c r="MGV8" s="4" t="s">
        <v>4</v>
      </c>
      <c r="MGW8" s="5" t="s">
        <v>5</v>
      </c>
      <c r="MGX8" s="1181" t="s">
        <v>15</v>
      </c>
      <c r="MGY8" s="1181"/>
      <c r="MGZ8" s="5" t="s">
        <v>4</v>
      </c>
      <c r="MHA8" s="5" t="s">
        <v>0</v>
      </c>
      <c r="MHB8" s="1181" t="s">
        <v>15</v>
      </c>
      <c r="MHC8" s="1181"/>
      <c r="MHD8" s="4" t="s">
        <v>4</v>
      </c>
      <c r="MHE8" s="5" t="s">
        <v>5</v>
      </c>
      <c r="MHF8" s="1181" t="s">
        <v>15</v>
      </c>
      <c r="MHG8" s="1181"/>
      <c r="MHH8" s="5" t="s">
        <v>4</v>
      </c>
      <c r="MHI8" s="5" t="s">
        <v>0</v>
      </c>
      <c r="MHJ8" s="1181" t="s">
        <v>15</v>
      </c>
      <c r="MHK8" s="1181"/>
      <c r="MHL8" s="4" t="s">
        <v>4</v>
      </c>
      <c r="MHM8" s="5" t="s">
        <v>5</v>
      </c>
      <c r="MHN8" s="1181" t="s">
        <v>15</v>
      </c>
      <c r="MHO8" s="1181"/>
      <c r="MHP8" s="5" t="s">
        <v>4</v>
      </c>
      <c r="MHQ8" s="5" t="s">
        <v>0</v>
      </c>
      <c r="MHR8" s="1181" t="s">
        <v>15</v>
      </c>
      <c r="MHS8" s="1181"/>
      <c r="MHT8" s="4" t="s">
        <v>4</v>
      </c>
      <c r="MHU8" s="5" t="s">
        <v>5</v>
      </c>
      <c r="MHV8" s="1181" t="s">
        <v>15</v>
      </c>
      <c r="MHW8" s="1181"/>
      <c r="MHX8" s="5" t="s">
        <v>4</v>
      </c>
      <c r="MHY8" s="5" t="s">
        <v>0</v>
      </c>
      <c r="MHZ8" s="1181" t="s">
        <v>15</v>
      </c>
      <c r="MIA8" s="1181"/>
      <c r="MIB8" s="4" t="s">
        <v>4</v>
      </c>
      <c r="MIC8" s="5" t="s">
        <v>5</v>
      </c>
      <c r="MID8" s="1181" t="s">
        <v>15</v>
      </c>
      <c r="MIE8" s="1181"/>
      <c r="MIF8" s="5" t="s">
        <v>4</v>
      </c>
      <c r="MIG8" s="5" t="s">
        <v>0</v>
      </c>
      <c r="MIH8" s="1181" t="s">
        <v>15</v>
      </c>
      <c r="MII8" s="1181"/>
      <c r="MIJ8" s="4" t="s">
        <v>4</v>
      </c>
      <c r="MIK8" s="5" t="s">
        <v>5</v>
      </c>
      <c r="MIL8" s="1181" t="s">
        <v>15</v>
      </c>
      <c r="MIM8" s="1181"/>
      <c r="MIN8" s="5" t="s">
        <v>4</v>
      </c>
      <c r="MIO8" s="5" t="s">
        <v>0</v>
      </c>
      <c r="MIP8" s="1181" t="s">
        <v>15</v>
      </c>
      <c r="MIQ8" s="1181"/>
      <c r="MIR8" s="4" t="s">
        <v>4</v>
      </c>
      <c r="MIS8" s="5" t="s">
        <v>5</v>
      </c>
      <c r="MIT8" s="1181" t="s">
        <v>15</v>
      </c>
      <c r="MIU8" s="1181"/>
      <c r="MIV8" s="5" t="s">
        <v>4</v>
      </c>
      <c r="MIW8" s="5" t="s">
        <v>0</v>
      </c>
      <c r="MIX8" s="1181" t="s">
        <v>15</v>
      </c>
      <c r="MIY8" s="1181"/>
      <c r="MIZ8" s="4" t="s">
        <v>4</v>
      </c>
      <c r="MJA8" s="5" t="s">
        <v>5</v>
      </c>
      <c r="MJB8" s="1181" t="s">
        <v>15</v>
      </c>
      <c r="MJC8" s="1181"/>
      <c r="MJD8" s="5" t="s">
        <v>4</v>
      </c>
      <c r="MJE8" s="5" t="s">
        <v>0</v>
      </c>
      <c r="MJF8" s="1181" t="s">
        <v>15</v>
      </c>
      <c r="MJG8" s="1181"/>
      <c r="MJH8" s="4" t="s">
        <v>4</v>
      </c>
      <c r="MJI8" s="5" t="s">
        <v>5</v>
      </c>
      <c r="MJJ8" s="1181" t="s">
        <v>15</v>
      </c>
      <c r="MJK8" s="1181"/>
      <c r="MJL8" s="5" t="s">
        <v>4</v>
      </c>
      <c r="MJM8" s="5" t="s">
        <v>0</v>
      </c>
      <c r="MJN8" s="1181" t="s">
        <v>15</v>
      </c>
      <c r="MJO8" s="1181"/>
      <c r="MJP8" s="4" t="s">
        <v>4</v>
      </c>
      <c r="MJQ8" s="5" t="s">
        <v>5</v>
      </c>
      <c r="MJR8" s="1181" t="s">
        <v>15</v>
      </c>
      <c r="MJS8" s="1181"/>
      <c r="MJT8" s="5" t="s">
        <v>4</v>
      </c>
      <c r="MJU8" s="5" t="s">
        <v>0</v>
      </c>
      <c r="MJV8" s="1181" t="s">
        <v>15</v>
      </c>
      <c r="MJW8" s="1181"/>
      <c r="MJX8" s="4" t="s">
        <v>4</v>
      </c>
      <c r="MJY8" s="5" t="s">
        <v>5</v>
      </c>
      <c r="MJZ8" s="1181" t="s">
        <v>15</v>
      </c>
      <c r="MKA8" s="1181"/>
      <c r="MKB8" s="5" t="s">
        <v>4</v>
      </c>
      <c r="MKC8" s="5" t="s">
        <v>0</v>
      </c>
      <c r="MKD8" s="1181" t="s">
        <v>15</v>
      </c>
      <c r="MKE8" s="1181"/>
      <c r="MKF8" s="4" t="s">
        <v>4</v>
      </c>
      <c r="MKG8" s="5" t="s">
        <v>5</v>
      </c>
      <c r="MKH8" s="1181" t="s">
        <v>15</v>
      </c>
      <c r="MKI8" s="1181"/>
      <c r="MKJ8" s="5" t="s">
        <v>4</v>
      </c>
      <c r="MKK8" s="5" t="s">
        <v>0</v>
      </c>
      <c r="MKL8" s="1181" t="s">
        <v>15</v>
      </c>
      <c r="MKM8" s="1181"/>
      <c r="MKN8" s="4" t="s">
        <v>4</v>
      </c>
      <c r="MKO8" s="5" t="s">
        <v>5</v>
      </c>
      <c r="MKP8" s="1181" t="s">
        <v>15</v>
      </c>
      <c r="MKQ8" s="1181"/>
      <c r="MKR8" s="5" t="s">
        <v>4</v>
      </c>
      <c r="MKS8" s="5" t="s">
        <v>0</v>
      </c>
      <c r="MKT8" s="1181" t="s">
        <v>15</v>
      </c>
      <c r="MKU8" s="1181"/>
      <c r="MKV8" s="4" t="s">
        <v>4</v>
      </c>
      <c r="MKW8" s="5" t="s">
        <v>5</v>
      </c>
      <c r="MKX8" s="1181" t="s">
        <v>15</v>
      </c>
      <c r="MKY8" s="1181"/>
      <c r="MKZ8" s="5" t="s">
        <v>4</v>
      </c>
      <c r="MLA8" s="5" t="s">
        <v>0</v>
      </c>
      <c r="MLB8" s="1181" t="s">
        <v>15</v>
      </c>
      <c r="MLC8" s="1181"/>
      <c r="MLD8" s="4" t="s">
        <v>4</v>
      </c>
      <c r="MLE8" s="5" t="s">
        <v>5</v>
      </c>
      <c r="MLF8" s="1181" t="s">
        <v>15</v>
      </c>
      <c r="MLG8" s="1181"/>
      <c r="MLH8" s="5" t="s">
        <v>4</v>
      </c>
      <c r="MLI8" s="5" t="s">
        <v>0</v>
      </c>
      <c r="MLJ8" s="1181" t="s">
        <v>15</v>
      </c>
      <c r="MLK8" s="1181"/>
      <c r="MLL8" s="4" t="s">
        <v>4</v>
      </c>
      <c r="MLM8" s="5" t="s">
        <v>5</v>
      </c>
      <c r="MLN8" s="1181" t="s">
        <v>15</v>
      </c>
      <c r="MLO8" s="1181"/>
      <c r="MLP8" s="5" t="s">
        <v>4</v>
      </c>
      <c r="MLQ8" s="5" t="s">
        <v>0</v>
      </c>
      <c r="MLR8" s="1181" t="s">
        <v>15</v>
      </c>
      <c r="MLS8" s="1181"/>
      <c r="MLT8" s="4" t="s">
        <v>4</v>
      </c>
      <c r="MLU8" s="5" t="s">
        <v>5</v>
      </c>
      <c r="MLV8" s="1181" t="s">
        <v>15</v>
      </c>
      <c r="MLW8" s="1181"/>
      <c r="MLX8" s="5" t="s">
        <v>4</v>
      </c>
      <c r="MLY8" s="5" t="s">
        <v>0</v>
      </c>
      <c r="MLZ8" s="1181" t="s">
        <v>15</v>
      </c>
      <c r="MMA8" s="1181"/>
      <c r="MMB8" s="4" t="s">
        <v>4</v>
      </c>
      <c r="MMC8" s="5" t="s">
        <v>5</v>
      </c>
      <c r="MMD8" s="1181" t="s">
        <v>15</v>
      </c>
      <c r="MME8" s="1181"/>
      <c r="MMF8" s="5" t="s">
        <v>4</v>
      </c>
      <c r="MMG8" s="5" t="s">
        <v>0</v>
      </c>
      <c r="MMH8" s="1181" t="s">
        <v>15</v>
      </c>
      <c r="MMI8" s="1181"/>
      <c r="MMJ8" s="4" t="s">
        <v>4</v>
      </c>
      <c r="MMK8" s="5" t="s">
        <v>5</v>
      </c>
      <c r="MML8" s="1181" t="s">
        <v>15</v>
      </c>
      <c r="MMM8" s="1181"/>
      <c r="MMN8" s="5" t="s">
        <v>4</v>
      </c>
      <c r="MMO8" s="5" t="s">
        <v>0</v>
      </c>
      <c r="MMP8" s="1181" t="s">
        <v>15</v>
      </c>
      <c r="MMQ8" s="1181"/>
      <c r="MMR8" s="4" t="s">
        <v>4</v>
      </c>
      <c r="MMS8" s="5" t="s">
        <v>5</v>
      </c>
      <c r="MMT8" s="1181" t="s">
        <v>15</v>
      </c>
      <c r="MMU8" s="1181"/>
      <c r="MMV8" s="5" t="s">
        <v>4</v>
      </c>
      <c r="MMW8" s="5" t="s">
        <v>0</v>
      </c>
      <c r="MMX8" s="1181" t="s">
        <v>15</v>
      </c>
      <c r="MMY8" s="1181"/>
      <c r="MMZ8" s="4" t="s">
        <v>4</v>
      </c>
      <c r="MNA8" s="5" t="s">
        <v>5</v>
      </c>
      <c r="MNB8" s="1181" t="s">
        <v>15</v>
      </c>
      <c r="MNC8" s="1181"/>
      <c r="MND8" s="5" t="s">
        <v>4</v>
      </c>
      <c r="MNE8" s="5" t="s">
        <v>0</v>
      </c>
      <c r="MNF8" s="1181" t="s">
        <v>15</v>
      </c>
      <c r="MNG8" s="1181"/>
      <c r="MNH8" s="4" t="s">
        <v>4</v>
      </c>
      <c r="MNI8" s="5" t="s">
        <v>5</v>
      </c>
      <c r="MNJ8" s="1181" t="s">
        <v>15</v>
      </c>
      <c r="MNK8" s="1181"/>
      <c r="MNL8" s="5" t="s">
        <v>4</v>
      </c>
      <c r="MNM8" s="5" t="s">
        <v>0</v>
      </c>
      <c r="MNN8" s="1181" t="s">
        <v>15</v>
      </c>
      <c r="MNO8" s="1181"/>
      <c r="MNP8" s="4" t="s">
        <v>4</v>
      </c>
      <c r="MNQ8" s="5" t="s">
        <v>5</v>
      </c>
      <c r="MNR8" s="1181" t="s">
        <v>15</v>
      </c>
      <c r="MNS8" s="1181"/>
      <c r="MNT8" s="5" t="s">
        <v>4</v>
      </c>
      <c r="MNU8" s="5" t="s">
        <v>0</v>
      </c>
      <c r="MNV8" s="1181" t="s">
        <v>15</v>
      </c>
      <c r="MNW8" s="1181"/>
      <c r="MNX8" s="4" t="s">
        <v>4</v>
      </c>
      <c r="MNY8" s="5" t="s">
        <v>5</v>
      </c>
      <c r="MNZ8" s="1181" t="s">
        <v>15</v>
      </c>
      <c r="MOA8" s="1181"/>
      <c r="MOB8" s="5" t="s">
        <v>4</v>
      </c>
      <c r="MOC8" s="5" t="s">
        <v>0</v>
      </c>
      <c r="MOD8" s="1181" t="s">
        <v>15</v>
      </c>
      <c r="MOE8" s="1181"/>
      <c r="MOF8" s="4" t="s">
        <v>4</v>
      </c>
      <c r="MOG8" s="5" t="s">
        <v>5</v>
      </c>
      <c r="MOH8" s="1181" t="s">
        <v>15</v>
      </c>
      <c r="MOI8" s="1181"/>
      <c r="MOJ8" s="5" t="s">
        <v>4</v>
      </c>
      <c r="MOK8" s="5" t="s">
        <v>0</v>
      </c>
      <c r="MOL8" s="1181" t="s">
        <v>15</v>
      </c>
      <c r="MOM8" s="1181"/>
      <c r="MON8" s="4" t="s">
        <v>4</v>
      </c>
      <c r="MOO8" s="5" t="s">
        <v>5</v>
      </c>
      <c r="MOP8" s="1181" t="s">
        <v>15</v>
      </c>
      <c r="MOQ8" s="1181"/>
      <c r="MOR8" s="5" t="s">
        <v>4</v>
      </c>
      <c r="MOS8" s="5" t="s">
        <v>0</v>
      </c>
      <c r="MOT8" s="1181" t="s">
        <v>15</v>
      </c>
      <c r="MOU8" s="1181"/>
      <c r="MOV8" s="4" t="s">
        <v>4</v>
      </c>
      <c r="MOW8" s="5" t="s">
        <v>5</v>
      </c>
      <c r="MOX8" s="1181" t="s">
        <v>15</v>
      </c>
      <c r="MOY8" s="1181"/>
      <c r="MOZ8" s="5" t="s">
        <v>4</v>
      </c>
      <c r="MPA8" s="5" t="s">
        <v>0</v>
      </c>
      <c r="MPB8" s="1181" t="s">
        <v>15</v>
      </c>
      <c r="MPC8" s="1181"/>
      <c r="MPD8" s="4" t="s">
        <v>4</v>
      </c>
      <c r="MPE8" s="5" t="s">
        <v>5</v>
      </c>
      <c r="MPF8" s="1181" t="s">
        <v>15</v>
      </c>
      <c r="MPG8" s="1181"/>
      <c r="MPH8" s="5" t="s">
        <v>4</v>
      </c>
      <c r="MPI8" s="5" t="s">
        <v>0</v>
      </c>
      <c r="MPJ8" s="1181" t="s">
        <v>15</v>
      </c>
      <c r="MPK8" s="1181"/>
      <c r="MPL8" s="4" t="s">
        <v>4</v>
      </c>
      <c r="MPM8" s="5" t="s">
        <v>5</v>
      </c>
      <c r="MPN8" s="1181" t="s">
        <v>15</v>
      </c>
      <c r="MPO8" s="1181"/>
      <c r="MPP8" s="5" t="s">
        <v>4</v>
      </c>
      <c r="MPQ8" s="5" t="s">
        <v>0</v>
      </c>
      <c r="MPR8" s="1181" t="s">
        <v>15</v>
      </c>
      <c r="MPS8" s="1181"/>
      <c r="MPT8" s="4" t="s">
        <v>4</v>
      </c>
      <c r="MPU8" s="5" t="s">
        <v>5</v>
      </c>
      <c r="MPV8" s="1181" t="s">
        <v>15</v>
      </c>
      <c r="MPW8" s="1181"/>
      <c r="MPX8" s="5" t="s">
        <v>4</v>
      </c>
      <c r="MPY8" s="5" t="s">
        <v>0</v>
      </c>
      <c r="MPZ8" s="1181" t="s">
        <v>15</v>
      </c>
      <c r="MQA8" s="1181"/>
      <c r="MQB8" s="4" t="s">
        <v>4</v>
      </c>
      <c r="MQC8" s="5" t="s">
        <v>5</v>
      </c>
      <c r="MQD8" s="1181" t="s">
        <v>15</v>
      </c>
      <c r="MQE8" s="1181"/>
      <c r="MQF8" s="5" t="s">
        <v>4</v>
      </c>
      <c r="MQG8" s="5" t="s">
        <v>0</v>
      </c>
      <c r="MQH8" s="1181" t="s">
        <v>15</v>
      </c>
      <c r="MQI8" s="1181"/>
      <c r="MQJ8" s="4" t="s">
        <v>4</v>
      </c>
      <c r="MQK8" s="5" t="s">
        <v>5</v>
      </c>
      <c r="MQL8" s="1181" t="s">
        <v>15</v>
      </c>
      <c r="MQM8" s="1181"/>
      <c r="MQN8" s="5" t="s">
        <v>4</v>
      </c>
      <c r="MQO8" s="5" t="s">
        <v>0</v>
      </c>
      <c r="MQP8" s="1181" t="s">
        <v>15</v>
      </c>
      <c r="MQQ8" s="1181"/>
      <c r="MQR8" s="4" t="s">
        <v>4</v>
      </c>
      <c r="MQS8" s="5" t="s">
        <v>5</v>
      </c>
      <c r="MQT8" s="1181" t="s">
        <v>15</v>
      </c>
      <c r="MQU8" s="1181"/>
      <c r="MQV8" s="5" t="s">
        <v>4</v>
      </c>
      <c r="MQW8" s="5" t="s">
        <v>0</v>
      </c>
      <c r="MQX8" s="1181" t="s">
        <v>15</v>
      </c>
      <c r="MQY8" s="1181"/>
      <c r="MQZ8" s="4" t="s">
        <v>4</v>
      </c>
      <c r="MRA8" s="5" t="s">
        <v>5</v>
      </c>
      <c r="MRB8" s="1181" t="s">
        <v>15</v>
      </c>
      <c r="MRC8" s="1181"/>
      <c r="MRD8" s="5" t="s">
        <v>4</v>
      </c>
      <c r="MRE8" s="5" t="s">
        <v>0</v>
      </c>
      <c r="MRF8" s="1181" t="s">
        <v>15</v>
      </c>
      <c r="MRG8" s="1181"/>
      <c r="MRH8" s="4" t="s">
        <v>4</v>
      </c>
      <c r="MRI8" s="5" t="s">
        <v>5</v>
      </c>
      <c r="MRJ8" s="1181" t="s">
        <v>15</v>
      </c>
      <c r="MRK8" s="1181"/>
      <c r="MRL8" s="5" t="s">
        <v>4</v>
      </c>
      <c r="MRM8" s="5" t="s">
        <v>0</v>
      </c>
      <c r="MRN8" s="1181" t="s">
        <v>15</v>
      </c>
      <c r="MRO8" s="1181"/>
      <c r="MRP8" s="4" t="s">
        <v>4</v>
      </c>
      <c r="MRQ8" s="5" t="s">
        <v>5</v>
      </c>
      <c r="MRR8" s="1181" t="s">
        <v>15</v>
      </c>
      <c r="MRS8" s="1181"/>
      <c r="MRT8" s="5" t="s">
        <v>4</v>
      </c>
      <c r="MRU8" s="5" t="s">
        <v>0</v>
      </c>
      <c r="MRV8" s="1181" t="s">
        <v>15</v>
      </c>
      <c r="MRW8" s="1181"/>
      <c r="MRX8" s="4" t="s">
        <v>4</v>
      </c>
      <c r="MRY8" s="5" t="s">
        <v>5</v>
      </c>
      <c r="MRZ8" s="1181" t="s">
        <v>15</v>
      </c>
      <c r="MSA8" s="1181"/>
      <c r="MSB8" s="5" t="s">
        <v>4</v>
      </c>
      <c r="MSC8" s="5" t="s">
        <v>0</v>
      </c>
      <c r="MSD8" s="1181" t="s">
        <v>15</v>
      </c>
      <c r="MSE8" s="1181"/>
      <c r="MSF8" s="4" t="s">
        <v>4</v>
      </c>
      <c r="MSG8" s="5" t="s">
        <v>5</v>
      </c>
      <c r="MSH8" s="1181" t="s">
        <v>15</v>
      </c>
      <c r="MSI8" s="1181"/>
      <c r="MSJ8" s="5" t="s">
        <v>4</v>
      </c>
      <c r="MSK8" s="5" t="s">
        <v>0</v>
      </c>
      <c r="MSL8" s="1181" t="s">
        <v>15</v>
      </c>
      <c r="MSM8" s="1181"/>
      <c r="MSN8" s="4" t="s">
        <v>4</v>
      </c>
      <c r="MSO8" s="5" t="s">
        <v>5</v>
      </c>
      <c r="MSP8" s="1181" t="s">
        <v>15</v>
      </c>
      <c r="MSQ8" s="1181"/>
      <c r="MSR8" s="5" t="s">
        <v>4</v>
      </c>
      <c r="MSS8" s="5" t="s">
        <v>0</v>
      </c>
      <c r="MST8" s="1181" t="s">
        <v>15</v>
      </c>
      <c r="MSU8" s="1181"/>
      <c r="MSV8" s="4" t="s">
        <v>4</v>
      </c>
      <c r="MSW8" s="5" t="s">
        <v>5</v>
      </c>
      <c r="MSX8" s="1181" t="s">
        <v>15</v>
      </c>
      <c r="MSY8" s="1181"/>
      <c r="MSZ8" s="5" t="s">
        <v>4</v>
      </c>
      <c r="MTA8" s="5" t="s">
        <v>0</v>
      </c>
      <c r="MTB8" s="1181" t="s">
        <v>15</v>
      </c>
      <c r="MTC8" s="1181"/>
      <c r="MTD8" s="4" t="s">
        <v>4</v>
      </c>
      <c r="MTE8" s="5" t="s">
        <v>5</v>
      </c>
      <c r="MTF8" s="1181" t="s">
        <v>15</v>
      </c>
      <c r="MTG8" s="1181"/>
      <c r="MTH8" s="5" t="s">
        <v>4</v>
      </c>
      <c r="MTI8" s="5" t="s">
        <v>0</v>
      </c>
      <c r="MTJ8" s="1181" t="s">
        <v>15</v>
      </c>
      <c r="MTK8" s="1181"/>
      <c r="MTL8" s="4" t="s">
        <v>4</v>
      </c>
      <c r="MTM8" s="5" t="s">
        <v>5</v>
      </c>
      <c r="MTN8" s="1181" t="s">
        <v>15</v>
      </c>
      <c r="MTO8" s="1181"/>
      <c r="MTP8" s="5" t="s">
        <v>4</v>
      </c>
      <c r="MTQ8" s="5" t="s">
        <v>0</v>
      </c>
      <c r="MTR8" s="1181" t="s">
        <v>15</v>
      </c>
      <c r="MTS8" s="1181"/>
      <c r="MTT8" s="4" t="s">
        <v>4</v>
      </c>
      <c r="MTU8" s="5" t="s">
        <v>5</v>
      </c>
      <c r="MTV8" s="1181" t="s">
        <v>15</v>
      </c>
      <c r="MTW8" s="1181"/>
      <c r="MTX8" s="5" t="s">
        <v>4</v>
      </c>
      <c r="MTY8" s="5" t="s">
        <v>0</v>
      </c>
      <c r="MTZ8" s="1181" t="s">
        <v>15</v>
      </c>
      <c r="MUA8" s="1181"/>
      <c r="MUB8" s="4" t="s">
        <v>4</v>
      </c>
      <c r="MUC8" s="5" t="s">
        <v>5</v>
      </c>
      <c r="MUD8" s="1181" t="s">
        <v>15</v>
      </c>
      <c r="MUE8" s="1181"/>
      <c r="MUF8" s="5" t="s">
        <v>4</v>
      </c>
      <c r="MUG8" s="5" t="s">
        <v>0</v>
      </c>
      <c r="MUH8" s="1181" t="s">
        <v>15</v>
      </c>
      <c r="MUI8" s="1181"/>
      <c r="MUJ8" s="4" t="s">
        <v>4</v>
      </c>
      <c r="MUK8" s="5" t="s">
        <v>5</v>
      </c>
      <c r="MUL8" s="1181" t="s">
        <v>15</v>
      </c>
      <c r="MUM8" s="1181"/>
      <c r="MUN8" s="5" t="s">
        <v>4</v>
      </c>
      <c r="MUO8" s="5" t="s">
        <v>0</v>
      </c>
      <c r="MUP8" s="1181" t="s">
        <v>15</v>
      </c>
      <c r="MUQ8" s="1181"/>
      <c r="MUR8" s="4" t="s">
        <v>4</v>
      </c>
      <c r="MUS8" s="5" t="s">
        <v>5</v>
      </c>
      <c r="MUT8" s="1181" t="s">
        <v>15</v>
      </c>
      <c r="MUU8" s="1181"/>
      <c r="MUV8" s="5" t="s">
        <v>4</v>
      </c>
      <c r="MUW8" s="5" t="s">
        <v>0</v>
      </c>
      <c r="MUX8" s="1181" t="s">
        <v>15</v>
      </c>
      <c r="MUY8" s="1181"/>
      <c r="MUZ8" s="4" t="s">
        <v>4</v>
      </c>
      <c r="MVA8" s="5" t="s">
        <v>5</v>
      </c>
      <c r="MVB8" s="1181" t="s">
        <v>15</v>
      </c>
      <c r="MVC8" s="1181"/>
      <c r="MVD8" s="5" t="s">
        <v>4</v>
      </c>
      <c r="MVE8" s="5" t="s">
        <v>0</v>
      </c>
      <c r="MVF8" s="1181" t="s">
        <v>15</v>
      </c>
      <c r="MVG8" s="1181"/>
      <c r="MVH8" s="4" t="s">
        <v>4</v>
      </c>
      <c r="MVI8" s="5" t="s">
        <v>5</v>
      </c>
      <c r="MVJ8" s="1181" t="s">
        <v>15</v>
      </c>
      <c r="MVK8" s="1181"/>
      <c r="MVL8" s="5" t="s">
        <v>4</v>
      </c>
      <c r="MVM8" s="5" t="s">
        <v>0</v>
      </c>
      <c r="MVN8" s="1181" t="s">
        <v>15</v>
      </c>
      <c r="MVO8" s="1181"/>
      <c r="MVP8" s="4" t="s">
        <v>4</v>
      </c>
      <c r="MVQ8" s="5" t="s">
        <v>5</v>
      </c>
      <c r="MVR8" s="1181" t="s">
        <v>15</v>
      </c>
      <c r="MVS8" s="1181"/>
      <c r="MVT8" s="5" t="s">
        <v>4</v>
      </c>
      <c r="MVU8" s="5" t="s">
        <v>0</v>
      </c>
      <c r="MVV8" s="1181" t="s">
        <v>15</v>
      </c>
      <c r="MVW8" s="1181"/>
      <c r="MVX8" s="4" t="s">
        <v>4</v>
      </c>
      <c r="MVY8" s="5" t="s">
        <v>5</v>
      </c>
      <c r="MVZ8" s="1181" t="s">
        <v>15</v>
      </c>
      <c r="MWA8" s="1181"/>
      <c r="MWB8" s="5" t="s">
        <v>4</v>
      </c>
      <c r="MWC8" s="5" t="s">
        <v>0</v>
      </c>
      <c r="MWD8" s="1181" t="s">
        <v>15</v>
      </c>
      <c r="MWE8" s="1181"/>
      <c r="MWF8" s="4" t="s">
        <v>4</v>
      </c>
      <c r="MWG8" s="5" t="s">
        <v>5</v>
      </c>
      <c r="MWH8" s="1181" t="s">
        <v>15</v>
      </c>
      <c r="MWI8" s="1181"/>
      <c r="MWJ8" s="5" t="s">
        <v>4</v>
      </c>
      <c r="MWK8" s="5" t="s">
        <v>0</v>
      </c>
      <c r="MWL8" s="1181" t="s">
        <v>15</v>
      </c>
      <c r="MWM8" s="1181"/>
      <c r="MWN8" s="4" t="s">
        <v>4</v>
      </c>
      <c r="MWO8" s="5" t="s">
        <v>5</v>
      </c>
      <c r="MWP8" s="1181" t="s">
        <v>15</v>
      </c>
      <c r="MWQ8" s="1181"/>
      <c r="MWR8" s="5" t="s">
        <v>4</v>
      </c>
      <c r="MWS8" s="5" t="s">
        <v>0</v>
      </c>
      <c r="MWT8" s="1181" t="s">
        <v>15</v>
      </c>
      <c r="MWU8" s="1181"/>
      <c r="MWV8" s="4" t="s">
        <v>4</v>
      </c>
      <c r="MWW8" s="5" t="s">
        <v>5</v>
      </c>
      <c r="MWX8" s="1181" t="s">
        <v>15</v>
      </c>
      <c r="MWY8" s="1181"/>
      <c r="MWZ8" s="5" t="s">
        <v>4</v>
      </c>
      <c r="MXA8" s="5" t="s">
        <v>0</v>
      </c>
      <c r="MXB8" s="1181" t="s">
        <v>15</v>
      </c>
      <c r="MXC8" s="1181"/>
      <c r="MXD8" s="4" t="s">
        <v>4</v>
      </c>
      <c r="MXE8" s="5" t="s">
        <v>5</v>
      </c>
      <c r="MXF8" s="1181" t="s">
        <v>15</v>
      </c>
      <c r="MXG8" s="1181"/>
      <c r="MXH8" s="5" t="s">
        <v>4</v>
      </c>
      <c r="MXI8" s="5" t="s">
        <v>0</v>
      </c>
      <c r="MXJ8" s="1181" t="s">
        <v>15</v>
      </c>
      <c r="MXK8" s="1181"/>
      <c r="MXL8" s="4" t="s">
        <v>4</v>
      </c>
      <c r="MXM8" s="5" t="s">
        <v>5</v>
      </c>
      <c r="MXN8" s="1181" t="s">
        <v>15</v>
      </c>
      <c r="MXO8" s="1181"/>
      <c r="MXP8" s="5" t="s">
        <v>4</v>
      </c>
      <c r="MXQ8" s="5" t="s">
        <v>0</v>
      </c>
      <c r="MXR8" s="1181" t="s">
        <v>15</v>
      </c>
      <c r="MXS8" s="1181"/>
      <c r="MXT8" s="4" t="s">
        <v>4</v>
      </c>
      <c r="MXU8" s="5" t="s">
        <v>5</v>
      </c>
      <c r="MXV8" s="1181" t="s">
        <v>15</v>
      </c>
      <c r="MXW8" s="1181"/>
      <c r="MXX8" s="5" t="s">
        <v>4</v>
      </c>
      <c r="MXY8" s="5" t="s">
        <v>0</v>
      </c>
      <c r="MXZ8" s="1181" t="s">
        <v>15</v>
      </c>
      <c r="MYA8" s="1181"/>
      <c r="MYB8" s="4" t="s">
        <v>4</v>
      </c>
      <c r="MYC8" s="5" t="s">
        <v>5</v>
      </c>
      <c r="MYD8" s="1181" t="s">
        <v>15</v>
      </c>
      <c r="MYE8" s="1181"/>
      <c r="MYF8" s="5" t="s">
        <v>4</v>
      </c>
      <c r="MYG8" s="5" t="s">
        <v>0</v>
      </c>
      <c r="MYH8" s="1181" t="s">
        <v>15</v>
      </c>
      <c r="MYI8" s="1181"/>
      <c r="MYJ8" s="4" t="s">
        <v>4</v>
      </c>
      <c r="MYK8" s="5" t="s">
        <v>5</v>
      </c>
      <c r="MYL8" s="1181" t="s">
        <v>15</v>
      </c>
      <c r="MYM8" s="1181"/>
      <c r="MYN8" s="5" t="s">
        <v>4</v>
      </c>
      <c r="MYO8" s="5" t="s">
        <v>0</v>
      </c>
      <c r="MYP8" s="1181" t="s">
        <v>15</v>
      </c>
      <c r="MYQ8" s="1181"/>
      <c r="MYR8" s="4" t="s">
        <v>4</v>
      </c>
      <c r="MYS8" s="5" t="s">
        <v>5</v>
      </c>
      <c r="MYT8" s="1181" t="s">
        <v>15</v>
      </c>
      <c r="MYU8" s="1181"/>
      <c r="MYV8" s="5" t="s">
        <v>4</v>
      </c>
      <c r="MYW8" s="5" t="s">
        <v>0</v>
      </c>
      <c r="MYX8" s="1181" t="s">
        <v>15</v>
      </c>
      <c r="MYY8" s="1181"/>
      <c r="MYZ8" s="4" t="s">
        <v>4</v>
      </c>
      <c r="MZA8" s="5" t="s">
        <v>5</v>
      </c>
      <c r="MZB8" s="1181" t="s">
        <v>15</v>
      </c>
      <c r="MZC8" s="1181"/>
      <c r="MZD8" s="5" t="s">
        <v>4</v>
      </c>
      <c r="MZE8" s="5" t="s">
        <v>0</v>
      </c>
      <c r="MZF8" s="1181" t="s">
        <v>15</v>
      </c>
      <c r="MZG8" s="1181"/>
      <c r="MZH8" s="4" t="s">
        <v>4</v>
      </c>
      <c r="MZI8" s="5" t="s">
        <v>5</v>
      </c>
      <c r="MZJ8" s="1181" t="s">
        <v>15</v>
      </c>
      <c r="MZK8" s="1181"/>
      <c r="MZL8" s="5" t="s">
        <v>4</v>
      </c>
      <c r="MZM8" s="5" t="s">
        <v>0</v>
      </c>
      <c r="MZN8" s="1181" t="s">
        <v>15</v>
      </c>
      <c r="MZO8" s="1181"/>
      <c r="MZP8" s="4" t="s">
        <v>4</v>
      </c>
      <c r="MZQ8" s="5" t="s">
        <v>5</v>
      </c>
      <c r="MZR8" s="1181" t="s">
        <v>15</v>
      </c>
      <c r="MZS8" s="1181"/>
      <c r="MZT8" s="5" t="s">
        <v>4</v>
      </c>
      <c r="MZU8" s="5" t="s">
        <v>0</v>
      </c>
      <c r="MZV8" s="1181" t="s">
        <v>15</v>
      </c>
      <c r="MZW8" s="1181"/>
      <c r="MZX8" s="4" t="s">
        <v>4</v>
      </c>
      <c r="MZY8" s="5" t="s">
        <v>5</v>
      </c>
      <c r="MZZ8" s="1181" t="s">
        <v>15</v>
      </c>
      <c r="NAA8" s="1181"/>
      <c r="NAB8" s="5" t="s">
        <v>4</v>
      </c>
      <c r="NAC8" s="5" t="s">
        <v>0</v>
      </c>
      <c r="NAD8" s="1181" t="s">
        <v>15</v>
      </c>
      <c r="NAE8" s="1181"/>
      <c r="NAF8" s="4" t="s">
        <v>4</v>
      </c>
      <c r="NAG8" s="5" t="s">
        <v>5</v>
      </c>
      <c r="NAH8" s="1181" t="s">
        <v>15</v>
      </c>
      <c r="NAI8" s="1181"/>
      <c r="NAJ8" s="5" t="s">
        <v>4</v>
      </c>
      <c r="NAK8" s="5" t="s">
        <v>0</v>
      </c>
      <c r="NAL8" s="1181" t="s">
        <v>15</v>
      </c>
      <c r="NAM8" s="1181"/>
      <c r="NAN8" s="4" t="s">
        <v>4</v>
      </c>
      <c r="NAO8" s="5" t="s">
        <v>5</v>
      </c>
      <c r="NAP8" s="1181" t="s">
        <v>15</v>
      </c>
      <c r="NAQ8" s="1181"/>
      <c r="NAR8" s="5" t="s">
        <v>4</v>
      </c>
      <c r="NAS8" s="5" t="s">
        <v>0</v>
      </c>
      <c r="NAT8" s="1181" t="s">
        <v>15</v>
      </c>
      <c r="NAU8" s="1181"/>
      <c r="NAV8" s="4" t="s">
        <v>4</v>
      </c>
      <c r="NAW8" s="5" t="s">
        <v>5</v>
      </c>
      <c r="NAX8" s="1181" t="s">
        <v>15</v>
      </c>
      <c r="NAY8" s="1181"/>
      <c r="NAZ8" s="5" t="s">
        <v>4</v>
      </c>
      <c r="NBA8" s="5" t="s">
        <v>0</v>
      </c>
      <c r="NBB8" s="1181" t="s">
        <v>15</v>
      </c>
      <c r="NBC8" s="1181"/>
      <c r="NBD8" s="4" t="s">
        <v>4</v>
      </c>
      <c r="NBE8" s="5" t="s">
        <v>5</v>
      </c>
      <c r="NBF8" s="1181" t="s">
        <v>15</v>
      </c>
      <c r="NBG8" s="1181"/>
      <c r="NBH8" s="5" t="s">
        <v>4</v>
      </c>
      <c r="NBI8" s="5" t="s">
        <v>0</v>
      </c>
      <c r="NBJ8" s="1181" t="s">
        <v>15</v>
      </c>
      <c r="NBK8" s="1181"/>
      <c r="NBL8" s="4" t="s">
        <v>4</v>
      </c>
      <c r="NBM8" s="5" t="s">
        <v>5</v>
      </c>
      <c r="NBN8" s="1181" t="s">
        <v>15</v>
      </c>
      <c r="NBO8" s="1181"/>
      <c r="NBP8" s="5" t="s">
        <v>4</v>
      </c>
      <c r="NBQ8" s="5" t="s">
        <v>0</v>
      </c>
      <c r="NBR8" s="1181" t="s">
        <v>15</v>
      </c>
      <c r="NBS8" s="1181"/>
      <c r="NBT8" s="4" t="s">
        <v>4</v>
      </c>
      <c r="NBU8" s="5" t="s">
        <v>5</v>
      </c>
      <c r="NBV8" s="1181" t="s">
        <v>15</v>
      </c>
      <c r="NBW8" s="1181"/>
      <c r="NBX8" s="5" t="s">
        <v>4</v>
      </c>
      <c r="NBY8" s="5" t="s">
        <v>0</v>
      </c>
      <c r="NBZ8" s="1181" t="s">
        <v>15</v>
      </c>
      <c r="NCA8" s="1181"/>
      <c r="NCB8" s="4" t="s">
        <v>4</v>
      </c>
      <c r="NCC8" s="5" t="s">
        <v>5</v>
      </c>
      <c r="NCD8" s="1181" t="s">
        <v>15</v>
      </c>
      <c r="NCE8" s="1181"/>
      <c r="NCF8" s="5" t="s">
        <v>4</v>
      </c>
      <c r="NCG8" s="5" t="s">
        <v>0</v>
      </c>
      <c r="NCH8" s="1181" t="s">
        <v>15</v>
      </c>
      <c r="NCI8" s="1181"/>
      <c r="NCJ8" s="4" t="s">
        <v>4</v>
      </c>
      <c r="NCK8" s="5" t="s">
        <v>5</v>
      </c>
      <c r="NCL8" s="1181" t="s">
        <v>15</v>
      </c>
      <c r="NCM8" s="1181"/>
      <c r="NCN8" s="5" t="s">
        <v>4</v>
      </c>
      <c r="NCO8" s="5" t="s">
        <v>0</v>
      </c>
      <c r="NCP8" s="1181" t="s">
        <v>15</v>
      </c>
      <c r="NCQ8" s="1181"/>
      <c r="NCR8" s="4" t="s">
        <v>4</v>
      </c>
      <c r="NCS8" s="5" t="s">
        <v>5</v>
      </c>
      <c r="NCT8" s="1181" t="s">
        <v>15</v>
      </c>
      <c r="NCU8" s="1181"/>
      <c r="NCV8" s="5" t="s">
        <v>4</v>
      </c>
      <c r="NCW8" s="5" t="s">
        <v>0</v>
      </c>
      <c r="NCX8" s="1181" t="s">
        <v>15</v>
      </c>
      <c r="NCY8" s="1181"/>
      <c r="NCZ8" s="4" t="s">
        <v>4</v>
      </c>
      <c r="NDA8" s="5" t="s">
        <v>5</v>
      </c>
      <c r="NDB8" s="1181" t="s">
        <v>15</v>
      </c>
      <c r="NDC8" s="1181"/>
      <c r="NDD8" s="5" t="s">
        <v>4</v>
      </c>
      <c r="NDE8" s="5" t="s">
        <v>0</v>
      </c>
      <c r="NDF8" s="1181" t="s">
        <v>15</v>
      </c>
      <c r="NDG8" s="1181"/>
      <c r="NDH8" s="4" t="s">
        <v>4</v>
      </c>
      <c r="NDI8" s="5" t="s">
        <v>5</v>
      </c>
      <c r="NDJ8" s="1181" t="s">
        <v>15</v>
      </c>
      <c r="NDK8" s="1181"/>
      <c r="NDL8" s="5" t="s">
        <v>4</v>
      </c>
      <c r="NDM8" s="5" t="s">
        <v>0</v>
      </c>
      <c r="NDN8" s="1181" t="s">
        <v>15</v>
      </c>
      <c r="NDO8" s="1181"/>
      <c r="NDP8" s="4" t="s">
        <v>4</v>
      </c>
      <c r="NDQ8" s="5" t="s">
        <v>5</v>
      </c>
      <c r="NDR8" s="1181" t="s">
        <v>15</v>
      </c>
      <c r="NDS8" s="1181"/>
      <c r="NDT8" s="5" t="s">
        <v>4</v>
      </c>
      <c r="NDU8" s="5" t="s">
        <v>0</v>
      </c>
      <c r="NDV8" s="1181" t="s">
        <v>15</v>
      </c>
      <c r="NDW8" s="1181"/>
      <c r="NDX8" s="4" t="s">
        <v>4</v>
      </c>
      <c r="NDY8" s="5" t="s">
        <v>5</v>
      </c>
      <c r="NDZ8" s="1181" t="s">
        <v>15</v>
      </c>
      <c r="NEA8" s="1181"/>
      <c r="NEB8" s="5" t="s">
        <v>4</v>
      </c>
      <c r="NEC8" s="5" t="s">
        <v>0</v>
      </c>
      <c r="NED8" s="1181" t="s">
        <v>15</v>
      </c>
      <c r="NEE8" s="1181"/>
      <c r="NEF8" s="4" t="s">
        <v>4</v>
      </c>
      <c r="NEG8" s="5" t="s">
        <v>5</v>
      </c>
      <c r="NEH8" s="1181" t="s">
        <v>15</v>
      </c>
      <c r="NEI8" s="1181"/>
      <c r="NEJ8" s="5" t="s">
        <v>4</v>
      </c>
      <c r="NEK8" s="5" t="s">
        <v>0</v>
      </c>
      <c r="NEL8" s="1181" t="s">
        <v>15</v>
      </c>
      <c r="NEM8" s="1181"/>
      <c r="NEN8" s="4" t="s">
        <v>4</v>
      </c>
      <c r="NEO8" s="5" t="s">
        <v>5</v>
      </c>
      <c r="NEP8" s="1181" t="s">
        <v>15</v>
      </c>
      <c r="NEQ8" s="1181"/>
      <c r="NER8" s="5" t="s">
        <v>4</v>
      </c>
      <c r="NES8" s="5" t="s">
        <v>0</v>
      </c>
      <c r="NET8" s="1181" t="s">
        <v>15</v>
      </c>
      <c r="NEU8" s="1181"/>
      <c r="NEV8" s="4" t="s">
        <v>4</v>
      </c>
      <c r="NEW8" s="5" t="s">
        <v>5</v>
      </c>
      <c r="NEX8" s="1181" t="s">
        <v>15</v>
      </c>
      <c r="NEY8" s="1181"/>
      <c r="NEZ8" s="5" t="s">
        <v>4</v>
      </c>
      <c r="NFA8" s="5" t="s">
        <v>0</v>
      </c>
      <c r="NFB8" s="1181" t="s">
        <v>15</v>
      </c>
      <c r="NFC8" s="1181"/>
      <c r="NFD8" s="4" t="s">
        <v>4</v>
      </c>
      <c r="NFE8" s="5" t="s">
        <v>5</v>
      </c>
      <c r="NFF8" s="1181" t="s">
        <v>15</v>
      </c>
      <c r="NFG8" s="1181"/>
      <c r="NFH8" s="5" t="s">
        <v>4</v>
      </c>
      <c r="NFI8" s="5" t="s">
        <v>0</v>
      </c>
      <c r="NFJ8" s="1181" t="s">
        <v>15</v>
      </c>
      <c r="NFK8" s="1181"/>
      <c r="NFL8" s="4" t="s">
        <v>4</v>
      </c>
      <c r="NFM8" s="5" t="s">
        <v>5</v>
      </c>
      <c r="NFN8" s="1181" t="s">
        <v>15</v>
      </c>
      <c r="NFO8" s="1181"/>
      <c r="NFP8" s="5" t="s">
        <v>4</v>
      </c>
      <c r="NFQ8" s="5" t="s">
        <v>0</v>
      </c>
      <c r="NFR8" s="1181" t="s">
        <v>15</v>
      </c>
      <c r="NFS8" s="1181"/>
      <c r="NFT8" s="4" t="s">
        <v>4</v>
      </c>
      <c r="NFU8" s="5" t="s">
        <v>5</v>
      </c>
      <c r="NFV8" s="1181" t="s">
        <v>15</v>
      </c>
      <c r="NFW8" s="1181"/>
      <c r="NFX8" s="5" t="s">
        <v>4</v>
      </c>
      <c r="NFY8" s="5" t="s">
        <v>0</v>
      </c>
      <c r="NFZ8" s="1181" t="s">
        <v>15</v>
      </c>
      <c r="NGA8" s="1181"/>
      <c r="NGB8" s="4" t="s">
        <v>4</v>
      </c>
      <c r="NGC8" s="5" t="s">
        <v>5</v>
      </c>
      <c r="NGD8" s="1181" t="s">
        <v>15</v>
      </c>
      <c r="NGE8" s="1181"/>
      <c r="NGF8" s="5" t="s">
        <v>4</v>
      </c>
      <c r="NGG8" s="5" t="s">
        <v>0</v>
      </c>
      <c r="NGH8" s="1181" t="s">
        <v>15</v>
      </c>
      <c r="NGI8" s="1181"/>
      <c r="NGJ8" s="4" t="s">
        <v>4</v>
      </c>
      <c r="NGK8" s="5" t="s">
        <v>5</v>
      </c>
      <c r="NGL8" s="1181" t="s">
        <v>15</v>
      </c>
      <c r="NGM8" s="1181"/>
      <c r="NGN8" s="5" t="s">
        <v>4</v>
      </c>
      <c r="NGO8" s="5" t="s">
        <v>0</v>
      </c>
      <c r="NGP8" s="1181" t="s">
        <v>15</v>
      </c>
      <c r="NGQ8" s="1181"/>
      <c r="NGR8" s="4" t="s">
        <v>4</v>
      </c>
      <c r="NGS8" s="5" t="s">
        <v>5</v>
      </c>
      <c r="NGT8" s="1181" t="s">
        <v>15</v>
      </c>
      <c r="NGU8" s="1181"/>
      <c r="NGV8" s="5" t="s">
        <v>4</v>
      </c>
      <c r="NGW8" s="5" t="s">
        <v>0</v>
      </c>
      <c r="NGX8" s="1181" t="s">
        <v>15</v>
      </c>
      <c r="NGY8" s="1181"/>
      <c r="NGZ8" s="4" t="s">
        <v>4</v>
      </c>
      <c r="NHA8" s="5" t="s">
        <v>5</v>
      </c>
      <c r="NHB8" s="1181" t="s">
        <v>15</v>
      </c>
      <c r="NHC8" s="1181"/>
      <c r="NHD8" s="5" t="s">
        <v>4</v>
      </c>
      <c r="NHE8" s="5" t="s">
        <v>0</v>
      </c>
      <c r="NHF8" s="1181" t="s">
        <v>15</v>
      </c>
      <c r="NHG8" s="1181"/>
      <c r="NHH8" s="4" t="s">
        <v>4</v>
      </c>
      <c r="NHI8" s="5" t="s">
        <v>5</v>
      </c>
      <c r="NHJ8" s="1181" t="s">
        <v>15</v>
      </c>
      <c r="NHK8" s="1181"/>
      <c r="NHL8" s="5" t="s">
        <v>4</v>
      </c>
      <c r="NHM8" s="5" t="s">
        <v>0</v>
      </c>
      <c r="NHN8" s="1181" t="s">
        <v>15</v>
      </c>
      <c r="NHO8" s="1181"/>
      <c r="NHP8" s="4" t="s">
        <v>4</v>
      </c>
      <c r="NHQ8" s="5" t="s">
        <v>5</v>
      </c>
      <c r="NHR8" s="1181" t="s">
        <v>15</v>
      </c>
      <c r="NHS8" s="1181"/>
      <c r="NHT8" s="5" t="s">
        <v>4</v>
      </c>
      <c r="NHU8" s="5" t="s">
        <v>0</v>
      </c>
      <c r="NHV8" s="1181" t="s">
        <v>15</v>
      </c>
      <c r="NHW8" s="1181"/>
      <c r="NHX8" s="4" t="s">
        <v>4</v>
      </c>
      <c r="NHY8" s="5" t="s">
        <v>5</v>
      </c>
      <c r="NHZ8" s="1181" t="s">
        <v>15</v>
      </c>
      <c r="NIA8" s="1181"/>
      <c r="NIB8" s="5" t="s">
        <v>4</v>
      </c>
      <c r="NIC8" s="5" t="s">
        <v>0</v>
      </c>
      <c r="NID8" s="1181" t="s">
        <v>15</v>
      </c>
      <c r="NIE8" s="1181"/>
      <c r="NIF8" s="4" t="s">
        <v>4</v>
      </c>
      <c r="NIG8" s="5" t="s">
        <v>5</v>
      </c>
      <c r="NIH8" s="1181" t="s">
        <v>15</v>
      </c>
      <c r="NII8" s="1181"/>
      <c r="NIJ8" s="5" t="s">
        <v>4</v>
      </c>
      <c r="NIK8" s="5" t="s">
        <v>0</v>
      </c>
      <c r="NIL8" s="1181" t="s">
        <v>15</v>
      </c>
      <c r="NIM8" s="1181"/>
      <c r="NIN8" s="4" t="s">
        <v>4</v>
      </c>
      <c r="NIO8" s="5" t="s">
        <v>5</v>
      </c>
      <c r="NIP8" s="1181" t="s">
        <v>15</v>
      </c>
      <c r="NIQ8" s="1181"/>
      <c r="NIR8" s="5" t="s">
        <v>4</v>
      </c>
      <c r="NIS8" s="5" t="s">
        <v>0</v>
      </c>
      <c r="NIT8" s="1181" t="s">
        <v>15</v>
      </c>
      <c r="NIU8" s="1181"/>
      <c r="NIV8" s="4" t="s">
        <v>4</v>
      </c>
      <c r="NIW8" s="5" t="s">
        <v>5</v>
      </c>
      <c r="NIX8" s="1181" t="s">
        <v>15</v>
      </c>
      <c r="NIY8" s="1181"/>
      <c r="NIZ8" s="5" t="s">
        <v>4</v>
      </c>
      <c r="NJA8" s="5" t="s">
        <v>0</v>
      </c>
      <c r="NJB8" s="1181" t="s">
        <v>15</v>
      </c>
      <c r="NJC8" s="1181"/>
      <c r="NJD8" s="4" t="s">
        <v>4</v>
      </c>
      <c r="NJE8" s="5" t="s">
        <v>5</v>
      </c>
      <c r="NJF8" s="1181" t="s">
        <v>15</v>
      </c>
      <c r="NJG8" s="1181"/>
      <c r="NJH8" s="5" t="s">
        <v>4</v>
      </c>
      <c r="NJI8" s="5" t="s">
        <v>0</v>
      </c>
      <c r="NJJ8" s="1181" t="s">
        <v>15</v>
      </c>
      <c r="NJK8" s="1181"/>
      <c r="NJL8" s="4" t="s">
        <v>4</v>
      </c>
      <c r="NJM8" s="5" t="s">
        <v>5</v>
      </c>
      <c r="NJN8" s="1181" t="s">
        <v>15</v>
      </c>
      <c r="NJO8" s="1181"/>
      <c r="NJP8" s="5" t="s">
        <v>4</v>
      </c>
      <c r="NJQ8" s="5" t="s">
        <v>0</v>
      </c>
      <c r="NJR8" s="1181" t="s">
        <v>15</v>
      </c>
      <c r="NJS8" s="1181"/>
      <c r="NJT8" s="4" t="s">
        <v>4</v>
      </c>
      <c r="NJU8" s="5" t="s">
        <v>5</v>
      </c>
      <c r="NJV8" s="1181" t="s">
        <v>15</v>
      </c>
      <c r="NJW8" s="1181"/>
      <c r="NJX8" s="5" t="s">
        <v>4</v>
      </c>
      <c r="NJY8" s="5" t="s">
        <v>0</v>
      </c>
      <c r="NJZ8" s="1181" t="s">
        <v>15</v>
      </c>
      <c r="NKA8" s="1181"/>
      <c r="NKB8" s="4" t="s">
        <v>4</v>
      </c>
      <c r="NKC8" s="5" t="s">
        <v>5</v>
      </c>
      <c r="NKD8" s="1181" t="s">
        <v>15</v>
      </c>
      <c r="NKE8" s="1181"/>
      <c r="NKF8" s="5" t="s">
        <v>4</v>
      </c>
      <c r="NKG8" s="5" t="s">
        <v>0</v>
      </c>
      <c r="NKH8" s="1181" t="s">
        <v>15</v>
      </c>
      <c r="NKI8" s="1181"/>
      <c r="NKJ8" s="4" t="s">
        <v>4</v>
      </c>
      <c r="NKK8" s="5" t="s">
        <v>5</v>
      </c>
      <c r="NKL8" s="1181" t="s">
        <v>15</v>
      </c>
      <c r="NKM8" s="1181"/>
      <c r="NKN8" s="5" t="s">
        <v>4</v>
      </c>
      <c r="NKO8" s="5" t="s">
        <v>0</v>
      </c>
      <c r="NKP8" s="1181" t="s">
        <v>15</v>
      </c>
      <c r="NKQ8" s="1181"/>
      <c r="NKR8" s="4" t="s">
        <v>4</v>
      </c>
      <c r="NKS8" s="5" t="s">
        <v>5</v>
      </c>
      <c r="NKT8" s="1181" t="s">
        <v>15</v>
      </c>
      <c r="NKU8" s="1181"/>
      <c r="NKV8" s="5" t="s">
        <v>4</v>
      </c>
      <c r="NKW8" s="5" t="s">
        <v>0</v>
      </c>
      <c r="NKX8" s="1181" t="s">
        <v>15</v>
      </c>
      <c r="NKY8" s="1181"/>
      <c r="NKZ8" s="4" t="s">
        <v>4</v>
      </c>
      <c r="NLA8" s="5" t="s">
        <v>5</v>
      </c>
      <c r="NLB8" s="1181" t="s">
        <v>15</v>
      </c>
      <c r="NLC8" s="1181"/>
      <c r="NLD8" s="5" t="s">
        <v>4</v>
      </c>
      <c r="NLE8" s="5" t="s">
        <v>0</v>
      </c>
      <c r="NLF8" s="1181" t="s">
        <v>15</v>
      </c>
      <c r="NLG8" s="1181"/>
      <c r="NLH8" s="4" t="s">
        <v>4</v>
      </c>
      <c r="NLI8" s="5" t="s">
        <v>5</v>
      </c>
      <c r="NLJ8" s="1181" t="s">
        <v>15</v>
      </c>
      <c r="NLK8" s="1181"/>
      <c r="NLL8" s="5" t="s">
        <v>4</v>
      </c>
      <c r="NLM8" s="5" t="s">
        <v>0</v>
      </c>
      <c r="NLN8" s="1181" t="s">
        <v>15</v>
      </c>
      <c r="NLO8" s="1181"/>
      <c r="NLP8" s="4" t="s">
        <v>4</v>
      </c>
      <c r="NLQ8" s="5" t="s">
        <v>5</v>
      </c>
      <c r="NLR8" s="1181" t="s">
        <v>15</v>
      </c>
      <c r="NLS8" s="1181"/>
      <c r="NLT8" s="5" t="s">
        <v>4</v>
      </c>
      <c r="NLU8" s="5" t="s">
        <v>0</v>
      </c>
      <c r="NLV8" s="1181" t="s">
        <v>15</v>
      </c>
      <c r="NLW8" s="1181"/>
      <c r="NLX8" s="4" t="s">
        <v>4</v>
      </c>
      <c r="NLY8" s="5" t="s">
        <v>5</v>
      </c>
      <c r="NLZ8" s="1181" t="s">
        <v>15</v>
      </c>
      <c r="NMA8" s="1181"/>
      <c r="NMB8" s="5" t="s">
        <v>4</v>
      </c>
      <c r="NMC8" s="5" t="s">
        <v>0</v>
      </c>
      <c r="NMD8" s="1181" t="s">
        <v>15</v>
      </c>
      <c r="NME8" s="1181"/>
      <c r="NMF8" s="4" t="s">
        <v>4</v>
      </c>
      <c r="NMG8" s="5" t="s">
        <v>5</v>
      </c>
      <c r="NMH8" s="1181" t="s">
        <v>15</v>
      </c>
      <c r="NMI8" s="1181"/>
      <c r="NMJ8" s="5" t="s">
        <v>4</v>
      </c>
      <c r="NMK8" s="5" t="s">
        <v>0</v>
      </c>
      <c r="NML8" s="1181" t="s">
        <v>15</v>
      </c>
      <c r="NMM8" s="1181"/>
      <c r="NMN8" s="4" t="s">
        <v>4</v>
      </c>
      <c r="NMO8" s="5" t="s">
        <v>5</v>
      </c>
      <c r="NMP8" s="1181" t="s">
        <v>15</v>
      </c>
      <c r="NMQ8" s="1181"/>
      <c r="NMR8" s="5" t="s">
        <v>4</v>
      </c>
      <c r="NMS8" s="5" t="s">
        <v>0</v>
      </c>
      <c r="NMT8" s="1181" t="s">
        <v>15</v>
      </c>
      <c r="NMU8" s="1181"/>
      <c r="NMV8" s="4" t="s">
        <v>4</v>
      </c>
      <c r="NMW8" s="5" t="s">
        <v>5</v>
      </c>
      <c r="NMX8" s="1181" t="s">
        <v>15</v>
      </c>
      <c r="NMY8" s="1181"/>
      <c r="NMZ8" s="5" t="s">
        <v>4</v>
      </c>
      <c r="NNA8" s="5" t="s">
        <v>0</v>
      </c>
      <c r="NNB8" s="1181" t="s">
        <v>15</v>
      </c>
      <c r="NNC8" s="1181"/>
      <c r="NND8" s="4" t="s">
        <v>4</v>
      </c>
      <c r="NNE8" s="5" t="s">
        <v>5</v>
      </c>
      <c r="NNF8" s="1181" t="s">
        <v>15</v>
      </c>
      <c r="NNG8" s="1181"/>
      <c r="NNH8" s="5" t="s">
        <v>4</v>
      </c>
      <c r="NNI8" s="5" t="s">
        <v>0</v>
      </c>
      <c r="NNJ8" s="1181" t="s">
        <v>15</v>
      </c>
      <c r="NNK8" s="1181"/>
      <c r="NNL8" s="4" t="s">
        <v>4</v>
      </c>
      <c r="NNM8" s="5" t="s">
        <v>5</v>
      </c>
      <c r="NNN8" s="1181" t="s">
        <v>15</v>
      </c>
      <c r="NNO8" s="1181"/>
      <c r="NNP8" s="5" t="s">
        <v>4</v>
      </c>
      <c r="NNQ8" s="5" t="s">
        <v>0</v>
      </c>
      <c r="NNR8" s="1181" t="s">
        <v>15</v>
      </c>
      <c r="NNS8" s="1181"/>
      <c r="NNT8" s="4" t="s">
        <v>4</v>
      </c>
      <c r="NNU8" s="5" t="s">
        <v>5</v>
      </c>
      <c r="NNV8" s="1181" t="s">
        <v>15</v>
      </c>
      <c r="NNW8" s="1181"/>
      <c r="NNX8" s="5" t="s">
        <v>4</v>
      </c>
      <c r="NNY8" s="5" t="s">
        <v>0</v>
      </c>
      <c r="NNZ8" s="1181" t="s">
        <v>15</v>
      </c>
      <c r="NOA8" s="1181"/>
      <c r="NOB8" s="4" t="s">
        <v>4</v>
      </c>
      <c r="NOC8" s="5" t="s">
        <v>5</v>
      </c>
      <c r="NOD8" s="1181" t="s">
        <v>15</v>
      </c>
      <c r="NOE8" s="1181"/>
      <c r="NOF8" s="5" t="s">
        <v>4</v>
      </c>
      <c r="NOG8" s="5" t="s">
        <v>0</v>
      </c>
      <c r="NOH8" s="1181" t="s">
        <v>15</v>
      </c>
      <c r="NOI8" s="1181"/>
      <c r="NOJ8" s="4" t="s">
        <v>4</v>
      </c>
      <c r="NOK8" s="5" t="s">
        <v>5</v>
      </c>
      <c r="NOL8" s="1181" t="s">
        <v>15</v>
      </c>
      <c r="NOM8" s="1181"/>
      <c r="NON8" s="5" t="s">
        <v>4</v>
      </c>
      <c r="NOO8" s="5" t="s">
        <v>0</v>
      </c>
      <c r="NOP8" s="1181" t="s">
        <v>15</v>
      </c>
      <c r="NOQ8" s="1181"/>
      <c r="NOR8" s="4" t="s">
        <v>4</v>
      </c>
      <c r="NOS8" s="5" t="s">
        <v>5</v>
      </c>
      <c r="NOT8" s="1181" t="s">
        <v>15</v>
      </c>
      <c r="NOU8" s="1181"/>
      <c r="NOV8" s="5" t="s">
        <v>4</v>
      </c>
      <c r="NOW8" s="5" t="s">
        <v>0</v>
      </c>
      <c r="NOX8" s="1181" t="s">
        <v>15</v>
      </c>
      <c r="NOY8" s="1181"/>
      <c r="NOZ8" s="4" t="s">
        <v>4</v>
      </c>
      <c r="NPA8" s="5" t="s">
        <v>5</v>
      </c>
      <c r="NPB8" s="1181" t="s">
        <v>15</v>
      </c>
      <c r="NPC8" s="1181"/>
      <c r="NPD8" s="5" t="s">
        <v>4</v>
      </c>
      <c r="NPE8" s="5" t="s">
        <v>0</v>
      </c>
      <c r="NPF8" s="1181" t="s">
        <v>15</v>
      </c>
      <c r="NPG8" s="1181"/>
      <c r="NPH8" s="4" t="s">
        <v>4</v>
      </c>
      <c r="NPI8" s="5" t="s">
        <v>5</v>
      </c>
      <c r="NPJ8" s="1181" t="s">
        <v>15</v>
      </c>
      <c r="NPK8" s="1181"/>
      <c r="NPL8" s="5" t="s">
        <v>4</v>
      </c>
      <c r="NPM8" s="5" t="s">
        <v>0</v>
      </c>
      <c r="NPN8" s="1181" t="s">
        <v>15</v>
      </c>
      <c r="NPO8" s="1181"/>
      <c r="NPP8" s="4" t="s">
        <v>4</v>
      </c>
      <c r="NPQ8" s="5" t="s">
        <v>5</v>
      </c>
      <c r="NPR8" s="1181" t="s">
        <v>15</v>
      </c>
      <c r="NPS8" s="1181"/>
      <c r="NPT8" s="5" t="s">
        <v>4</v>
      </c>
      <c r="NPU8" s="5" t="s">
        <v>0</v>
      </c>
      <c r="NPV8" s="1181" t="s">
        <v>15</v>
      </c>
      <c r="NPW8" s="1181"/>
      <c r="NPX8" s="4" t="s">
        <v>4</v>
      </c>
      <c r="NPY8" s="5" t="s">
        <v>5</v>
      </c>
      <c r="NPZ8" s="1181" t="s">
        <v>15</v>
      </c>
      <c r="NQA8" s="1181"/>
      <c r="NQB8" s="5" t="s">
        <v>4</v>
      </c>
      <c r="NQC8" s="5" t="s">
        <v>0</v>
      </c>
      <c r="NQD8" s="1181" t="s">
        <v>15</v>
      </c>
      <c r="NQE8" s="1181"/>
      <c r="NQF8" s="4" t="s">
        <v>4</v>
      </c>
      <c r="NQG8" s="5" t="s">
        <v>5</v>
      </c>
      <c r="NQH8" s="1181" t="s">
        <v>15</v>
      </c>
      <c r="NQI8" s="1181"/>
      <c r="NQJ8" s="5" t="s">
        <v>4</v>
      </c>
      <c r="NQK8" s="5" t="s">
        <v>0</v>
      </c>
      <c r="NQL8" s="1181" t="s">
        <v>15</v>
      </c>
      <c r="NQM8" s="1181"/>
      <c r="NQN8" s="4" t="s">
        <v>4</v>
      </c>
      <c r="NQO8" s="5" t="s">
        <v>5</v>
      </c>
      <c r="NQP8" s="1181" t="s">
        <v>15</v>
      </c>
      <c r="NQQ8" s="1181"/>
      <c r="NQR8" s="5" t="s">
        <v>4</v>
      </c>
      <c r="NQS8" s="5" t="s">
        <v>0</v>
      </c>
      <c r="NQT8" s="1181" t="s">
        <v>15</v>
      </c>
      <c r="NQU8" s="1181"/>
      <c r="NQV8" s="4" t="s">
        <v>4</v>
      </c>
      <c r="NQW8" s="5" t="s">
        <v>5</v>
      </c>
      <c r="NQX8" s="1181" t="s">
        <v>15</v>
      </c>
      <c r="NQY8" s="1181"/>
      <c r="NQZ8" s="5" t="s">
        <v>4</v>
      </c>
      <c r="NRA8" s="5" t="s">
        <v>0</v>
      </c>
      <c r="NRB8" s="1181" t="s">
        <v>15</v>
      </c>
      <c r="NRC8" s="1181"/>
      <c r="NRD8" s="4" t="s">
        <v>4</v>
      </c>
      <c r="NRE8" s="5" t="s">
        <v>5</v>
      </c>
      <c r="NRF8" s="1181" t="s">
        <v>15</v>
      </c>
      <c r="NRG8" s="1181"/>
      <c r="NRH8" s="5" t="s">
        <v>4</v>
      </c>
      <c r="NRI8" s="5" t="s">
        <v>0</v>
      </c>
      <c r="NRJ8" s="1181" t="s">
        <v>15</v>
      </c>
      <c r="NRK8" s="1181"/>
      <c r="NRL8" s="4" t="s">
        <v>4</v>
      </c>
      <c r="NRM8" s="5" t="s">
        <v>5</v>
      </c>
      <c r="NRN8" s="1181" t="s">
        <v>15</v>
      </c>
      <c r="NRO8" s="1181"/>
      <c r="NRP8" s="5" t="s">
        <v>4</v>
      </c>
      <c r="NRQ8" s="5" t="s">
        <v>0</v>
      </c>
      <c r="NRR8" s="1181" t="s">
        <v>15</v>
      </c>
      <c r="NRS8" s="1181"/>
      <c r="NRT8" s="4" t="s">
        <v>4</v>
      </c>
      <c r="NRU8" s="5" t="s">
        <v>5</v>
      </c>
      <c r="NRV8" s="1181" t="s">
        <v>15</v>
      </c>
      <c r="NRW8" s="1181"/>
      <c r="NRX8" s="5" t="s">
        <v>4</v>
      </c>
      <c r="NRY8" s="5" t="s">
        <v>0</v>
      </c>
      <c r="NRZ8" s="1181" t="s">
        <v>15</v>
      </c>
      <c r="NSA8" s="1181"/>
      <c r="NSB8" s="4" t="s">
        <v>4</v>
      </c>
      <c r="NSC8" s="5" t="s">
        <v>5</v>
      </c>
      <c r="NSD8" s="1181" t="s">
        <v>15</v>
      </c>
      <c r="NSE8" s="1181"/>
      <c r="NSF8" s="5" t="s">
        <v>4</v>
      </c>
      <c r="NSG8" s="5" t="s">
        <v>0</v>
      </c>
      <c r="NSH8" s="1181" t="s">
        <v>15</v>
      </c>
      <c r="NSI8" s="1181"/>
      <c r="NSJ8" s="4" t="s">
        <v>4</v>
      </c>
      <c r="NSK8" s="5" t="s">
        <v>5</v>
      </c>
      <c r="NSL8" s="1181" t="s">
        <v>15</v>
      </c>
      <c r="NSM8" s="1181"/>
      <c r="NSN8" s="5" t="s">
        <v>4</v>
      </c>
      <c r="NSO8" s="5" t="s">
        <v>0</v>
      </c>
      <c r="NSP8" s="1181" t="s">
        <v>15</v>
      </c>
      <c r="NSQ8" s="1181"/>
      <c r="NSR8" s="4" t="s">
        <v>4</v>
      </c>
      <c r="NSS8" s="5" t="s">
        <v>5</v>
      </c>
      <c r="NST8" s="1181" t="s">
        <v>15</v>
      </c>
      <c r="NSU8" s="1181"/>
      <c r="NSV8" s="5" t="s">
        <v>4</v>
      </c>
      <c r="NSW8" s="5" t="s">
        <v>0</v>
      </c>
      <c r="NSX8" s="1181" t="s">
        <v>15</v>
      </c>
      <c r="NSY8" s="1181"/>
      <c r="NSZ8" s="4" t="s">
        <v>4</v>
      </c>
      <c r="NTA8" s="5" t="s">
        <v>5</v>
      </c>
      <c r="NTB8" s="1181" t="s">
        <v>15</v>
      </c>
      <c r="NTC8" s="1181"/>
      <c r="NTD8" s="5" t="s">
        <v>4</v>
      </c>
      <c r="NTE8" s="5" t="s">
        <v>0</v>
      </c>
      <c r="NTF8" s="1181" t="s">
        <v>15</v>
      </c>
      <c r="NTG8" s="1181"/>
      <c r="NTH8" s="4" t="s">
        <v>4</v>
      </c>
      <c r="NTI8" s="5" t="s">
        <v>5</v>
      </c>
      <c r="NTJ8" s="1181" t="s">
        <v>15</v>
      </c>
      <c r="NTK8" s="1181"/>
      <c r="NTL8" s="5" t="s">
        <v>4</v>
      </c>
      <c r="NTM8" s="5" t="s">
        <v>0</v>
      </c>
      <c r="NTN8" s="1181" t="s">
        <v>15</v>
      </c>
      <c r="NTO8" s="1181"/>
      <c r="NTP8" s="4" t="s">
        <v>4</v>
      </c>
      <c r="NTQ8" s="5" t="s">
        <v>5</v>
      </c>
      <c r="NTR8" s="1181" t="s">
        <v>15</v>
      </c>
      <c r="NTS8" s="1181"/>
      <c r="NTT8" s="5" t="s">
        <v>4</v>
      </c>
      <c r="NTU8" s="5" t="s">
        <v>0</v>
      </c>
      <c r="NTV8" s="1181" t="s">
        <v>15</v>
      </c>
      <c r="NTW8" s="1181"/>
      <c r="NTX8" s="4" t="s">
        <v>4</v>
      </c>
      <c r="NTY8" s="5" t="s">
        <v>5</v>
      </c>
      <c r="NTZ8" s="1181" t="s">
        <v>15</v>
      </c>
      <c r="NUA8" s="1181"/>
      <c r="NUB8" s="5" t="s">
        <v>4</v>
      </c>
      <c r="NUC8" s="5" t="s">
        <v>0</v>
      </c>
      <c r="NUD8" s="1181" t="s">
        <v>15</v>
      </c>
      <c r="NUE8" s="1181"/>
      <c r="NUF8" s="4" t="s">
        <v>4</v>
      </c>
      <c r="NUG8" s="5" t="s">
        <v>5</v>
      </c>
      <c r="NUH8" s="1181" t="s">
        <v>15</v>
      </c>
      <c r="NUI8" s="1181"/>
      <c r="NUJ8" s="5" t="s">
        <v>4</v>
      </c>
      <c r="NUK8" s="5" t="s">
        <v>0</v>
      </c>
      <c r="NUL8" s="1181" t="s">
        <v>15</v>
      </c>
      <c r="NUM8" s="1181"/>
      <c r="NUN8" s="4" t="s">
        <v>4</v>
      </c>
      <c r="NUO8" s="5" t="s">
        <v>5</v>
      </c>
      <c r="NUP8" s="1181" t="s">
        <v>15</v>
      </c>
      <c r="NUQ8" s="1181"/>
      <c r="NUR8" s="5" t="s">
        <v>4</v>
      </c>
      <c r="NUS8" s="5" t="s">
        <v>0</v>
      </c>
      <c r="NUT8" s="1181" t="s">
        <v>15</v>
      </c>
      <c r="NUU8" s="1181"/>
      <c r="NUV8" s="4" t="s">
        <v>4</v>
      </c>
      <c r="NUW8" s="5" t="s">
        <v>5</v>
      </c>
      <c r="NUX8" s="1181" t="s">
        <v>15</v>
      </c>
      <c r="NUY8" s="1181"/>
      <c r="NUZ8" s="5" t="s">
        <v>4</v>
      </c>
      <c r="NVA8" s="5" t="s">
        <v>0</v>
      </c>
      <c r="NVB8" s="1181" t="s">
        <v>15</v>
      </c>
      <c r="NVC8" s="1181"/>
      <c r="NVD8" s="4" t="s">
        <v>4</v>
      </c>
      <c r="NVE8" s="5" t="s">
        <v>5</v>
      </c>
      <c r="NVF8" s="1181" t="s">
        <v>15</v>
      </c>
      <c r="NVG8" s="1181"/>
      <c r="NVH8" s="5" t="s">
        <v>4</v>
      </c>
      <c r="NVI8" s="5" t="s">
        <v>0</v>
      </c>
      <c r="NVJ8" s="1181" t="s">
        <v>15</v>
      </c>
      <c r="NVK8" s="1181"/>
      <c r="NVL8" s="4" t="s">
        <v>4</v>
      </c>
      <c r="NVM8" s="5" t="s">
        <v>5</v>
      </c>
      <c r="NVN8" s="1181" t="s">
        <v>15</v>
      </c>
      <c r="NVO8" s="1181"/>
      <c r="NVP8" s="5" t="s">
        <v>4</v>
      </c>
      <c r="NVQ8" s="5" t="s">
        <v>0</v>
      </c>
      <c r="NVR8" s="1181" t="s">
        <v>15</v>
      </c>
      <c r="NVS8" s="1181"/>
      <c r="NVT8" s="4" t="s">
        <v>4</v>
      </c>
      <c r="NVU8" s="5" t="s">
        <v>5</v>
      </c>
      <c r="NVV8" s="1181" t="s">
        <v>15</v>
      </c>
      <c r="NVW8" s="1181"/>
      <c r="NVX8" s="5" t="s">
        <v>4</v>
      </c>
      <c r="NVY8" s="5" t="s">
        <v>0</v>
      </c>
      <c r="NVZ8" s="1181" t="s">
        <v>15</v>
      </c>
      <c r="NWA8" s="1181"/>
      <c r="NWB8" s="4" t="s">
        <v>4</v>
      </c>
      <c r="NWC8" s="5" t="s">
        <v>5</v>
      </c>
      <c r="NWD8" s="1181" t="s">
        <v>15</v>
      </c>
      <c r="NWE8" s="1181"/>
      <c r="NWF8" s="5" t="s">
        <v>4</v>
      </c>
      <c r="NWG8" s="5" t="s">
        <v>0</v>
      </c>
      <c r="NWH8" s="1181" t="s">
        <v>15</v>
      </c>
      <c r="NWI8" s="1181"/>
      <c r="NWJ8" s="4" t="s">
        <v>4</v>
      </c>
      <c r="NWK8" s="5" t="s">
        <v>5</v>
      </c>
      <c r="NWL8" s="1181" t="s">
        <v>15</v>
      </c>
      <c r="NWM8" s="1181"/>
      <c r="NWN8" s="5" t="s">
        <v>4</v>
      </c>
      <c r="NWO8" s="5" t="s">
        <v>0</v>
      </c>
      <c r="NWP8" s="1181" t="s">
        <v>15</v>
      </c>
      <c r="NWQ8" s="1181"/>
      <c r="NWR8" s="4" t="s">
        <v>4</v>
      </c>
      <c r="NWS8" s="5" t="s">
        <v>5</v>
      </c>
      <c r="NWT8" s="1181" t="s">
        <v>15</v>
      </c>
      <c r="NWU8" s="1181"/>
      <c r="NWV8" s="5" t="s">
        <v>4</v>
      </c>
      <c r="NWW8" s="5" t="s">
        <v>0</v>
      </c>
      <c r="NWX8" s="1181" t="s">
        <v>15</v>
      </c>
      <c r="NWY8" s="1181"/>
      <c r="NWZ8" s="4" t="s">
        <v>4</v>
      </c>
      <c r="NXA8" s="5" t="s">
        <v>5</v>
      </c>
      <c r="NXB8" s="1181" t="s">
        <v>15</v>
      </c>
      <c r="NXC8" s="1181"/>
      <c r="NXD8" s="5" t="s">
        <v>4</v>
      </c>
      <c r="NXE8" s="5" t="s">
        <v>0</v>
      </c>
      <c r="NXF8" s="1181" t="s">
        <v>15</v>
      </c>
      <c r="NXG8" s="1181"/>
      <c r="NXH8" s="4" t="s">
        <v>4</v>
      </c>
      <c r="NXI8" s="5" t="s">
        <v>5</v>
      </c>
      <c r="NXJ8" s="1181" t="s">
        <v>15</v>
      </c>
      <c r="NXK8" s="1181"/>
      <c r="NXL8" s="5" t="s">
        <v>4</v>
      </c>
      <c r="NXM8" s="5" t="s">
        <v>0</v>
      </c>
      <c r="NXN8" s="1181" t="s">
        <v>15</v>
      </c>
      <c r="NXO8" s="1181"/>
      <c r="NXP8" s="4" t="s">
        <v>4</v>
      </c>
      <c r="NXQ8" s="5" t="s">
        <v>5</v>
      </c>
      <c r="NXR8" s="1181" t="s">
        <v>15</v>
      </c>
      <c r="NXS8" s="1181"/>
      <c r="NXT8" s="5" t="s">
        <v>4</v>
      </c>
      <c r="NXU8" s="5" t="s">
        <v>0</v>
      </c>
      <c r="NXV8" s="1181" t="s">
        <v>15</v>
      </c>
      <c r="NXW8" s="1181"/>
      <c r="NXX8" s="4" t="s">
        <v>4</v>
      </c>
      <c r="NXY8" s="5" t="s">
        <v>5</v>
      </c>
      <c r="NXZ8" s="1181" t="s">
        <v>15</v>
      </c>
      <c r="NYA8" s="1181"/>
      <c r="NYB8" s="5" t="s">
        <v>4</v>
      </c>
      <c r="NYC8" s="5" t="s">
        <v>0</v>
      </c>
      <c r="NYD8" s="1181" t="s">
        <v>15</v>
      </c>
      <c r="NYE8" s="1181"/>
      <c r="NYF8" s="4" t="s">
        <v>4</v>
      </c>
      <c r="NYG8" s="5" t="s">
        <v>5</v>
      </c>
      <c r="NYH8" s="1181" t="s">
        <v>15</v>
      </c>
      <c r="NYI8" s="1181"/>
      <c r="NYJ8" s="5" t="s">
        <v>4</v>
      </c>
      <c r="NYK8" s="5" t="s">
        <v>0</v>
      </c>
      <c r="NYL8" s="1181" t="s">
        <v>15</v>
      </c>
      <c r="NYM8" s="1181"/>
      <c r="NYN8" s="4" t="s">
        <v>4</v>
      </c>
      <c r="NYO8" s="5" t="s">
        <v>5</v>
      </c>
      <c r="NYP8" s="1181" t="s">
        <v>15</v>
      </c>
      <c r="NYQ8" s="1181"/>
      <c r="NYR8" s="5" t="s">
        <v>4</v>
      </c>
      <c r="NYS8" s="5" t="s">
        <v>0</v>
      </c>
      <c r="NYT8" s="1181" t="s">
        <v>15</v>
      </c>
      <c r="NYU8" s="1181"/>
      <c r="NYV8" s="4" t="s">
        <v>4</v>
      </c>
      <c r="NYW8" s="5" t="s">
        <v>5</v>
      </c>
      <c r="NYX8" s="1181" t="s">
        <v>15</v>
      </c>
      <c r="NYY8" s="1181"/>
      <c r="NYZ8" s="5" t="s">
        <v>4</v>
      </c>
      <c r="NZA8" s="5" t="s">
        <v>0</v>
      </c>
      <c r="NZB8" s="1181" t="s">
        <v>15</v>
      </c>
      <c r="NZC8" s="1181"/>
      <c r="NZD8" s="4" t="s">
        <v>4</v>
      </c>
      <c r="NZE8" s="5" t="s">
        <v>5</v>
      </c>
      <c r="NZF8" s="1181" t="s">
        <v>15</v>
      </c>
      <c r="NZG8" s="1181"/>
      <c r="NZH8" s="5" t="s">
        <v>4</v>
      </c>
      <c r="NZI8" s="5" t="s">
        <v>0</v>
      </c>
      <c r="NZJ8" s="1181" t="s">
        <v>15</v>
      </c>
      <c r="NZK8" s="1181"/>
      <c r="NZL8" s="4" t="s">
        <v>4</v>
      </c>
      <c r="NZM8" s="5" t="s">
        <v>5</v>
      </c>
      <c r="NZN8" s="1181" t="s">
        <v>15</v>
      </c>
      <c r="NZO8" s="1181"/>
      <c r="NZP8" s="5" t="s">
        <v>4</v>
      </c>
      <c r="NZQ8" s="5" t="s">
        <v>0</v>
      </c>
      <c r="NZR8" s="1181" t="s">
        <v>15</v>
      </c>
      <c r="NZS8" s="1181"/>
      <c r="NZT8" s="4" t="s">
        <v>4</v>
      </c>
      <c r="NZU8" s="5" t="s">
        <v>5</v>
      </c>
      <c r="NZV8" s="1181" t="s">
        <v>15</v>
      </c>
      <c r="NZW8" s="1181"/>
      <c r="NZX8" s="5" t="s">
        <v>4</v>
      </c>
      <c r="NZY8" s="5" t="s">
        <v>0</v>
      </c>
      <c r="NZZ8" s="1181" t="s">
        <v>15</v>
      </c>
      <c r="OAA8" s="1181"/>
      <c r="OAB8" s="4" t="s">
        <v>4</v>
      </c>
      <c r="OAC8" s="5" t="s">
        <v>5</v>
      </c>
      <c r="OAD8" s="1181" t="s">
        <v>15</v>
      </c>
      <c r="OAE8" s="1181"/>
      <c r="OAF8" s="5" t="s">
        <v>4</v>
      </c>
      <c r="OAG8" s="5" t="s">
        <v>0</v>
      </c>
      <c r="OAH8" s="1181" t="s">
        <v>15</v>
      </c>
      <c r="OAI8" s="1181"/>
      <c r="OAJ8" s="4" t="s">
        <v>4</v>
      </c>
      <c r="OAK8" s="5" t="s">
        <v>5</v>
      </c>
      <c r="OAL8" s="1181" t="s">
        <v>15</v>
      </c>
      <c r="OAM8" s="1181"/>
      <c r="OAN8" s="5" t="s">
        <v>4</v>
      </c>
      <c r="OAO8" s="5" t="s">
        <v>0</v>
      </c>
      <c r="OAP8" s="1181" t="s">
        <v>15</v>
      </c>
      <c r="OAQ8" s="1181"/>
      <c r="OAR8" s="4" t="s">
        <v>4</v>
      </c>
      <c r="OAS8" s="5" t="s">
        <v>5</v>
      </c>
      <c r="OAT8" s="1181" t="s">
        <v>15</v>
      </c>
      <c r="OAU8" s="1181"/>
      <c r="OAV8" s="5" t="s">
        <v>4</v>
      </c>
      <c r="OAW8" s="5" t="s">
        <v>0</v>
      </c>
      <c r="OAX8" s="1181" t="s">
        <v>15</v>
      </c>
      <c r="OAY8" s="1181"/>
      <c r="OAZ8" s="4" t="s">
        <v>4</v>
      </c>
      <c r="OBA8" s="5" t="s">
        <v>5</v>
      </c>
      <c r="OBB8" s="1181" t="s">
        <v>15</v>
      </c>
      <c r="OBC8" s="1181"/>
      <c r="OBD8" s="5" t="s">
        <v>4</v>
      </c>
      <c r="OBE8" s="5" t="s">
        <v>0</v>
      </c>
      <c r="OBF8" s="1181" t="s">
        <v>15</v>
      </c>
      <c r="OBG8" s="1181"/>
      <c r="OBH8" s="4" t="s">
        <v>4</v>
      </c>
      <c r="OBI8" s="5" t="s">
        <v>5</v>
      </c>
      <c r="OBJ8" s="1181" t="s">
        <v>15</v>
      </c>
      <c r="OBK8" s="1181"/>
      <c r="OBL8" s="5" t="s">
        <v>4</v>
      </c>
      <c r="OBM8" s="5" t="s">
        <v>0</v>
      </c>
      <c r="OBN8" s="1181" t="s">
        <v>15</v>
      </c>
      <c r="OBO8" s="1181"/>
      <c r="OBP8" s="4" t="s">
        <v>4</v>
      </c>
      <c r="OBQ8" s="5" t="s">
        <v>5</v>
      </c>
      <c r="OBR8" s="1181" t="s">
        <v>15</v>
      </c>
      <c r="OBS8" s="1181"/>
      <c r="OBT8" s="5" t="s">
        <v>4</v>
      </c>
      <c r="OBU8" s="5" t="s">
        <v>0</v>
      </c>
      <c r="OBV8" s="1181" t="s">
        <v>15</v>
      </c>
      <c r="OBW8" s="1181"/>
      <c r="OBX8" s="4" t="s">
        <v>4</v>
      </c>
      <c r="OBY8" s="5" t="s">
        <v>5</v>
      </c>
      <c r="OBZ8" s="1181" t="s">
        <v>15</v>
      </c>
      <c r="OCA8" s="1181"/>
      <c r="OCB8" s="5" t="s">
        <v>4</v>
      </c>
      <c r="OCC8" s="5" t="s">
        <v>0</v>
      </c>
      <c r="OCD8" s="1181" t="s">
        <v>15</v>
      </c>
      <c r="OCE8" s="1181"/>
      <c r="OCF8" s="4" t="s">
        <v>4</v>
      </c>
      <c r="OCG8" s="5" t="s">
        <v>5</v>
      </c>
      <c r="OCH8" s="1181" t="s">
        <v>15</v>
      </c>
      <c r="OCI8" s="1181"/>
      <c r="OCJ8" s="5" t="s">
        <v>4</v>
      </c>
      <c r="OCK8" s="5" t="s">
        <v>0</v>
      </c>
      <c r="OCL8" s="1181" t="s">
        <v>15</v>
      </c>
      <c r="OCM8" s="1181"/>
      <c r="OCN8" s="4" t="s">
        <v>4</v>
      </c>
      <c r="OCO8" s="5" t="s">
        <v>5</v>
      </c>
      <c r="OCP8" s="1181" t="s">
        <v>15</v>
      </c>
      <c r="OCQ8" s="1181"/>
      <c r="OCR8" s="5" t="s">
        <v>4</v>
      </c>
      <c r="OCS8" s="5" t="s">
        <v>0</v>
      </c>
      <c r="OCT8" s="1181" t="s">
        <v>15</v>
      </c>
      <c r="OCU8" s="1181"/>
      <c r="OCV8" s="4" t="s">
        <v>4</v>
      </c>
      <c r="OCW8" s="5" t="s">
        <v>5</v>
      </c>
      <c r="OCX8" s="1181" t="s">
        <v>15</v>
      </c>
      <c r="OCY8" s="1181"/>
      <c r="OCZ8" s="5" t="s">
        <v>4</v>
      </c>
      <c r="ODA8" s="5" t="s">
        <v>0</v>
      </c>
      <c r="ODB8" s="1181" t="s">
        <v>15</v>
      </c>
      <c r="ODC8" s="1181"/>
      <c r="ODD8" s="4" t="s">
        <v>4</v>
      </c>
      <c r="ODE8" s="5" t="s">
        <v>5</v>
      </c>
      <c r="ODF8" s="1181" t="s">
        <v>15</v>
      </c>
      <c r="ODG8" s="1181"/>
      <c r="ODH8" s="5" t="s">
        <v>4</v>
      </c>
      <c r="ODI8" s="5" t="s">
        <v>0</v>
      </c>
      <c r="ODJ8" s="1181" t="s">
        <v>15</v>
      </c>
      <c r="ODK8" s="1181"/>
      <c r="ODL8" s="4" t="s">
        <v>4</v>
      </c>
      <c r="ODM8" s="5" t="s">
        <v>5</v>
      </c>
      <c r="ODN8" s="1181" t="s">
        <v>15</v>
      </c>
      <c r="ODO8" s="1181"/>
      <c r="ODP8" s="5" t="s">
        <v>4</v>
      </c>
      <c r="ODQ8" s="5" t="s">
        <v>0</v>
      </c>
      <c r="ODR8" s="1181" t="s">
        <v>15</v>
      </c>
      <c r="ODS8" s="1181"/>
      <c r="ODT8" s="4" t="s">
        <v>4</v>
      </c>
      <c r="ODU8" s="5" t="s">
        <v>5</v>
      </c>
      <c r="ODV8" s="1181" t="s">
        <v>15</v>
      </c>
      <c r="ODW8" s="1181"/>
      <c r="ODX8" s="5" t="s">
        <v>4</v>
      </c>
      <c r="ODY8" s="5" t="s">
        <v>0</v>
      </c>
      <c r="ODZ8" s="1181" t="s">
        <v>15</v>
      </c>
      <c r="OEA8" s="1181"/>
      <c r="OEB8" s="4" t="s">
        <v>4</v>
      </c>
      <c r="OEC8" s="5" t="s">
        <v>5</v>
      </c>
      <c r="OED8" s="1181" t="s">
        <v>15</v>
      </c>
      <c r="OEE8" s="1181"/>
      <c r="OEF8" s="5" t="s">
        <v>4</v>
      </c>
      <c r="OEG8" s="5" t="s">
        <v>0</v>
      </c>
      <c r="OEH8" s="1181" t="s">
        <v>15</v>
      </c>
      <c r="OEI8" s="1181"/>
      <c r="OEJ8" s="4" t="s">
        <v>4</v>
      </c>
      <c r="OEK8" s="5" t="s">
        <v>5</v>
      </c>
      <c r="OEL8" s="1181" t="s">
        <v>15</v>
      </c>
      <c r="OEM8" s="1181"/>
      <c r="OEN8" s="5" t="s">
        <v>4</v>
      </c>
      <c r="OEO8" s="5" t="s">
        <v>0</v>
      </c>
      <c r="OEP8" s="1181" t="s">
        <v>15</v>
      </c>
      <c r="OEQ8" s="1181"/>
      <c r="OER8" s="4" t="s">
        <v>4</v>
      </c>
      <c r="OES8" s="5" t="s">
        <v>5</v>
      </c>
      <c r="OET8" s="1181" t="s">
        <v>15</v>
      </c>
      <c r="OEU8" s="1181"/>
      <c r="OEV8" s="5" t="s">
        <v>4</v>
      </c>
      <c r="OEW8" s="5" t="s">
        <v>0</v>
      </c>
      <c r="OEX8" s="1181" t="s">
        <v>15</v>
      </c>
      <c r="OEY8" s="1181"/>
      <c r="OEZ8" s="4" t="s">
        <v>4</v>
      </c>
      <c r="OFA8" s="5" t="s">
        <v>5</v>
      </c>
      <c r="OFB8" s="1181" t="s">
        <v>15</v>
      </c>
      <c r="OFC8" s="1181"/>
      <c r="OFD8" s="5" t="s">
        <v>4</v>
      </c>
      <c r="OFE8" s="5" t="s">
        <v>0</v>
      </c>
      <c r="OFF8" s="1181" t="s">
        <v>15</v>
      </c>
      <c r="OFG8" s="1181"/>
      <c r="OFH8" s="4" t="s">
        <v>4</v>
      </c>
      <c r="OFI8" s="5" t="s">
        <v>5</v>
      </c>
      <c r="OFJ8" s="1181" t="s">
        <v>15</v>
      </c>
      <c r="OFK8" s="1181"/>
      <c r="OFL8" s="5" t="s">
        <v>4</v>
      </c>
      <c r="OFM8" s="5" t="s">
        <v>0</v>
      </c>
      <c r="OFN8" s="1181" t="s">
        <v>15</v>
      </c>
      <c r="OFO8" s="1181"/>
      <c r="OFP8" s="4" t="s">
        <v>4</v>
      </c>
      <c r="OFQ8" s="5" t="s">
        <v>5</v>
      </c>
      <c r="OFR8" s="1181" t="s">
        <v>15</v>
      </c>
      <c r="OFS8" s="1181"/>
      <c r="OFT8" s="5" t="s">
        <v>4</v>
      </c>
      <c r="OFU8" s="5" t="s">
        <v>0</v>
      </c>
      <c r="OFV8" s="1181" t="s">
        <v>15</v>
      </c>
      <c r="OFW8" s="1181"/>
      <c r="OFX8" s="4" t="s">
        <v>4</v>
      </c>
      <c r="OFY8" s="5" t="s">
        <v>5</v>
      </c>
      <c r="OFZ8" s="1181" t="s">
        <v>15</v>
      </c>
      <c r="OGA8" s="1181"/>
      <c r="OGB8" s="5" t="s">
        <v>4</v>
      </c>
      <c r="OGC8" s="5" t="s">
        <v>0</v>
      </c>
      <c r="OGD8" s="1181" t="s">
        <v>15</v>
      </c>
      <c r="OGE8" s="1181"/>
      <c r="OGF8" s="4" t="s">
        <v>4</v>
      </c>
      <c r="OGG8" s="5" t="s">
        <v>5</v>
      </c>
      <c r="OGH8" s="1181" t="s">
        <v>15</v>
      </c>
      <c r="OGI8" s="1181"/>
      <c r="OGJ8" s="5" t="s">
        <v>4</v>
      </c>
      <c r="OGK8" s="5" t="s">
        <v>0</v>
      </c>
      <c r="OGL8" s="1181" t="s">
        <v>15</v>
      </c>
      <c r="OGM8" s="1181"/>
      <c r="OGN8" s="4" t="s">
        <v>4</v>
      </c>
      <c r="OGO8" s="5" t="s">
        <v>5</v>
      </c>
      <c r="OGP8" s="1181" t="s">
        <v>15</v>
      </c>
      <c r="OGQ8" s="1181"/>
      <c r="OGR8" s="5" t="s">
        <v>4</v>
      </c>
      <c r="OGS8" s="5" t="s">
        <v>0</v>
      </c>
      <c r="OGT8" s="1181" t="s">
        <v>15</v>
      </c>
      <c r="OGU8" s="1181"/>
      <c r="OGV8" s="4" t="s">
        <v>4</v>
      </c>
      <c r="OGW8" s="5" t="s">
        <v>5</v>
      </c>
      <c r="OGX8" s="1181" t="s">
        <v>15</v>
      </c>
      <c r="OGY8" s="1181"/>
      <c r="OGZ8" s="5" t="s">
        <v>4</v>
      </c>
      <c r="OHA8" s="5" t="s">
        <v>0</v>
      </c>
      <c r="OHB8" s="1181" t="s">
        <v>15</v>
      </c>
      <c r="OHC8" s="1181"/>
      <c r="OHD8" s="4" t="s">
        <v>4</v>
      </c>
      <c r="OHE8" s="5" t="s">
        <v>5</v>
      </c>
      <c r="OHF8" s="1181" t="s">
        <v>15</v>
      </c>
      <c r="OHG8" s="1181"/>
      <c r="OHH8" s="5" t="s">
        <v>4</v>
      </c>
      <c r="OHI8" s="5" t="s">
        <v>0</v>
      </c>
      <c r="OHJ8" s="1181" t="s">
        <v>15</v>
      </c>
      <c r="OHK8" s="1181"/>
      <c r="OHL8" s="4" t="s">
        <v>4</v>
      </c>
      <c r="OHM8" s="5" t="s">
        <v>5</v>
      </c>
      <c r="OHN8" s="1181" t="s">
        <v>15</v>
      </c>
      <c r="OHO8" s="1181"/>
      <c r="OHP8" s="5" t="s">
        <v>4</v>
      </c>
      <c r="OHQ8" s="5" t="s">
        <v>0</v>
      </c>
      <c r="OHR8" s="1181" t="s">
        <v>15</v>
      </c>
      <c r="OHS8" s="1181"/>
      <c r="OHT8" s="4" t="s">
        <v>4</v>
      </c>
      <c r="OHU8" s="5" t="s">
        <v>5</v>
      </c>
      <c r="OHV8" s="1181" t="s">
        <v>15</v>
      </c>
      <c r="OHW8" s="1181"/>
      <c r="OHX8" s="5" t="s">
        <v>4</v>
      </c>
      <c r="OHY8" s="5" t="s">
        <v>0</v>
      </c>
      <c r="OHZ8" s="1181" t="s">
        <v>15</v>
      </c>
      <c r="OIA8" s="1181"/>
      <c r="OIB8" s="4" t="s">
        <v>4</v>
      </c>
      <c r="OIC8" s="5" t="s">
        <v>5</v>
      </c>
      <c r="OID8" s="1181" t="s">
        <v>15</v>
      </c>
      <c r="OIE8" s="1181"/>
      <c r="OIF8" s="5" t="s">
        <v>4</v>
      </c>
      <c r="OIG8" s="5" t="s">
        <v>0</v>
      </c>
      <c r="OIH8" s="1181" t="s">
        <v>15</v>
      </c>
      <c r="OII8" s="1181"/>
      <c r="OIJ8" s="4" t="s">
        <v>4</v>
      </c>
      <c r="OIK8" s="5" t="s">
        <v>5</v>
      </c>
      <c r="OIL8" s="1181" t="s">
        <v>15</v>
      </c>
      <c r="OIM8" s="1181"/>
      <c r="OIN8" s="5" t="s">
        <v>4</v>
      </c>
      <c r="OIO8" s="5" t="s">
        <v>0</v>
      </c>
      <c r="OIP8" s="1181" t="s">
        <v>15</v>
      </c>
      <c r="OIQ8" s="1181"/>
      <c r="OIR8" s="4" t="s">
        <v>4</v>
      </c>
      <c r="OIS8" s="5" t="s">
        <v>5</v>
      </c>
      <c r="OIT8" s="1181" t="s">
        <v>15</v>
      </c>
      <c r="OIU8" s="1181"/>
      <c r="OIV8" s="5" t="s">
        <v>4</v>
      </c>
      <c r="OIW8" s="5" t="s">
        <v>0</v>
      </c>
      <c r="OIX8" s="1181" t="s">
        <v>15</v>
      </c>
      <c r="OIY8" s="1181"/>
      <c r="OIZ8" s="4" t="s">
        <v>4</v>
      </c>
      <c r="OJA8" s="5" t="s">
        <v>5</v>
      </c>
      <c r="OJB8" s="1181" t="s">
        <v>15</v>
      </c>
      <c r="OJC8" s="1181"/>
      <c r="OJD8" s="5" t="s">
        <v>4</v>
      </c>
      <c r="OJE8" s="5" t="s">
        <v>0</v>
      </c>
      <c r="OJF8" s="1181" t="s">
        <v>15</v>
      </c>
      <c r="OJG8" s="1181"/>
      <c r="OJH8" s="4" t="s">
        <v>4</v>
      </c>
      <c r="OJI8" s="5" t="s">
        <v>5</v>
      </c>
      <c r="OJJ8" s="1181" t="s">
        <v>15</v>
      </c>
      <c r="OJK8" s="1181"/>
      <c r="OJL8" s="5" t="s">
        <v>4</v>
      </c>
      <c r="OJM8" s="5" t="s">
        <v>0</v>
      </c>
      <c r="OJN8" s="1181" t="s">
        <v>15</v>
      </c>
      <c r="OJO8" s="1181"/>
      <c r="OJP8" s="4" t="s">
        <v>4</v>
      </c>
      <c r="OJQ8" s="5" t="s">
        <v>5</v>
      </c>
      <c r="OJR8" s="1181" t="s">
        <v>15</v>
      </c>
      <c r="OJS8" s="1181"/>
      <c r="OJT8" s="5" t="s">
        <v>4</v>
      </c>
      <c r="OJU8" s="5" t="s">
        <v>0</v>
      </c>
      <c r="OJV8" s="1181" t="s">
        <v>15</v>
      </c>
      <c r="OJW8" s="1181"/>
      <c r="OJX8" s="4" t="s">
        <v>4</v>
      </c>
      <c r="OJY8" s="5" t="s">
        <v>5</v>
      </c>
      <c r="OJZ8" s="1181" t="s">
        <v>15</v>
      </c>
      <c r="OKA8" s="1181"/>
      <c r="OKB8" s="5" t="s">
        <v>4</v>
      </c>
      <c r="OKC8" s="5" t="s">
        <v>0</v>
      </c>
      <c r="OKD8" s="1181" t="s">
        <v>15</v>
      </c>
      <c r="OKE8" s="1181"/>
      <c r="OKF8" s="4" t="s">
        <v>4</v>
      </c>
      <c r="OKG8" s="5" t="s">
        <v>5</v>
      </c>
      <c r="OKH8" s="1181" t="s">
        <v>15</v>
      </c>
      <c r="OKI8" s="1181"/>
      <c r="OKJ8" s="5" t="s">
        <v>4</v>
      </c>
      <c r="OKK8" s="5" t="s">
        <v>0</v>
      </c>
      <c r="OKL8" s="1181" t="s">
        <v>15</v>
      </c>
      <c r="OKM8" s="1181"/>
      <c r="OKN8" s="4" t="s">
        <v>4</v>
      </c>
      <c r="OKO8" s="5" t="s">
        <v>5</v>
      </c>
      <c r="OKP8" s="1181" t="s">
        <v>15</v>
      </c>
      <c r="OKQ8" s="1181"/>
      <c r="OKR8" s="5" t="s">
        <v>4</v>
      </c>
      <c r="OKS8" s="5" t="s">
        <v>0</v>
      </c>
      <c r="OKT8" s="1181" t="s">
        <v>15</v>
      </c>
      <c r="OKU8" s="1181"/>
      <c r="OKV8" s="4" t="s">
        <v>4</v>
      </c>
      <c r="OKW8" s="5" t="s">
        <v>5</v>
      </c>
      <c r="OKX8" s="1181" t="s">
        <v>15</v>
      </c>
      <c r="OKY8" s="1181"/>
      <c r="OKZ8" s="5" t="s">
        <v>4</v>
      </c>
      <c r="OLA8" s="5" t="s">
        <v>0</v>
      </c>
      <c r="OLB8" s="1181" t="s">
        <v>15</v>
      </c>
      <c r="OLC8" s="1181"/>
      <c r="OLD8" s="4" t="s">
        <v>4</v>
      </c>
      <c r="OLE8" s="5" t="s">
        <v>5</v>
      </c>
      <c r="OLF8" s="1181" t="s">
        <v>15</v>
      </c>
      <c r="OLG8" s="1181"/>
      <c r="OLH8" s="5" t="s">
        <v>4</v>
      </c>
      <c r="OLI8" s="5" t="s">
        <v>0</v>
      </c>
      <c r="OLJ8" s="1181" t="s">
        <v>15</v>
      </c>
      <c r="OLK8" s="1181"/>
      <c r="OLL8" s="4" t="s">
        <v>4</v>
      </c>
      <c r="OLM8" s="5" t="s">
        <v>5</v>
      </c>
      <c r="OLN8" s="1181" t="s">
        <v>15</v>
      </c>
      <c r="OLO8" s="1181"/>
      <c r="OLP8" s="5" t="s">
        <v>4</v>
      </c>
      <c r="OLQ8" s="5" t="s">
        <v>0</v>
      </c>
      <c r="OLR8" s="1181" t="s">
        <v>15</v>
      </c>
      <c r="OLS8" s="1181"/>
      <c r="OLT8" s="4" t="s">
        <v>4</v>
      </c>
      <c r="OLU8" s="5" t="s">
        <v>5</v>
      </c>
      <c r="OLV8" s="1181" t="s">
        <v>15</v>
      </c>
      <c r="OLW8" s="1181"/>
      <c r="OLX8" s="5" t="s">
        <v>4</v>
      </c>
      <c r="OLY8" s="5" t="s">
        <v>0</v>
      </c>
      <c r="OLZ8" s="1181" t="s">
        <v>15</v>
      </c>
      <c r="OMA8" s="1181"/>
      <c r="OMB8" s="4" t="s">
        <v>4</v>
      </c>
      <c r="OMC8" s="5" t="s">
        <v>5</v>
      </c>
      <c r="OMD8" s="1181" t="s">
        <v>15</v>
      </c>
      <c r="OME8" s="1181"/>
      <c r="OMF8" s="5" t="s">
        <v>4</v>
      </c>
      <c r="OMG8" s="5" t="s">
        <v>0</v>
      </c>
      <c r="OMH8" s="1181" t="s">
        <v>15</v>
      </c>
      <c r="OMI8" s="1181"/>
      <c r="OMJ8" s="4" t="s">
        <v>4</v>
      </c>
      <c r="OMK8" s="5" t="s">
        <v>5</v>
      </c>
      <c r="OML8" s="1181" t="s">
        <v>15</v>
      </c>
      <c r="OMM8" s="1181"/>
      <c r="OMN8" s="5" t="s">
        <v>4</v>
      </c>
      <c r="OMO8" s="5" t="s">
        <v>0</v>
      </c>
      <c r="OMP8" s="1181" t="s">
        <v>15</v>
      </c>
      <c r="OMQ8" s="1181"/>
      <c r="OMR8" s="4" t="s">
        <v>4</v>
      </c>
      <c r="OMS8" s="5" t="s">
        <v>5</v>
      </c>
      <c r="OMT8" s="1181" t="s">
        <v>15</v>
      </c>
      <c r="OMU8" s="1181"/>
      <c r="OMV8" s="5" t="s">
        <v>4</v>
      </c>
      <c r="OMW8" s="5" t="s">
        <v>0</v>
      </c>
      <c r="OMX8" s="1181" t="s">
        <v>15</v>
      </c>
      <c r="OMY8" s="1181"/>
      <c r="OMZ8" s="4" t="s">
        <v>4</v>
      </c>
      <c r="ONA8" s="5" t="s">
        <v>5</v>
      </c>
      <c r="ONB8" s="1181" t="s">
        <v>15</v>
      </c>
      <c r="ONC8" s="1181"/>
      <c r="OND8" s="5" t="s">
        <v>4</v>
      </c>
      <c r="ONE8" s="5" t="s">
        <v>0</v>
      </c>
      <c r="ONF8" s="1181" t="s">
        <v>15</v>
      </c>
      <c r="ONG8" s="1181"/>
      <c r="ONH8" s="4" t="s">
        <v>4</v>
      </c>
      <c r="ONI8" s="5" t="s">
        <v>5</v>
      </c>
      <c r="ONJ8" s="1181" t="s">
        <v>15</v>
      </c>
      <c r="ONK8" s="1181"/>
      <c r="ONL8" s="5" t="s">
        <v>4</v>
      </c>
      <c r="ONM8" s="5" t="s">
        <v>0</v>
      </c>
      <c r="ONN8" s="1181" t="s">
        <v>15</v>
      </c>
      <c r="ONO8" s="1181"/>
      <c r="ONP8" s="4" t="s">
        <v>4</v>
      </c>
      <c r="ONQ8" s="5" t="s">
        <v>5</v>
      </c>
      <c r="ONR8" s="1181" t="s">
        <v>15</v>
      </c>
      <c r="ONS8" s="1181"/>
      <c r="ONT8" s="5" t="s">
        <v>4</v>
      </c>
      <c r="ONU8" s="5" t="s">
        <v>0</v>
      </c>
      <c r="ONV8" s="1181" t="s">
        <v>15</v>
      </c>
      <c r="ONW8" s="1181"/>
      <c r="ONX8" s="4" t="s">
        <v>4</v>
      </c>
      <c r="ONY8" s="5" t="s">
        <v>5</v>
      </c>
      <c r="ONZ8" s="1181" t="s">
        <v>15</v>
      </c>
      <c r="OOA8" s="1181"/>
      <c r="OOB8" s="5" t="s">
        <v>4</v>
      </c>
      <c r="OOC8" s="5" t="s">
        <v>0</v>
      </c>
      <c r="OOD8" s="1181" t="s">
        <v>15</v>
      </c>
      <c r="OOE8" s="1181"/>
      <c r="OOF8" s="4" t="s">
        <v>4</v>
      </c>
      <c r="OOG8" s="5" t="s">
        <v>5</v>
      </c>
      <c r="OOH8" s="1181" t="s">
        <v>15</v>
      </c>
      <c r="OOI8" s="1181"/>
      <c r="OOJ8" s="5" t="s">
        <v>4</v>
      </c>
      <c r="OOK8" s="5" t="s">
        <v>0</v>
      </c>
      <c r="OOL8" s="1181" t="s">
        <v>15</v>
      </c>
      <c r="OOM8" s="1181"/>
      <c r="OON8" s="4" t="s">
        <v>4</v>
      </c>
      <c r="OOO8" s="5" t="s">
        <v>5</v>
      </c>
      <c r="OOP8" s="1181" t="s">
        <v>15</v>
      </c>
      <c r="OOQ8" s="1181"/>
      <c r="OOR8" s="5" t="s">
        <v>4</v>
      </c>
      <c r="OOS8" s="5" t="s">
        <v>0</v>
      </c>
      <c r="OOT8" s="1181" t="s">
        <v>15</v>
      </c>
      <c r="OOU8" s="1181"/>
      <c r="OOV8" s="4" t="s">
        <v>4</v>
      </c>
      <c r="OOW8" s="5" t="s">
        <v>5</v>
      </c>
      <c r="OOX8" s="1181" t="s">
        <v>15</v>
      </c>
      <c r="OOY8" s="1181"/>
      <c r="OOZ8" s="5" t="s">
        <v>4</v>
      </c>
      <c r="OPA8" s="5" t="s">
        <v>0</v>
      </c>
      <c r="OPB8" s="1181" t="s">
        <v>15</v>
      </c>
      <c r="OPC8" s="1181"/>
      <c r="OPD8" s="4" t="s">
        <v>4</v>
      </c>
      <c r="OPE8" s="5" t="s">
        <v>5</v>
      </c>
      <c r="OPF8" s="1181" t="s">
        <v>15</v>
      </c>
      <c r="OPG8" s="1181"/>
      <c r="OPH8" s="5" t="s">
        <v>4</v>
      </c>
      <c r="OPI8" s="5" t="s">
        <v>0</v>
      </c>
      <c r="OPJ8" s="1181" t="s">
        <v>15</v>
      </c>
      <c r="OPK8" s="1181"/>
      <c r="OPL8" s="4" t="s">
        <v>4</v>
      </c>
      <c r="OPM8" s="5" t="s">
        <v>5</v>
      </c>
      <c r="OPN8" s="1181" t="s">
        <v>15</v>
      </c>
      <c r="OPO8" s="1181"/>
      <c r="OPP8" s="5" t="s">
        <v>4</v>
      </c>
      <c r="OPQ8" s="5" t="s">
        <v>0</v>
      </c>
      <c r="OPR8" s="1181" t="s">
        <v>15</v>
      </c>
      <c r="OPS8" s="1181"/>
      <c r="OPT8" s="4" t="s">
        <v>4</v>
      </c>
      <c r="OPU8" s="5" t="s">
        <v>5</v>
      </c>
      <c r="OPV8" s="1181" t="s">
        <v>15</v>
      </c>
      <c r="OPW8" s="1181"/>
      <c r="OPX8" s="5" t="s">
        <v>4</v>
      </c>
      <c r="OPY8" s="5" t="s">
        <v>0</v>
      </c>
      <c r="OPZ8" s="1181" t="s">
        <v>15</v>
      </c>
      <c r="OQA8" s="1181"/>
      <c r="OQB8" s="4" t="s">
        <v>4</v>
      </c>
      <c r="OQC8" s="5" t="s">
        <v>5</v>
      </c>
      <c r="OQD8" s="1181" t="s">
        <v>15</v>
      </c>
      <c r="OQE8" s="1181"/>
      <c r="OQF8" s="5" t="s">
        <v>4</v>
      </c>
      <c r="OQG8" s="5" t="s">
        <v>0</v>
      </c>
      <c r="OQH8" s="1181" t="s">
        <v>15</v>
      </c>
      <c r="OQI8" s="1181"/>
      <c r="OQJ8" s="4" t="s">
        <v>4</v>
      </c>
      <c r="OQK8" s="5" t="s">
        <v>5</v>
      </c>
      <c r="OQL8" s="1181" t="s">
        <v>15</v>
      </c>
      <c r="OQM8" s="1181"/>
      <c r="OQN8" s="5" t="s">
        <v>4</v>
      </c>
      <c r="OQO8" s="5" t="s">
        <v>0</v>
      </c>
      <c r="OQP8" s="1181" t="s">
        <v>15</v>
      </c>
      <c r="OQQ8" s="1181"/>
      <c r="OQR8" s="4" t="s">
        <v>4</v>
      </c>
      <c r="OQS8" s="5" t="s">
        <v>5</v>
      </c>
      <c r="OQT8" s="1181" t="s">
        <v>15</v>
      </c>
      <c r="OQU8" s="1181"/>
      <c r="OQV8" s="5" t="s">
        <v>4</v>
      </c>
      <c r="OQW8" s="5" t="s">
        <v>0</v>
      </c>
      <c r="OQX8" s="1181" t="s">
        <v>15</v>
      </c>
      <c r="OQY8" s="1181"/>
      <c r="OQZ8" s="4" t="s">
        <v>4</v>
      </c>
      <c r="ORA8" s="5" t="s">
        <v>5</v>
      </c>
      <c r="ORB8" s="1181" t="s">
        <v>15</v>
      </c>
      <c r="ORC8" s="1181"/>
      <c r="ORD8" s="5" t="s">
        <v>4</v>
      </c>
      <c r="ORE8" s="5" t="s">
        <v>0</v>
      </c>
      <c r="ORF8" s="1181" t="s">
        <v>15</v>
      </c>
      <c r="ORG8" s="1181"/>
      <c r="ORH8" s="4" t="s">
        <v>4</v>
      </c>
      <c r="ORI8" s="5" t="s">
        <v>5</v>
      </c>
      <c r="ORJ8" s="1181" t="s">
        <v>15</v>
      </c>
      <c r="ORK8" s="1181"/>
      <c r="ORL8" s="5" t="s">
        <v>4</v>
      </c>
      <c r="ORM8" s="5" t="s">
        <v>0</v>
      </c>
      <c r="ORN8" s="1181" t="s">
        <v>15</v>
      </c>
      <c r="ORO8" s="1181"/>
      <c r="ORP8" s="4" t="s">
        <v>4</v>
      </c>
      <c r="ORQ8" s="5" t="s">
        <v>5</v>
      </c>
      <c r="ORR8" s="1181" t="s">
        <v>15</v>
      </c>
      <c r="ORS8" s="1181"/>
      <c r="ORT8" s="5" t="s">
        <v>4</v>
      </c>
      <c r="ORU8" s="5" t="s">
        <v>0</v>
      </c>
      <c r="ORV8" s="1181" t="s">
        <v>15</v>
      </c>
      <c r="ORW8" s="1181"/>
      <c r="ORX8" s="4" t="s">
        <v>4</v>
      </c>
      <c r="ORY8" s="5" t="s">
        <v>5</v>
      </c>
      <c r="ORZ8" s="1181" t="s">
        <v>15</v>
      </c>
      <c r="OSA8" s="1181"/>
      <c r="OSB8" s="5" t="s">
        <v>4</v>
      </c>
      <c r="OSC8" s="5" t="s">
        <v>0</v>
      </c>
      <c r="OSD8" s="1181" t="s">
        <v>15</v>
      </c>
      <c r="OSE8" s="1181"/>
      <c r="OSF8" s="4" t="s">
        <v>4</v>
      </c>
      <c r="OSG8" s="5" t="s">
        <v>5</v>
      </c>
      <c r="OSH8" s="1181" t="s">
        <v>15</v>
      </c>
      <c r="OSI8" s="1181"/>
      <c r="OSJ8" s="5" t="s">
        <v>4</v>
      </c>
      <c r="OSK8" s="5" t="s">
        <v>0</v>
      </c>
      <c r="OSL8" s="1181" t="s">
        <v>15</v>
      </c>
      <c r="OSM8" s="1181"/>
      <c r="OSN8" s="4" t="s">
        <v>4</v>
      </c>
      <c r="OSO8" s="5" t="s">
        <v>5</v>
      </c>
      <c r="OSP8" s="1181" t="s">
        <v>15</v>
      </c>
      <c r="OSQ8" s="1181"/>
      <c r="OSR8" s="5" t="s">
        <v>4</v>
      </c>
      <c r="OSS8" s="5" t="s">
        <v>0</v>
      </c>
      <c r="OST8" s="1181" t="s">
        <v>15</v>
      </c>
      <c r="OSU8" s="1181"/>
      <c r="OSV8" s="4" t="s">
        <v>4</v>
      </c>
      <c r="OSW8" s="5" t="s">
        <v>5</v>
      </c>
      <c r="OSX8" s="1181" t="s">
        <v>15</v>
      </c>
      <c r="OSY8" s="1181"/>
      <c r="OSZ8" s="5" t="s">
        <v>4</v>
      </c>
      <c r="OTA8" s="5" t="s">
        <v>0</v>
      </c>
      <c r="OTB8" s="1181" t="s">
        <v>15</v>
      </c>
      <c r="OTC8" s="1181"/>
      <c r="OTD8" s="4" t="s">
        <v>4</v>
      </c>
      <c r="OTE8" s="5" t="s">
        <v>5</v>
      </c>
      <c r="OTF8" s="1181" t="s">
        <v>15</v>
      </c>
      <c r="OTG8" s="1181"/>
      <c r="OTH8" s="5" t="s">
        <v>4</v>
      </c>
      <c r="OTI8" s="5" t="s">
        <v>0</v>
      </c>
      <c r="OTJ8" s="1181" t="s">
        <v>15</v>
      </c>
      <c r="OTK8" s="1181"/>
      <c r="OTL8" s="4" t="s">
        <v>4</v>
      </c>
      <c r="OTM8" s="5" t="s">
        <v>5</v>
      </c>
      <c r="OTN8" s="1181" t="s">
        <v>15</v>
      </c>
      <c r="OTO8" s="1181"/>
      <c r="OTP8" s="5" t="s">
        <v>4</v>
      </c>
      <c r="OTQ8" s="5" t="s">
        <v>0</v>
      </c>
      <c r="OTR8" s="1181" t="s">
        <v>15</v>
      </c>
      <c r="OTS8" s="1181"/>
      <c r="OTT8" s="4" t="s">
        <v>4</v>
      </c>
      <c r="OTU8" s="5" t="s">
        <v>5</v>
      </c>
      <c r="OTV8" s="1181" t="s">
        <v>15</v>
      </c>
      <c r="OTW8" s="1181"/>
      <c r="OTX8" s="5" t="s">
        <v>4</v>
      </c>
      <c r="OTY8" s="5" t="s">
        <v>0</v>
      </c>
      <c r="OTZ8" s="1181" t="s">
        <v>15</v>
      </c>
      <c r="OUA8" s="1181"/>
      <c r="OUB8" s="4" t="s">
        <v>4</v>
      </c>
      <c r="OUC8" s="5" t="s">
        <v>5</v>
      </c>
      <c r="OUD8" s="1181" t="s">
        <v>15</v>
      </c>
      <c r="OUE8" s="1181"/>
      <c r="OUF8" s="5" t="s">
        <v>4</v>
      </c>
      <c r="OUG8" s="5" t="s">
        <v>0</v>
      </c>
      <c r="OUH8" s="1181" t="s">
        <v>15</v>
      </c>
      <c r="OUI8" s="1181"/>
      <c r="OUJ8" s="4" t="s">
        <v>4</v>
      </c>
      <c r="OUK8" s="5" t="s">
        <v>5</v>
      </c>
      <c r="OUL8" s="1181" t="s">
        <v>15</v>
      </c>
      <c r="OUM8" s="1181"/>
      <c r="OUN8" s="5" t="s">
        <v>4</v>
      </c>
      <c r="OUO8" s="5" t="s">
        <v>0</v>
      </c>
      <c r="OUP8" s="1181" t="s">
        <v>15</v>
      </c>
      <c r="OUQ8" s="1181"/>
      <c r="OUR8" s="4" t="s">
        <v>4</v>
      </c>
      <c r="OUS8" s="5" t="s">
        <v>5</v>
      </c>
      <c r="OUT8" s="1181" t="s">
        <v>15</v>
      </c>
      <c r="OUU8" s="1181"/>
      <c r="OUV8" s="5" t="s">
        <v>4</v>
      </c>
      <c r="OUW8" s="5" t="s">
        <v>0</v>
      </c>
      <c r="OUX8" s="1181" t="s">
        <v>15</v>
      </c>
      <c r="OUY8" s="1181"/>
      <c r="OUZ8" s="4" t="s">
        <v>4</v>
      </c>
      <c r="OVA8" s="5" t="s">
        <v>5</v>
      </c>
      <c r="OVB8" s="1181" t="s">
        <v>15</v>
      </c>
      <c r="OVC8" s="1181"/>
      <c r="OVD8" s="5" t="s">
        <v>4</v>
      </c>
      <c r="OVE8" s="5" t="s">
        <v>0</v>
      </c>
      <c r="OVF8" s="1181" t="s">
        <v>15</v>
      </c>
      <c r="OVG8" s="1181"/>
      <c r="OVH8" s="4" t="s">
        <v>4</v>
      </c>
      <c r="OVI8" s="5" t="s">
        <v>5</v>
      </c>
      <c r="OVJ8" s="1181" t="s">
        <v>15</v>
      </c>
      <c r="OVK8" s="1181"/>
      <c r="OVL8" s="5" t="s">
        <v>4</v>
      </c>
      <c r="OVM8" s="5" t="s">
        <v>0</v>
      </c>
      <c r="OVN8" s="1181" t="s">
        <v>15</v>
      </c>
      <c r="OVO8" s="1181"/>
      <c r="OVP8" s="4" t="s">
        <v>4</v>
      </c>
      <c r="OVQ8" s="5" t="s">
        <v>5</v>
      </c>
      <c r="OVR8" s="1181" t="s">
        <v>15</v>
      </c>
      <c r="OVS8" s="1181"/>
      <c r="OVT8" s="5" t="s">
        <v>4</v>
      </c>
      <c r="OVU8" s="5" t="s">
        <v>0</v>
      </c>
      <c r="OVV8" s="1181" t="s">
        <v>15</v>
      </c>
      <c r="OVW8" s="1181"/>
      <c r="OVX8" s="4" t="s">
        <v>4</v>
      </c>
      <c r="OVY8" s="5" t="s">
        <v>5</v>
      </c>
      <c r="OVZ8" s="1181" t="s">
        <v>15</v>
      </c>
      <c r="OWA8" s="1181"/>
      <c r="OWB8" s="5" t="s">
        <v>4</v>
      </c>
      <c r="OWC8" s="5" t="s">
        <v>0</v>
      </c>
      <c r="OWD8" s="1181" t="s">
        <v>15</v>
      </c>
      <c r="OWE8" s="1181"/>
      <c r="OWF8" s="4" t="s">
        <v>4</v>
      </c>
      <c r="OWG8" s="5" t="s">
        <v>5</v>
      </c>
      <c r="OWH8" s="1181" t="s">
        <v>15</v>
      </c>
      <c r="OWI8" s="1181"/>
      <c r="OWJ8" s="5" t="s">
        <v>4</v>
      </c>
      <c r="OWK8" s="5" t="s">
        <v>0</v>
      </c>
      <c r="OWL8" s="1181" t="s">
        <v>15</v>
      </c>
      <c r="OWM8" s="1181"/>
      <c r="OWN8" s="4" t="s">
        <v>4</v>
      </c>
      <c r="OWO8" s="5" t="s">
        <v>5</v>
      </c>
      <c r="OWP8" s="1181" t="s">
        <v>15</v>
      </c>
      <c r="OWQ8" s="1181"/>
      <c r="OWR8" s="5" t="s">
        <v>4</v>
      </c>
      <c r="OWS8" s="5" t="s">
        <v>0</v>
      </c>
      <c r="OWT8" s="1181" t="s">
        <v>15</v>
      </c>
      <c r="OWU8" s="1181"/>
      <c r="OWV8" s="4" t="s">
        <v>4</v>
      </c>
      <c r="OWW8" s="5" t="s">
        <v>5</v>
      </c>
      <c r="OWX8" s="1181" t="s">
        <v>15</v>
      </c>
      <c r="OWY8" s="1181"/>
      <c r="OWZ8" s="5" t="s">
        <v>4</v>
      </c>
      <c r="OXA8" s="5" t="s">
        <v>0</v>
      </c>
      <c r="OXB8" s="1181" t="s">
        <v>15</v>
      </c>
      <c r="OXC8" s="1181"/>
      <c r="OXD8" s="4" t="s">
        <v>4</v>
      </c>
      <c r="OXE8" s="5" t="s">
        <v>5</v>
      </c>
      <c r="OXF8" s="1181" t="s">
        <v>15</v>
      </c>
      <c r="OXG8" s="1181"/>
      <c r="OXH8" s="5" t="s">
        <v>4</v>
      </c>
      <c r="OXI8" s="5" t="s">
        <v>0</v>
      </c>
      <c r="OXJ8" s="1181" t="s">
        <v>15</v>
      </c>
      <c r="OXK8" s="1181"/>
      <c r="OXL8" s="4" t="s">
        <v>4</v>
      </c>
      <c r="OXM8" s="5" t="s">
        <v>5</v>
      </c>
      <c r="OXN8" s="1181" t="s">
        <v>15</v>
      </c>
      <c r="OXO8" s="1181"/>
      <c r="OXP8" s="5" t="s">
        <v>4</v>
      </c>
      <c r="OXQ8" s="5" t="s">
        <v>0</v>
      </c>
      <c r="OXR8" s="1181" t="s">
        <v>15</v>
      </c>
      <c r="OXS8" s="1181"/>
      <c r="OXT8" s="4" t="s">
        <v>4</v>
      </c>
      <c r="OXU8" s="5" t="s">
        <v>5</v>
      </c>
      <c r="OXV8" s="1181" t="s">
        <v>15</v>
      </c>
      <c r="OXW8" s="1181"/>
      <c r="OXX8" s="5" t="s">
        <v>4</v>
      </c>
      <c r="OXY8" s="5" t="s">
        <v>0</v>
      </c>
      <c r="OXZ8" s="1181" t="s">
        <v>15</v>
      </c>
      <c r="OYA8" s="1181"/>
      <c r="OYB8" s="4" t="s">
        <v>4</v>
      </c>
      <c r="OYC8" s="5" t="s">
        <v>5</v>
      </c>
      <c r="OYD8" s="1181" t="s">
        <v>15</v>
      </c>
      <c r="OYE8" s="1181"/>
      <c r="OYF8" s="5" t="s">
        <v>4</v>
      </c>
      <c r="OYG8" s="5" t="s">
        <v>0</v>
      </c>
      <c r="OYH8" s="1181" t="s">
        <v>15</v>
      </c>
      <c r="OYI8" s="1181"/>
      <c r="OYJ8" s="4" t="s">
        <v>4</v>
      </c>
      <c r="OYK8" s="5" t="s">
        <v>5</v>
      </c>
      <c r="OYL8" s="1181" t="s">
        <v>15</v>
      </c>
      <c r="OYM8" s="1181"/>
      <c r="OYN8" s="5" t="s">
        <v>4</v>
      </c>
      <c r="OYO8" s="5" t="s">
        <v>0</v>
      </c>
      <c r="OYP8" s="1181" t="s">
        <v>15</v>
      </c>
      <c r="OYQ8" s="1181"/>
      <c r="OYR8" s="4" t="s">
        <v>4</v>
      </c>
      <c r="OYS8" s="5" t="s">
        <v>5</v>
      </c>
      <c r="OYT8" s="1181" t="s">
        <v>15</v>
      </c>
      <c r="OYU8" s="1181"/>
      <c r="OYV8" s="5" t="s">
        <v>4</v>
      </c>
      <c r="OYW8" s="5" t="s">
        <v>0</v>
      </c>
      <c r="OYX8" s="1181" t="s">
        <v>15</v>
      </c>
      <c r="OYY8" s="1181"/>
      <c r="OYZ8" s="4" t="s">
        <v>4</v>
      </c>
      <c r="OZA8" s="5" t="s">
        <v>5</v>
      </c>
      <c r="OZB8" s="1181" t="s">
        <v>15</v>
      </c>
      <c r="OZC8" s="1181"/>
      <c r="OZD8" s="5" t="s">
        <v>4</v>
      </c>
      <c r="OZE8" s="5" t="s">
        <v>0</v>
      </c>
      <c r="OZF8" s="1181" t="s">
        <v>15</v>
      </c>
      <c r="OZG8" s="1181"/>
      <c r="OZH8" s="4" t="s">
        <v>4</v>
      </c>
      <c r="OZI8" s="5" t="s">
        <v>5</v>
      </c>
      <c r="OZJ8" s="1181" t="s">
        <v>15</v>
      </c>
      <c r="OZK8" s="1181"/>
      <c r="OZL8" s="5" t="s">
        <v>4</v>
      </c>
      <c r="OZM8" s="5" t="s">
        <v>0</v>
      </c>
      <c r="OZN8" s="1181" t="s">
        <v>15</v>
      </c>
      <c r="OZO8" s="1181"/>
      <c r="OZP8" s="4" t="s">
        <v>4</v>
      </c>
      <c r="OZQ8" s="5" t="s">
        <v>5</v>
      </c>
      <c r="OZR8" s="1181" t="s">
        <v>15</v>
      </c>
      <c r="OZS8" s="1181"/>
      <c r="OZT8" s="5" t="s">
        <v>4</v>
      </c>
      <c r="OZU8" s="5" t="s">
        <v>0</v>
      </c>
      <c r="OZV8" s="1181" t="s">
        <v>15</v>
      </c>
      <c r="OZW8" s="1181"/>
      <c r="OZX8" s="4" t="s">
        <v>4</v>
      </c>
      <c r="OZY8" s="5" t="s">
        <v>5</v>
      </c>
      <c r="OZZ8" s="1181" t="s">
        <v>15</v>
      </c>
      <c r="PAA8" s="1181"/>
      <c r="PAB8" s="5" t="s">
        <v>4</v>
      </c>
      <c r="PAC8" s="5" t="s">
        <v>0</v>
      </c>
      <c r="PAD8" s="1181" t="s">
        <v>15</v>
      </c>
      <c r="PAE8" s="1181"/>
      <c r="PAF8" s="4" t="s">
        <v>4</v>
      </c>
      <c r="PAG8" s="5" t="s">
        <v>5</v>
      </c>
      <c r="PAH8" s="1181" t="s">
        <v>15</v>
      </c>
      <c r="PAI8" s="1181"/>
      <c r="PAJ8" s="5" t="s">
        <v>4</v>
      </c>
      <c r="PAK8" s="5" t="s">
        <v>0</v>
      </c>
      <c r="PAL8" s="1181" t="s">
        <v>15</v>
      </c>
      <c r="PAM8" s="1181"/>
      <c r="PAN8" s="4" t="s">
        <v>4</v>
      </c>
      <c r="PAO8" s="5" t="s">
        <v>5</v>
      </c>
      <c r="PAP8" s="1181" t="s">
        <v>15</v>
      </c>
      <c r="PAQ8" s="1181"/>
      <c r="PAR8" s="5" t="s">
        <v>4</v>
      </c>
      <c r="PAS8" s="5" t="s">
        <v>0</v>
      </c>
      <c r="PAT8" s="1181" t="s">
        <v>15</v>
      </c>
      <c r="PAU8" s="1181"/>
      <c r="PAV8" s="4" t="s">
        <v>4</v>
      </c>
      <c r="PAW8" s="5" t="s">
        <v>5</v>
      </c>
      <c r="PAX8" s="1181" t="s">
        <v>15</v>
      </c>
      <c r="PAY8" s="1181"/>
      <c r="PAZ8" s="5" t="s">
        <v>4</v>
      </c>
      <c r="PBA8" s="5" t="s">
        <v>0</v>
      </c>
      <c r="PBB8" s="1181" t="s">
        <v>15</v>
      </c>
      <c r="PBC8" s="1181"/>
      <c r="PBD8" s="4" t="s">
        <v>4</v>
      </c>
      <c r="PBE8" s="5" t="s">
        <v>5</v>
      </c>
      <c r="PBF8" s="1181" t="s">
        <v>15</v>
      </c>
      <c r="PBG8" s="1181"/>
      <c r="PBH8" s="5" t="s">
        <v>4</v>
      </c>
      <c r="PBI8" s="5" t="s">
        <v>0</v>
      </c>
      <c r="PBJ8" s="1181" t="s">
        <v>15</v>
      </c>
      <c r="PBK8" s="1181"/>
      <c r="PBL8" s="4" t="s">
        <v>4</v>
      </c>
      <c r="PBM8" s="5" t="s">
        <v>5</v>
      </c>
      <c r="PBN8" s="1181" t="s">
        <v>15</v>
      </c>
      <c r="PBO8" s="1181"/>
      <c r="PBP8" s="5" t="s">
        <v>4</v>
      </c>
      <c r="PBQ8" s="5" t="s">
        <v>0</v>
      </c>
      <c r="PBR8" s="1181" t="s">
        <v>15</v>
      </c>
      <c r="PBS8" s="1181"/>
      <c r="PBT8" s="4" t="s">
        <v>4</v>
      </c>
      <c r="PBU8" s="5" t="s">
        <v>5</v>
      </c>
      <c r="PBV8" s="1181" t="s">
        <v>15</v>
      </c>
      <c r="PBW8" s="1181"/>
      <c r="PBX8" s="5" t="s">
        <v>4</v>
      </c>
      <c r="PBY8" s="5" t="s">
        <v>0</v>
      </c>
      <c r="PBZ8" s="1181" t="s">
        <v>15</v>
      </c>
      <c r="PCA8" s="1181"/>
      <c r="PCB8" s="4" t="s">
        <v>4</v>
      </c>
      <c r="PCC8" s="5" t="s">
        <v>5</v>
      </c>
      <c r="PCD8" s="1181" t="s">
        <v>15</v>
      </c>
      <c r="PCE8" s="1181"/>
      <c r="PCF8" s="5" t="s">
        <v>4</v>
      </c>
      <c r="PCG8" s="5" t="s">
        <v>0</v>
      </c>
      <c r="PCH8" s="1181" t="s">
        <v>15</v>
      </c>
      <c r="PCI8" s="1181"/>
      <c r="PCJ8" s="4" t="s">
        <v>4</v>
      </c>
      <c r="PCK8" s="5" t="s">
        <v>5</v>
      </c>
      <c r="PCL8" s="1181" t="s">
        <v>15</v>
      </c>
      <c r="PCM8" s="1181"/>
      <c r="PCN8" s="5" t="s">
        <v>4</v>
      </c>
      <c r="PCO8" s="5" t="s">
        <v>0</v>
      </c>
      <c r="PCP8" s="1181" t="s">
        <v>15</v>
      </c>
      <c r="PCQ8" s="1181"/>
      <c r="PCR8" s="4" t="s">
        <v>4</v>
      </c>
      <c r="PCS8" s="5" t="s">
        <v>5</v>
      </c>
      <c r="PCT8" s="1181" t="s">
        <v>15</v>
      </c>
      <c r="PCU8" s="1181"/>
      <c r="PCV8" s="5" t="s">
        <v>4</v>
      </c>
      <c r="PCW8" s="5" t="s">
        <v>0</v>
      </c>
      <c r="PCX8" s="1181" t="s">
        <v>15</v>
      </c>
      <c r="PCY8" s="1181"/>
      <c r="PCZ8" s="4" t="s">
        <v>4</v>
      </c>
      <c r="PDA8" s="5" t="s">
        <v>5</v>
      </c>
      <c r="PDB8" s="1181" t="s">
        <v>15</v>
      </c>
      <c r="PDC8" s="1181"/>
      <c r="PDD8" s="5" t="s">
        <v>4</v>
      </c>
      <c r="PDE8" s="5" t="s">
        <v>0</v>
      </c>
      <c r="PDF8" s="1181" t="s">
        <v>15</v>
      </c>
      <c r="PDG8" s="1181"/>
      <c r="PDH8" s="4" t="s">
        <v>4</v>
      </c>
      <c r="PDI8" s="5" t="s">
        <v>5</v>
      </c>
      <c r="PDJ8" s="1181" t="s">
        <v>15</v>
      </c>
      <c r="PDK8" s="1181"/>
      <c r="PDL8" s="5" t="s">
        <v>4</v>
      </c>
      <c r="PDM8" s="5" t="s">
        <v>0</v>
      </c>
      <c r="PDN8" s="1181" t="s">
        <v>15</v>
      </c>
      <c r="PDO8" s="1181"/>
      <c r="PDP8" s="4" t="s">
        <v>4</v>
      </c>
      <c r="PDQ8" s="5" t="s">
        <v>5</v>
      </c>
      <c r="PDR8" s="1181" t="s">
        <v>15</v>
      </c>
      <c r="PDS8" s="1181"/>
      <c r="PDT8" s="5" t="s">
        <v>4</v>
      </c>
      <c r="PDU8" s="5" t="s">
        <v>0</v>
      </c>
      <c r="PDV8" s="1181" t="s">
        <v>15</v>
      </c>
      <c r="PDW8" s="1181"/>
      <c r="PDX8" s="4" t="s">
        <v>4</v>
      </c>
      <c r="PDY8" s="5" t="s">
        <v>5</v>
      </c>
      <c r="PDZ8" s="1181" t="s">
        <v>15</v>
      </c>
      <c r="PEA8" s="1181"/>
      <c r="PEB8" s="5" t="s">
        <v>4</v>
      </c>
      <c r="PEC8" s="5" t="s">
        <v>0</v>
      </c>
      <c r="PED8" s="1181" t="s">
        <v>15</v>
      </c>
      <c r="PEE8" s="1181"/>
      <c r="PEF8" s="4" t="s">
        <v>4</v>
      </c>
      <c r="PEG8" s="5" t="s">
        <v>5</v>
      </c>
      <c r="PEH8" s="1181" t="s">
        <v>15</v>
      </c>
      <c r="PEI8" s="1181"/>
      <c r="PEJ8" s="5" t="s">
        <v>4</v>
      </c>
      <c r="PEK8" s="5" t="s">
        <v>0</v>
      </c>
      <c r="PEL8" s="1181" t="s">
        <v>15</v>
      </c>
      <c r="PEM8" s="1181"/>
      <c r="PEN8" s="4" t="s">
        <v>4</v>
      </c>
      <c r="PEO8" s="5" t="s">
        <v>5</v>
      </c>
      <c r="PEP8" s="1181" t="s">
        <v>15</v>
      </c>
      <c r="PEQ8" s="1181"/>
      <c r="PER8" s="5" t="s">
        <v>4</v>
      </c>
      <c r="PES8" s="5" t="s">
        <v>0</v>
      </c>
      <c r="PET8" s="1181" t="s">
        <v>15</v>
      </c>
      <c r="PEU8" s="1181"/>
      <c r="PEV8" s="4" t="s">
        <v>4</v>
      </c>
      <c r="PEW8" s="5" t="s">
        <v>5</v>
      </c>
      <c r="PEX8" s="1181" t="s">
        <v>15</v>
      </c>
      <c r="PEY8" s="1181"/>
      <c r="PEZ8" s="5" t="s">
        <v>4</v>
      </c>
      <c r="PFA8" s="5" t="s">
        <v>0</v>
      </c>
      <c r="PFB8" s="1181" t="s">
        <v>15</v>
      </c>
      <c r="PFC8" s="1181"/>
      <c r="PFD8" s="4" t="s">
        <v>4</v>
      </c>
      <c r="PFE8" s="5" t="s">
        <v>5</v>
      </c>
      <c r="PFF8" s="1181" t="s">
        <v>15</v>
      </c>
      <c r="PFG8" s="1181"/>
      <c r="PFH8" s="5" t="s">
        <v>4</v>
      </c>
      <c r="PFI8" s="5" t="s">
        <v>0</v>
      </c>
      <c r="PFJ8" s="1181" t="s">
        <v>15</v>
      </c>
      <c r="PFK8" s="1181"/>
      <c r="PFL8" s="4" t="s">
        <v>4</v>
      </c>
      <c r="PFM8" s="5" t="s">
        <v>5</v>
      </c>
      <c r="PFN8" s="1181" t="s">
        <v>15</v>
      </c>
      <c r="PFO8" s="1181"/>
      <c r="PFP8" s="5" t="s">
        <v>4</v>
      </c>
      <c r="PFQ8" s="5" t="s">
        <v>0</v>
      </c>
      <c r="PFR8" s="1181" t="s">
        <v>15</v>
      </c>
      <c r="PFS8" s="1181"/>
      <c r="PFT8" s="4" t="s">
        <v>4</v>
      </c>
      <c r="PFU8" s="5" t="s">
        <v>5</v>
      </c>
      <c r="PFV8" s="1181" t="s">
        <v>15</v>
      </c>
      <c r="PFW8" s="1181"/>
      <c r="PFX8" s="5" t="s">
        <v>4</v>
      </c>
      <c r="PFY8" s="5" t="s">
        <v>0</v>
      </c>
      <c r="PFZ8" s="1181" t="s">
        <v>15</v>
      </c>
      <c r="PGA8" s="1181"/>
      <c r="PGB8" s="4" t="s">
        <v>4</v>
      </c>
      <c r="PGC8" s="5" t="s">
        <v>5</v>
      </c>
      <c r="PGD8" s="1181" t="s">
        <v>15</v>
      </c>
      <c r="PGE8" s="1181"/>
      <c r="PGF8" s="5" t="s">
        <v>4</v>
      </c>
      <c r="PGG8" s="5" t="s">
        <v>0</v>
      </c>
      <c r="PGH8" s="1181" t="s">
        <v>15</v>
      </c>
      <c r="PGI8" s="1181"/>
      <c r="PGJ8" s="4" t="s">
        <v>4</v>
      </c>
      <c r="PGK8" s="5" t="s">
        <v>5</v>
      </c>
      <c r="PGL8" s="1181" t="s">
        <v>15</v>
      </c>
      <c r="PGM8" s="1181"/>
      <c r="PGN8" s="5" t="s">
        <v>4</v>
      </c>
      <c r="PGO8" s="5" t="s">
        <v>0</v>
      </c>
      <c r="PGP8" s="1181" t="s">
        <v>15</v>
      </c>
      <c r="PGQ8" s="1181"/>
      <c r="PGR8" s="4" t="s">
        <v>4</v>
      </c>
      <c r="PGS8" s="5" t="s">
        <v>5</v>
      </c>
      <c r="PGT8" s="1181" t="s">
        <v>15</v>
      </c>
      <c r="PGU8" s="1181"/>
      <c r="PGV8" s="5" t="s">
        <v>4</v>
      </c>
      <c r="PGW8" s="5" t="s">
        <v>0</v>
      </c>
      <c r="PGX8" s="1181" t="s">
        <v>15</v>
      </c>
      <c r="PGY8" s="1181"/>
      <c r="PGZ8" s="4" t="s">
        <v>4</v>
      </c>
      <c r="PHA8" s="5" t="s">
        <v>5</v>
      </c>
      <c r="PHB8" s="1181" t="s">
        <v>15</v>
      </c>
      <c r="PHC8" s="1181"/>
      <c r="PHD8" s="5" t="s">
        <v>4</v>
      </c>
      <c r="PHE8" s="5" t="s">
        <v>0</v>
      </c>
      <c r="PHF8" s="1181" t="s">
        <v>15</v>
      </c>
      <c r="PHG8" s="1181"/>
      <c r="PHH8" s="4" t="s">
        <v>4</v>
      </c>
      <c r="PHI8" s="5" t="s">
        <v>5</v>
      </c>
      <c r="PHJ8" s="1181" t="s">
        <v>15</v>
      </c>
      <c r="PHK8" s="1181"/>
      <c r="PHL8" s="5" t="s">
        <v>4</v>
      </c>
      <c r="PHM8" s="5" t="s">
        <v>0</v>
      </c>
      <c r="PHN8" s="1181" t="s">
        <v>15</v>
      </c>
      <c r="PHO8" s="1181"/>
      <c r="PHP8" s="4" t="s">
        <v>4</v>
      </c>
      <c r="PHQ8" s="5" t="s">
        <v>5</v>
      </c>
      <c r="PHR8" s="1181" t="s">
        <v>15</v>
      </c>
      <c r="PHS8" s="1181"/>
      <c r="PHT8" s="5" t="s">
        <v>4</v>
      </c>
      <c r="PHU8" s="5" t="s">
        <v>0</v>
      </c>
      <c r="PHV8" s="1181" t="s">
        <v>15</v>
      </c>
      <c r="PHW8" s="1181"/>
      <c r="PHX8" s="4" t="s">
        <v>4</v>
      </c>
      <c r="PHY8" s="5" t="s">
        <v>5</v>
      </c>
      <c r="PHZ8" s="1181" t="s">
        <v>15</v>
      </c>
      <c r="PIA8" s="1181"/>
      <c r="PIB8" s="5" t="s">
        <v>4</v>
      </c>
      <c r="PIC8" s="5" t="s">
        <v>0</v>
      </c>
      <c r="PID8" s="1181" t="s">
        <v>15</v>
      </c>
      <c r="PIE8" s="1181"/>
      <c r="PIF8" s="4" t="s">
        <v>4</v>
      </c>
      <c r="PIG8" s="5" t="s">
        <v>5</v>
      </c>
      <c r="PIH8" s="1181" t="s">
        <v>15</v>
      </c>
      <c r="PII8" s="1181"/>
      <c r="PIJ8" s="5" t="s">
        <v>4</v>
      </c>
      <c r="PIK8" s="5" t="s">
        <v>0</v>
      </c>
      <c r="PIL8" s="1181" t="s">
        <v>15</v>
      </c>
      <c r="PIM8" s="1181"/>
      <c r="PIN8" s="4" t="s">
        <v>4</v>
      </c>
      <c r="PIO8" s="5" t="s">
        <v>5</v>
      </c>
      <c r="PIP8" s="1181" t="s">
        <v>15</v>
      </c>
      <c r="PIQ8" s="1181"/>
      <c r="PIR8" s="5" t="s">
        <v>4</v>
      </c>
      <c r="PIS8" s="5" t="s">
        <v>0</v>
      </c>
      <c r="PIT8" s="1181" t="s">
        <v>15</v>
      </c>
      <c r="PIU8" s="1181"/>
      <c r="PIV8" s="4" t="s">
        <v>4</v>
      </c>
      <c r="PIW8" s="5" t="s">
        <v>5</v>
      </c>
      <c r="PIX8" s="1181" t="s">
        <v>15</v>
      </c>
      <c r="PIY8" s="1181"/>
      <c r="PIZ8" s="5" t="s">
        <v>4</v>
      </c>
      <c r="PJA8" s="5" t="s">
        <v>0</v>
      </c>
      <c r="PJB8" s="1181" t="s">
        <v>15</v>
      </c>
      <c r="PJC8" s="1181"/>
      <c r="PJD8" s="4" t="s">
        <v>4</v>
      </c>
      <c r="PJE8" s="5" t="s">
        <v>5</v>
      </c>
      <c r="PJF8" s="1181" t="s">
        <v>15</v>
      </c>
      <c r="PJG8" s="1181"/>
      <c r="PJH8" s="5" t="s">
        <v>4</v>
      </c>
      <c r="PJI8" s="5" t="s">
        <v>0</v>
      </c>
      <c r="PJJ8" s="1181" t="s">
        <v>15</v>
      </c>
      <c r="PJK8" s="1181"/>
      <c r="PJL8" s="4" t="s">
        <v>4</v>
      </c>
      <c r="PJM8" s="5" t="s">
        <v>5</v>
      </c>
      <c r="PJN8" s="1181" t="s">
        <v>15</v>
      </c>
      <c r="PJO8" s="1181"/>
      <c r="PJP8" s="5" t="s">
        <v>4</v>
      </c>
      <c r="PJQ8" s="5" t="s">
        <v>0</v>
      </c>
      <c r="PJR8" s="1181" t="s">
        <v>15</v>
      </c>
      <c r="PJS8" s="1181"/>
      <c r="PJT8" s="4" t="s">
        <v>4</v>
      </c>
      <c r="PJU8" s="5" t="s">
        <v>5</v>
      </c>
      <c r="PJV8" s="1181" t="s">
        <v>15</v>
      </c>
      <c r="PJW8" s="1181"/>
      <c r="PJX8" s="5" t="s">
        <v>4</v>
      </c>
      <c r="PJY8" s="5" t="s">
        <v>0</v>
      </c>
      <c r="PJZ8" s="1181" t="s">
        <v>15</v>
      </c>
      <c r="PKA8" s="1181"/>
      <c r="PKB8" s="4" t="s">
        <v>4</v>
      </c>
      <c r="PKC8" s="5" t="s">
        <v>5</v>
      </c>
      <c r="PKD8" s="1181" t="s">
        <v>15</v>
      </c>
      <c r="PKE8" s="1181"/>
      <c r="PKF8" s="5" t="s">
        <v>4</v>
      </c>
      <c r="PKG8" s="5" t="s">
        <v>0</v>
      </c>
      <c r="PKH8" s="1181" t="s">
        <v>15</v>
      </c>
      <c r="PKI8" s="1181"/>
      <c r="PKJ8" s="4" t="s">
        <v>4</v>
      </c>
      <c r="PKK8" s="5" t="s">
        <v>5</v>
      </c>
      <c r="PKL8" s="1181" t="s">
        <v>15</v>
      </c>
      <c r="PKM8" s="1181"/>
      <c r="PKN8" s="5" t="s">
        <v>4</v>
      </c>
      <c r="PKO8" s="5" t="s">
        <v>0</v>
      </c>
      <c r="PKP8" s="1181" t="s">
        <v>15</v>
      </c>
      <c r="PKQ8" s="1181"/>
      <c r="PKR8" s="4" t="s">
        <v>4</v>
      </c>
      <c r="PKS8" s="5" t="s">
        <v>5</v>
      </c>
      <c r="PKT8" s="1181" t="s">
        <v>15</v>
      </c>
      <c r="PKU8" s="1181"/>
      <c r="PKV8" s="5" t="s">
        <v>4</v>
      </c>
      <c r="PKW8" s="5" t="s">
        <v>0</v>
      </c>
      <c r="PKX8" s="1181" t="s">
        <v>15</v>
      </c>
      <c r="PKY8" s="1181"/>
      <c r="PKZ8" s="4" t="s">
        <v>4</v>
      </c>
      <c r="PLA8" s="5" t="s">
        <v>5</v>
      </c>
      <c r="PLB8" s="1181" t="s">
        <v>15</v>
      </c>
      <c r="PLC8" s="1181"/>
      <c r="PLD8" s="5" t="s">
        <v>4</v>
      </c>
      <c r="PLE8" s="5" t="s">
        <v>0</v>
      </c>
      <c r="PLF8" s="1181" t="s">
        <v>15</v>
      </c>
      <c r="PLG8" s="1181"/>
      <c r="PLH8" s="4" t="s">
        <v>4</v>
      </c>
      <c r="PLI8" s="5" t="s">
        <v>5</v>
      </c>
      <c r="PLJ8" s="1181" t="s">
        <v>15</v>
      </c>
      <c r="PLK8" s="1181"/>
      <c r="PLL8" s="5" t="s">
        <v>4</v>
      </c>
      <c r="PLM8" s="5" t="s">
        <v>0</v>
      </c>
      <c r="PLN8" s="1181" t="s">
        <v>15</v>
      </c>
      <c r="PLO8" s="1181"/>
      <c r="PLP8" s="4" t="s">
        <v>4</v>
      </c>
      <c r="PLQ8" s="5" t="s">
        <v>5</v>
      </c>
      <c r="PLR8" s="1181" t="s">
        <v>15</v>
      </c>
      <c r="PLS8" s="1181"/>
      <c r="PLT8" s="5" t="s">
        <v>4</v>
      </c>
      <c r="PLU8" s="5" t="s">
        <v>0</v>
      </c>
      <c r="PLV8" s="1181" t="s">
        <v>15</v>
      </c>
      <c r="PLW8" s="1181"/>
      <c r="PLX8" s="4" t="s">
        <v>4</v>
      </c>
      <c r="PLY8" s="5" t="s">
        <v>5</v>
      </c>
      <c r="PLZ8" s="1181" t="s">
        <v>15</v>
      </c>
      <c r="PMA8" s="1181"/>
      <c r="PMB8" s="5" t="s">
        <v>4</v>
      </c>
      <c r="PMC8" s="5" t="s">
        <v>0</v>
      </c>
      <c r="PMD8" s="1181" t="s">
        <v>15</v>
      </c>
      <c r="PME8" s="1181"/>
      <c r="PMF8" s="4" t="s">
        <v>4</v>
      </c>
      <c r="PMG8" s="5" t="s">
        <v>5</v>
      </c>
      <c r="PMH8" s="1181" t="s">
        <v>15</v>
      </c>
      <c r="PMI8" s="1181"/>
      <c r="PMJ8" s="5" t="s">
        <v>4</v>
      </c>
      <c r="PMK8" s="5" t="s">
        <v>0</v>
      </c>
      <c r="PML8" s="1181" t="s">
        <v>15</v>
      </c>
      <c r="PMM8" s="1181"/>
      <c r="PMN8" s="4" t="s">
        <v>4</v>
      </c>
      <c r="PMO8" s="5" t="s">
        <v>5</v>
      </c>
      <c r="PMP8" s="1181" t="s">
        <v>15</v>
      </c>
      <c r="PMQ8" s="1181"/>
      <c r="PMR8" s="5" t="s">
        <v>4</v>
      </c>
      <c r="PMS8" s="5" t="s">
        <v>0</v>
      </c>
      <c r="PMT8" s="1181" t="s">
        <v>15</v>
      </c>
      <c r="PMU8" s="1181"/>
      <c r="PMV8" s="4" t="s">
        <v>4</v>
      </c>
      <c r="PMW8" s="5" t="s">
        <v>5</v>
      </c>
      <c r="PMX8" s="1181" t="s">
        <v>15</v>
      </c>
      <c r="PMY8" s="1181"/>
      <c r="PMZ8" s="5" t="s">
        <v>4</v>
      </c>
      <c r="PNA8" s="5" t="s">
        <v>0</v>
      </c>
      <c r="PNB8" s="1181" t="s">
        <v>15</v>
      </c>
      <c r="PNC8" s="1181"/>
      <c r="PND8" s="4" t="s">
        <v>4</v>
      </c>
      <c r="PNE8" s="5" t="s">
        <v>5</v>
      </c>
      <c r="PNF8" s="1181" t="s">
        <v>15</v>
      </c>
      <c r="PNG8" s="1181"/>
      <c r="PNH8" s="5" t="s">
        <v>4</v>
      </c>
      <c r="PNI8" s="5" t="s">
        <v>0</v>
      </c>
      <c r="PNJ8" s="1181" t="s">
        <v>15</v>
      </c>
      <c r="PNK8" s="1181"/>
      <c r="PNL8" s="4" t="s">
        <v>4</v>
      </c>
      <c r="PNM8" s="5" t="s">
        <v>5</v>
      </c>
      <c r="PNN8" s="1181" t="s">
        <v>15</v>
      </c>
      <c r="PNO8" s="1181"/>
      <c r="PNP8" s="5" t="s">
        <v>4</v>
      </c>
      <c r="PNQ8" s="5" t="s">
        <v>0</v>
      </c>
      <c r="PNR8" s="1181" t="s">
        <v>15</v>
      </c>
      <c r="PNS8" s="1181"/>
      <c r="PNT8" s="4" t="s">
        <v>4</v>
      </c>
      <c r="PNU8" s="5" t="s">
        <v>5</v>
      </c>
      <c r="PNV8" s="1181" t="s">
        <v>15</v>
      </c>
      <c r="PNW8" s="1181"/>
      <c r="PNX8" s="5" t="s">
        <v>4</v>
      </c>
      <c r="PNY8" s="5" t="s">
        <v>0</v>
      </c>
      <c r="PNZ8" s="1181" t="s">
        <v>15</v>
      </c>
      <c r="POA8" s="1181"/>
      <c r="POB8" s="4" t="s">
        <v>4</v>
      </c>
      <c r="POC8" s="5" t="s">
        <v>5</v>
      </c>
      <c r="POD8" s="1181" t="s">
        <v>15</v>
      </c>
      <c r="POE8" s="1181"/>
      <c r="POF8" s="5" t="s">
        <v>4</v>
      </c>
      <c r="POG8" s="5" t="s">
        <v>0</v>
      </c>
      <c r="POH8" s="1181" t="s">
        <v>15</v>
      </c>
      <c r="POI8" s="1181"/>
      <c r="POJ8" s="4" t="s">
        <v>4</v>
      </c>
      <c r="POK8" s="5" t="s">
        <v>5</v>
      </c>
      <c r="POL8" s="1181" t="s">
        <v>15</v>
      </c>
      <c r="POM8" s="1181"/>
      <c r="PON8" s="5" t="s">
        <v>4</v>
      </c>
      <c r="POO8" s="5" t="s">
        <v>0</v>
      </c>
      <c r="POP8" s="1181" t="s">
        <v>15</v>
      </c>
      <c r="POQ8" s="1181"/>
      <c r="POR8" s="4" t="s">
        <v>4</v>
      </c>
      <c r="POS8" s="5" t="s">
        <v>5</v>
      </c>
      <c r="POT8" s="1181" t="s">
        <v>15</v>
      </c>
      <c r="POU8" s="1181"/>
      <c r="POV8" s="5" t="s">
        <v>4</v>
      </c>
      <c r="POW8" s="5" t="s">
        <v>0</v>
      </c>
      <c r="POX8" s="1181" t="s">
        <v>15</v>
      </c>
      <c r="POY8" s="1181"/>
      <c r="POZ8" s="4" t="s">
        <v>4</v>
      </c>
      <c r="PPA8" s="5" t="s">
        <v>5</v>
      </c>
      <c r="PPB8" s="1181" t="s">
        <v>15</v>
      </c>
      <c r="PPC8" s="1181"/>
      <c r="PPD8" s="5" t="s">
        <v>4</v>
      </c>
      <c r="PPE8" s="5" t="s">
        <v>0</v>
      </c>
      <c r="PPF8" s="1181" t="s">
        <v>15</v>
      </c>
      <c r="PPG8" s="1181"/>
      <c r="PPH8" s="4" t="s">
        <v>4</v>
      </c>
      <c r="PPI8" s="5" t="s">
        <v>5</v>
      </c>
      <c r="PPJ8" s="1181" t="s">
        <v>15</v>
      </c>
      <c r="PPK8" s="1181"/>
      <c r="PPL8" s="5" t="s">
        <v>4</v>
      </c>
      <c r="PPM8" s="5" t="s">
        <v>0</v>
      </c>
      <c r="PPN8" s="1181" t="s">
        <v>15</v>
      </c>
      <c r="PPO8" s="1181"/>
      <c r="PPP8" s="4" t="s">
        <v>4</v>
      </c>
      <c r="PPQ8" s="5" t="s">
        <v>5</v>
      </c>
      <c r="PPR8" s="1181" t="s">
        <v>15</v>
      </c>
      <c r="PPS8" s="1181"/>
      <c r="PPT8" s="5" t="s">
        <v>4</v>
      </c>
      <c r="PPU8" s="5" t="s">
        <v>0</v>
      </c>
      <c r="PPV8" s="1181" t="s">
        <v>15</v>
      </c>
      <c r="PPW8" s="1181"/>
      <c r="PPX8" s="4" t="s">
        <v>4</v>
      </c>
      <c r="PPY8" s="5" t="s">
        <v>5</v>
      </c>
      <c r="PPZ8" s="1181" t="s">
        <v>15</v>
      </c>
      <c r="PQA8" s="1181"/>
      <c r="PQB8" s="5" t="s">
        <v>4</v>
      </c>
      <c r="PQC8" s="5" t="s">
        <v>0</v>
      </c>
      <c r="PQD8" s="1181" t="s">
        <v>15</v>
      </c>
      <c r="PQE8" s="1181"/>
      <c r="PQF8" s="4" t="s">
        <v>4</v>
      </c>
      <c r="PQG8" s="5" t="s">
        <v>5</v>
      </c>
      <c r="PQH8" s="1181" t="s">
        <v>15</v>
      </c>
      <c r="PQI8" s="1181"/>
      <c r="PQJ8" s="5" t="s">
        <v>4</v>
      </c>
      <c r="PQK8" s="5" t="s">
        <v>0</v>
      </c>
      <c r="PQL8" s="1181" t="s">
        <v>15</v>
      </c>
      <c r="PQM8" s="1181"/>
      <c r="PQN8" s="4" t="s">
        <v>4</v>
      </c>
      <c r="PQO8" s="5" t="s">
        <v>5</v>
      </c>
      <c r="PQP8" s="1181" t="s">
        <v>15</v>
      </c>
      <c r="PQQ8" s="1181"/>
      <c r="PQR8" s="5" t="s">
        <v>4</v>
      </c>
      <c r="PQS8" s="5" t="s">
        <v>0</v>
      </c>
      <c r="PQT8" s="1181" t="s">
        <v>15</v>
      </c>
      <c r="PQU8" s="1181"/>
      <c r="PQV8" s="4" t="s">
        <v>4</v>
      </c>
      <c r="PQW8" s="5" t="s">
        <v>5</v>
      </c>
      <c r="PQX8" s="1181" t="s">
        <v>15</v>
      </c>
      <c r="PQY8" s="1181"/>
      <c r="PQZ8" s="5" t="s">
        <v>4</v>
      </c>
      <c r="PRA8" s="5" t="s">
        <v>0</v>
      </c>
      <c r="PRB8" s="1181" t="s">
        <v>15</v>
      </c>
      <c r="PRC8" s="1181"/>
      <c r="PRD8" s="4" t="s">
        <v>4</v>
      </c>
      <c r="PRE8" s="5" t="s">
        <v>5</v>
      </c>
      <c r="PRF8" s="1181" t="s">
        <v>15</v>
      </c>
      <c r="PRG8" s="1181"/>
      <c r="PRH8" s="5" t="s">
        <v>4</v>
      </c>
      <c r="PRI8" s="5" t="s">
        <v>0</v>
      </c>
      <c r="PRJ8" s="1181" t="s">
        <v>15</v>
      </c>
      <c r="PRK8" s="1181"/>
      <c r="PRL8" s="4" t="s">
        <v>4</v>
      </c>
      <c r="PRM8" s="5" t="s">
        <v>5</v>
      </c>
      <c r="PRN8" s="1181" t="s">
        <v>15</v>
      </c>
      <c r="PRO8" s="1181"/>
      <c r="PRP8" s="5" t="s">
        <v>4</v>
      </c>
      <c r="PRQ8" s="5" t="s">
        <v>0</v>
      </c>
      <c r="PRR8" s="1181" t="s">
        <v>15</v>
      </c>
      <c r="PRS8" s="1181"/>
      <c r="PRT8" s="4" t="s">
        <v>4</v>
      </c>
      <c r="PRU8" s="5" t="s">
        <v>5</v>
      </c>
      <c r="PRV8" s="1181" t="s">
        <v>15</v>
      </c>
      <c r="PRW8" s="1181"/>
      <c r="PRX8" s="5" t="s">
        <v>4</v>
      </c>
      <c r="PRY8" s="5" t="s">
        <v>0</v>
      </c>
      <c r="PRZ8" s="1181" t="s">
        <v>15</v>
      </c>
      <c r="PSA8" s="1181"/>
      <c r="PSB8" s="4" t="s">
        <v>4</v>
      </c>
      <c r="PSC8" s="5" t="s">
        <v>5</v>
      </c>
      <c r="PSD8" s="1181" t="s">
        <v>15</v>
      </c>
      <c r="PSE8" s="1181"/>
      <c r="PSF8" s="5" t="s">
        <v>4</v>
      </c>
      <c r="PSG8" s="5" t="s">
        <v>0</v>
      </c>
      <c r="PSH8" s="1181" t="s">
        <v>15</v>
      </c>
      <c r="PSI8" s="1181"/>
      <c r="PSJ8" s="4" t="s">
        <v>4</v>
      </c>
      <c r="PSK8" s="5" t="s">
        <v>5</v>
      </c>
      <c r="PSL8" s="1181" t="s">
        <v>15</v>
      </c>
      <c r="PSM8" s="1181"/>
      <c r="PSN8" s="5" t="s">
        <v>4</v>
      </c>
      <c r="PSO8" s="5" t="s">
        <v>0</v>
      </c>
      <c r="PSP8" s="1181" t="s">
        <v>15</v>
      </c>
      <c r="PSQ8" s="1181"/>
      <c r="PSR8" s="4" t="s">
        <v>4</v>
      </c>
      <c r="PSS8" s="5" t="s">
        <v>5</v>
      </c>
      <c r="PST8" s="1181" t="s">
        <v>15</v>
      </c>
      <c r="PSU8" s="1181"/>
      <c r="PSV8" s="5" t="s">
        <v>4</v>
      </c>
      <c r="PSW8" s="5" t="s">
        <v>0</v>
      </c>
      <c r="PSX8" s="1181" t="s">
        <v>15</v>
      </c>
      <c r="PSY8" s="1181"/>
      <c r="PSZ8" s="4" t="s">
        <v>4</v>
      </c>
      <c r="PTA8" s="5" t="s">
        <v>5</v>
      </c>
      <c r="PTB8" s="1181" t="s">
        <v>15</v>
      </c>
      <c r="PTC8" s="1181"/>
      <c r="PTD8" s="5" t="s">
        <v>4</v>
      </c>
      <c r="PTE8" s="5" t="s">
        <v>0</v>
      </c>
      <c r="PTF8" s="1181" t="s">
        <v>15</v>
      </c>
      <c r="PTG8" s="1181"/>
      <c r="PTH8" s="4" t="s">
        <v>4</v>
      </c>
      <c r="PTI8" s="5" t="s">
        <v>5</v>
      </c>
      <c r="PTJ8" s="1181" t="s">
        <v>15</v>
      </c>
      <c r="PTK8" s="1181"/>
      <c r="PTL8" s="5" t="s">
        <v>4</v>
      </c>
      <c r="PTM8" s="5" t="s">
        <v>0</v>
      </c>
      <c r="PTN8" s="1181" t="s">
        <v>15</v>
      </c>
      <c r="PTO8" s="1181"/>
      <c r="PTP8" s="4" t="s">
        <v>4</v>
      </c>
      <c r="PTQ8" s="5" t="s">
        <v>5</v>
      </c>
      <c r="PTR8" s="1181" t="s">
        <v>15</v>
      </c>
      <c r="PTS8" s="1181"/>
      <c r="PTT8" s="5" t="s">
        <v>4</v>
      </c>
      <c r="PTU8" s="5" t="s">
        <v>0</v>
      </c>
      <c r="PTV8" s="1181" t="s">
        <v>15</v>
      </c>
      <c r="PTW8" s="1181"/>
      <c r="PTX8" s="4" t="s">
        <v>4</v>
      </c>
      <c r="PTY8" s="5" t="s">
        <v>5</v>
      </c>
      <c r="PTZ8" s="1181" t="s">
        <v>15</v>
      </c>
      <c r="PUA8" s="1181"/>
      <c r="PUB8" s="5" t="s">
        <v>4</v>
      </c>
      <c r="PUC8" s="5" t="s">
        <v>0</v>
      </c>
      <c r="PUD8" s="1181" t="s">
        <v>15</v>
      </c>
      <c r="PUE8" s="1181"/>
      <c r="PUF8" s="4" t="s">
        <v>4</v>
      </c>
      <c r="PUG8" s="5" t="s">
        <v>5</v>
      </c>
      <c r="PUH8" s="1181" t="s">
        <v>15</v>
      </c>
      <c r="PUI8" s="1181"/>
      <c r="PUJ8" s="5" t="s">
        <v>4</v>
      </c>
      <c r="PUK8" s="5" t="s">
        <v>0</v>
      </c>
      <c r="PUL8" s="1181" t="s">
        <v>15</v>
      </c>
      <c r="PUM8" s="1181"/>
      <c r="PUN8" s="4" t="s">
        <v>4</v>
      </c>
      <c r="PUO8" s="5" t="s">
        <v>5</v>
      </c>
      <c r="PUP8" s="1181" t="s">
        <v>15</v>
      </c>
      <c r="PUQ8" s="1181"/>
      <c r="PUR8" s="5" t="s">
        <v>4</v>
      </c>
      <c r="PUS8" s="5" t="s">
        <v>0</v>
      </c>
      <c r="PUT8" s="1181" t="s">
        <v>15</v>
      </c>
      <c r="PUU8" s="1181"/>
      <c r="PUV8" s="4" t="s">
        <v>4</v>
      </c>
      <c r="PUW8" s="5" t="s">
        <v>5</v>
      </c>
      <c r="PUX8" s="1181" t="s">
        <v>15</v>
      </c>
      <c r="PUY8" s="1181"/>
      <c r="PUZ8" s="5" t="s">
        <v>4</v>
      </c>
      <c r="PVA8" s="5" t="s">
        <v>0</v>
      </c>
      <c r="PVB8" s="1181" t="s">
        <v>15</v>
      </c>
      <c r="PVC8" s="1181"/>
      <c r="PVD8" s="4" t="s">
        <v>4</v>
      </c>
      <c r="PVE8" s="5" t="s">
        <v>5</v>
      </c>
      <c r="PVF8" s="1181" t="s">
        <v>15</v>
      </c>
      <c r="PVG8" s="1181"/>
      <c r="PVH8" s="5" t="s">
        <v>4</v>
      </c>
      <c r="PVI8" s="5" t="s">
        <v>0</v>
      </c>
      <c r="PVJ8" s="1181" t="s">
        <v>15</v>
      </c>
      <c r="PVK8" s="1181"/>
      <c r="PVL8" s="4" t="s">
        <v>4</v>
      </c>
      <c r="PVM8" s="5" t="s">
        <v>5</v>
      </c>
      <c r="PVN8" s="1181" t="s">
        <v>15</v>
      </c>
      <c r="PVO8" s="1181"/>
      <c r="PVP8" s="5" t="s">
        <v>4</v>
      </c>
      <c r="PVQ8" s="5" t="s">
        <v>0</v>
      </c>
      <c r="PVR8" s="1181" t="s">
        <v>15</v>
      </c>
      <c r="PVS8" s="1181"/>
      <c r="PVT8" s="4" t="s">
        <v>4</v>
      </c>
      <c r="PVU8" s="5" t="s">
        <v>5</v>
      </c>
      <c r="PVV8" s="1181" t="s">
        <v>15</v>
      </c>
      <c r="PVW8" s="1181"/>
      <c r="PVX8" s="5" t="s">
        <v>4</v>
      </c>
      <c r="PVY8" s="5" t="s">
        <v>0</v>
      </c>
      <c r="PVZ8" s="1181" t="s">
        <v>15</v>
      </c>
      <c r="PWA8" s="1181"/>
      <c r="PWB8" s="4" t="s">
        <v>4</v>
      </c>
      <c r="PWC8" s="5" t="s">
        <v>5</v>
      </c>
      <c r="PWD8" s="1181" t="s">
        <v>15</v>
      </c>
      <c r="PWE8" s="1181"/>
      <c r="PWF8" s="5" t="s">
        <v>4</v>
      </c>
      <c r="PWG8" s="5" t="s">
        <v>0</v>
      </c>
      <c r="PWH8" s="1181" t="s">
        <v>15</v>
      </c>
      <c r="PWI8" s="1181"/>
      <c r="PWJ8" s="4" t="s">
        <v>4</v>
      </c>
      <c r="PWK8" s="5" t="s">
        <v>5</v>
      </c>
      <c r="PWL8" s="1181" t="s">
        <v>15</v>
      </c>
      <c r="PWM8" s="1181"/>
      <c r="PWN8" s="5" t="s">
        <v>4</v>
      </c>
      <c r="PWO8" s="5" t="s">
        <v>0</v>
      </c>
      <c r="PWP8" s="1181" t="s">
        <v>15</v>
      </c>
      <c r="PWQ8" s="1181"/>
      <c r="PWR8" s="4" t="s">
        <v>4</v>
      </c>
      <c r="PWS8" s="5" t="s">
        <v>5</v>
      </c>
      <c r="PWT8" s="1181" t="s">
        <v>15</v>
      </c>
      <c r="PWU8" s="1181"/>
      <c r="PWV8" s="5" t="s">
        <v>4</v>
      </c>
      <c r="PWW8" s="5" t="s">
        <v>0</v>
      </c>
      <c r="PWX8" s="1181" t="s">
        <v>15</v>
      </c>
      <c r="PWY8" s="1181"/>
      <c r="PWZ8" s="4" t="s">
        <v>4</v>
      </c>
      <c r="PXA8" s="5" t="s">
        <v>5</v>
      </c>
      <c r="PXB8" s="1181" t="s">
        <v>15</v>
      </c>
      <c r="PXC8" s="1181"/>
      <c r="PXD8" s="5" t="s">
        <v>4</v>
      </c>
      <c r="PXE8" s="5" t="s">
        <v>0</v>
      </c>
      <c r="PXF8" s="1181" t="s">
        <v>15</v>
      </c>
      <c r="PXG8" s="1181"/>
      <c r="PXH8" s="4" t="s">
        <v>4</v>
      </c>
      <c r="PXI8" s="5" t="s">
        <v>5</v>
      </c>
      <c r="PXJ8" s="1181" t="s">
        <v>15</v>
      </c>
      <c r="PXK8" s="1181"/>
      <c r="PXL8" s="5" t="s">
        <v>4</v>
      </c>
      <c r="PXM8" s="5" t="s">
        <v>0</v>
      </c>
      <c r="PXN8" s="1181" t="s">
        <v>15</v>
      </c>
      <c r="PXO8" s="1181"/>
      <c r="PXP8" s="4" t="s">
        <v>4</v>
      </c>
      <c r="PXQ8" s="5" t="s">
        <v>5</v>
      </c>
      <c r="PXR8" s="1181" t="s">
        <v>15</v>
      </c>
      <c r="PXS8" s="1181"/>
      <c r="PXT8" s="5" t="s">
        <v>4</v>
      </c>
      <c r="PXU8" s="5" t="s">
        <v>0</v>
      </c>
      <c r="PXV8" s="1181" t="s">
        <v>15</v>
      </c>
      <c r="PXW8" s="1181"/>
      <c r="PXX8" s="4" t="s">
        <v>4</v>
      </c>
      <c r="PXY8" s="5" t="s">
        <v>5</v>
      </c>
      <c r="PXZ8" s="1181" t="s">
        <v>15</v>
      </c>
      <c r="PYA8" s="1181"/>
      <c r="PYB8" s="5" t="s">
        <v>4</v>
      </c>
      <c r="PYC8" s="5" t="s">
        <v>0</v>
      </c>
      <c r="PYD8" s="1181" t="s">
        <v>15</v>
      </c>
      <c r="PYE8" s="1181"/>
      <c r="PYF8" s="4" t="s">
        <v>4</v>
      </c>
      <c r="PYG8" s="5" t="s">
        <v>5</v>
      </c>
      <c r="PYH8" s="1181" t="s">
        <v>15</v>
      </c>
      <c r="PYI8" s="1181"/>
      <c r="PYJ8" s="5" t="s">
        <v>4</v>
      </c>
      <c r="PYK8" s="5" t="s">
        <v>0</v>
      </c>
      <c r="PYL8" s="1181" t="s">
        <v>15</v>
      </c>
      <c r="PYM8" s="1181"/>
      <c r="PYN8" s="4" t="s">
        <v>4</v>
      </c>
      <c r="PYO8" s="5" t="s">
        <v>5</v>
      </c>
      <c r="PYP8" s="1181" t="s">
        <v>15</v>
      </c>
      <c r="PYQ8" s="1181"/>
      <c r="PYR8" s="5" t="s">
        <v>4</v>
      </c>
      <c r="PYS8" s="5" t="s">
        <v>0</v>
      </c>
      <c r="PYT8" s="1181" t="s">
        <v>15</v>
      </c>
      <c r="PYU8" s="1181"/>
      <c r="PYV8" s="4" t="s">
        <v>4</v>
      </c>
      <c r="PYW8" s="5" t="s">
        <v>5</v>
      </c>
      <c r="PYX8" s="1181" t="s">
        <v>15</v>
      </c>
      <c r="PYY8" s="1181"/>
      <c r="PYZ8" s="5" t="s">
        <v>4</v>
      </c>
      <c r="PZA8" s="5" t="s">
        <v>0</v>
      </c>
      <c r="PZB8" s="1181" t="s">
        <v>15</v>
      </c>
      <c r="PZC8" s="1181"/>
      <c r="PZD8" s="4" t="s">
        <v>4</v>
      </c>
      <c r="PZE8" s="5" t="s">
        <v>5</v>
      </c>
      <c r="PZF8" s="1181" t="s">
        <v>15</v>
      </c>
      <c r="PZG8" s="1181"/>
      <c r="PZH8" s="5" t="s">
        <v>4</v>
      </c>
      <c r="PZI8" s="5" t="s">
        <v>0</v>
      </c>
      <c r="PZJ8" s="1181" t="s">
        <v>15</v>
      </c>
      <c r="PZK8" s="1181"/>
      <c r="PZL8" s="4" t="s">
        <v>4</v>
      </c>
      <c r="PZM8" s="5" t="s">
        <v>5</v>
      </c>
      <c r="PZN8" s="1181" t="s">
        <v>15</v>
      </c>
      <c r="PZO8" s="1181"/>
      <c r="PZP8" s="5" t="s">
        <v>4</v>
      </c>
      <c r="PZQ8" s="5" t="s">
        <v>0</v>
      </c>
      <c r="PZR8" s="1181" t="s">
        <v>15</v>
      </c>
      <c r="PZS8" s="1181"/>
      <c r="PZT8" s="4" t="s">
        <v>4</v>
      </c>
      <c r="PZU8" s="5" t="s">
        <v>5</v>
      </c>
      <c r="PZV8" s="1181" t="s">
        <v>15</v>
      </c>
      <c r="PZW8" s="1181"/>
      <c r="PZX8" s="5" t="s">
        <v>4</v>
      </c>
      <c r="PZY8" s="5" t="s">
        <v>0</v>
      </c>
      <c r="PZZ8" s="1181" t="s">
        <v>15</v>
      </c>
      <c r="QAA8" s="1181"/>
      <c r="QAB8" s="4" t="s">
        <v>4</v>
      </c>
      <c r="QAC8" s="5" t="s">
        <v>5</v>
      </c>
      <c r="QAD8" s="1181" t="s">
        <v>15</v>
      </c>
      <c r="QAE8" s="1181"/>
      <c r="QAF8" s="5" t="s">
        <v>4</v>
      </c>
      <c r="QAG8" s="5" t="s">
        <v>0</v>
      </c>
      <c r="QAH8" s="1181" t="s">
        <v>15</v>
      </c>
      <c r="QAI8" s="1181"/>
      <c r="QAJ8" s="4" t="s">
        <v>4</v>
      </c>
      <c r="QAK8" s="5" t="s">
        <v>5</v>
      </c>
      <c r="QAL8" s="1181" t="s">
        <v>15</v>
      </c>
      <c r="QAM8" s="1181"/>
      <c r="QAN8" s="5" t="s">
        <v>4</v>
      </c>
      <c r="QAO8" s="5" t="s">
        <v>0</v>
      </c>
      <c r="QAP8" s="1181" t="s">
        <v>15</v>
      </c>
      <c r="QAQ8" s="1181"/>
      <c r="QAR8" s="4" t="s">
        <v>4</v>
      </c>
      <c r="QAS8" s="5" t="s">
        <v>5</v>
      </c>
      <c r="QAT8" s="1181" t="s">
        <v>15</v>
      </c>
      <c r="QAU8" s="1181"/>
      <c r="QAV8" s="5" t="s">
        <v>4</v>
      </c>
      <c r="QAW8" s="5" t="s">
        <v>0</v>
      </c>
      <c r="QAX8" s="1181" t="s">
        <v>15</v>
      </c>
      <c r="QAY8" s="1181"/>
      <c r="QAZ8" s="4" t="s">
        <v>4</v>
      </c>
      <c r="QBA8" s="5" t="s">
        <v>5</v>
      </c>
      <c r="QBB8" s="1181" t="s">
        <v>15</v>
      </c>
      <c r="QBC8" s="1181"/>
      <c r="QBD8" s="5" t="s">
        <v>4</v>
      </c>
      <c r="QBE8" s="5" t="s">
        <v>0</v>
      </c>
      <c r="QBF8" s="1181" t="s">
        <v>15</v>
      </c>
      <c r="QBG8" s="1181"/>
      <c r="QBH8" s="4" t="s">
        <v>4</v>
      </c>
      <c r="QBI8" s="5" t="s">
        <v>5</v>
      </c>
      <c r="QBJ8" s="1181" t="s">
        <v>15</v>
      </c>
      <c r="QBK8" s="1181"/>
      <c r="QBL8" s="5" t="s">
        <v>4</v>
      </c>
      <c r="QBM8" s="5" t="s">
        <v>0</v>
      </c>
      <c r="QBN8" s="1181" t="s">
        <v>15</v>
      </c>
      <c r="QBO8" s="1181"/>
      <c r="QBP8" s="4" t="s">
        <v>4</v>
      </c>
      <c r="QBQ8" s="5" t="s">
        <v>5</v>
      </c>
      <c r="QBR8" s="1181" t="s">
        <v>15</v>
      </c>
      <c r="QBS8" s="1181"/>
      <c r="QBT8" s="5" t="s">
        <v>4</v>
      </c>
      <c r="QBU8" s="5" t="s">
        <v>0</v>
      </c>
      <c r="QBV8" s="1181" t="s">
        <v>15</v>
      </c>
      <c r="QBW8" s="1181"/>
      <c r="QBX8" s="4" t="s">
        <v>4</v>
      </c>
      <c r="QBY8" s="5" t="s">
        <v>5</v>
      </c>
      <c r="QBZ8" s="1181" t="s">
        <v>15</v>
      </c>
      <c r="QCA8" s="1181"/>
      <c r="QCB8" s="5" t="s">
        <v>4</v>
      </c>
      <c r="QCC8" s="5" t="s">
        <v>0</v>
      </c>
      <c r="QCD8" s="1181" t="s">
        <v>15</v>
      </c>
      <c r="QCE8" s="1181"/>
      <c r="QCF8" s="4" t="s">
        <v>4</v>
      </c>
      <c r="QCG8" s="5" t="s">
        <v>5</v>
      </c>
      <c r="QCH8" s="1181" t="s">
        <v>15</v>
      </c>
      <c r="QCI8" s="1181"/>
      <c r="QCJ8" s="5" t="s">
        <v>4</v>
      </c>
      <c r="QCK8" s="5" t="s">
        <v>0</v>
      </c>
      <c r="QCL8" s="1181" t="s">
        <v>15</v>
      </c>
      <c r="QCM8" s="1181"/>
      <c r="QCN8" s="4" t="s">
        <v>4</v>
      </c>
      <c r="QCO8" s="5" t="s">
        <v>5</v>
      </c>
      <c r="QCP8" s="1181" t="s">
        <v>15</v>
      </c>
      <c r="QCQ8" s="1181"/>
      <c r="QCR8" s="5" t="s">
        <v>4</v>
      </c>
      <c r="QCS8" s="5" t="s">
        <v>0</v>
      </c>
      <c r="QCT8" s="1181" t="s">
        <v>15</v>
      </c>
      <c r="QCU8" s="1181"/>
      <c r="QCV8" s="4" t="s">
        <v>4</v>
      </c>
      <c r="QCW8" s="5" t="s">
        <v>5</v>
      </c>
      <c r="QCX8" s="1181" t="s">
        <v>15</v>
      </c>
      <c r="QCY8" s="1181"/>
      <c r="QCZ8" s="5" t="s">
        <v>4</v>
      </c>
      <c r="QDA8" s="5" t="s">
        <v>0</v>
      </c>
      <c r="QDB8" s="1181" t="s">
        <v>15</v>
      </c>
      <c r="QDC8" s="1181"/>
      <c r="QDD8" s="4" t="s">
        <v>4</v>
      </c>
      <c r="QDE8" s="5" t="s">
        <v>5</v>
      </c>
      <c r="QDF8" s="1181" t="s">
        <v>15</v>
      </c>
      <c r="QDG8" s="1181"/>
      <c r="QDH8" s="5" t="s">
        <v>4</v>
      </c>
      <c r="QDI8" s="5" t="s">
        <v>0</v>
      </c>
      <c r="QDJ8" s="1181" t="s">
        <v>15</v>
      </c>
      <c r="QDK8" s="1181"/>
      <c r="QDL8" s="4" t="s">
        <v>4</v>
      </c>
      <c r="QDM8" s="5" t="s">
        <v>5</v>
      </c>
      <c r="QDN8" s="1181" t="s">
        <v>15</v>
      </c>
      <c r="QDO8" s="1181"/>
      <c r="QDP8" s="5" t="s">
        <v>4</v>
      </c>
      <c r="QDQ8" s="5" t="s">
        <v>0</v>
      </c>
      <c r="QDR8" s="1181" t="s">
        <v>15</v>
      </c>
      <c r="QDS8" s="1181"/>
      <c r="QDT8" s="4" t="s">
        <v>4</v>
      </c>
      <c r="QDU8" s="5" t="s">
        <v>5</v>
      </c>
      <c r="QDV8" s="1181" t="s">
        <v>15</v>
      </c>
      <c r="QDW8" s="1181"/>
      <c r="QDX8" s="5" t="s">
        <v>4</v>
      </c>
      <c r="QDY8" s="5" t="s">
        <v>0</v>
      </c>
      <c r="QDZ8" s="1181" t="s">
        <v>15</v>
      </c>
      <c r="QEA8" s="1181"/>
      <c r="QEB8" s="4" t="s">
        <v>4</v>
      </c>
      <c r="QEC8" s="5" t="s">
        <v>5</v>
      </c>
      <c r="QED8" s="1181" t="s">
        <v>15</v>
      </c>
      <c r="QEE8" s="1181"/>
      <c r="QEF8" s="5" t="s">
        <v>4</v>
      </c>
      <c r="QEG8" s="5" t="s">
        <v>0</v>
      </c>
      <c r="QEH8" s="1181" t="s">
        <v>15</v>
      </c>
      <c r="QEI8" s="1181"/>
      <c r="QEJ8" s="4" t="s">
        <v>4</v>
      </c>
      <c r="QEK8" s="5" t="s">
        <v>5</v>
      </c>
      <c r="QEL8" s="1181" t="s">
        <v>15</v>
      </c>
      <c r="QEM8" s="1181"/>
      <c r="QEN8" s="5" t="s">
        <v>4</v>
      </c>
      <c r="QEO8" s="5" t="s">
        <v>0</v>
      </c>
      <c r="QEP8" s="1181" t="s">
        <v>15</v>
      </c>
      <c r="QEQ8" s="1181"/>
      <c r="QER8" s="4" t="s">
        <v>4</v>
      </c>
      <c r="QES8" s="5" t="s">
        <v>5</v>
      </c>
      <c r="QET8" s="1181" t="s">
        <v>15</v>
      </c>
      <c r="QEU8" s="1181"/>
      <c r="QEV8" s="5" t="s">
        <v>4</v>
      </c>
      <c r="QEW8" s="5" t="s">
        <v>0</v>
      </c>
      <c r="QEX8" s="1181" t="s">
        <v>15</v>
      </c>
      <c r="QEY8" s="1181"/>
      <c r="QEZ8" s="4" t="s">
        <v>4</v>
      </c>
      <c r="QFA8" s="5" t="s">
        <v>5</v>
      </c>
      <c r="QFB8" s="1181" t="s">
        <v>15</v>
      </c>
      <c r="QFC8" s="1181"/>
      <c r="QFD8" s="5" t="s">
        <v>4</v>
      </c>
      <c r="QFE8" s="5" t="s">
        <v>0</v>
      </c>
      <c r="QFF8" s="1181" t="s">
        <v>15</v>
      </c>
      <c r="QFG8" s="1181"/>
      <c r="QFH8" s="4" t="s">
        <v>4</v>
      </c>
      <c r="QFI8" s="5" t="s">
        <v>5</v>
      </c>
      <c r="QFJ8" s="1181" t="s">
        <v>15</v>
      </c>
      <c r="QFK8" s="1181"/>
      <c r="QFL8" s="5" t="s">
        <v>4</v>
      </c>
      <c r="QFM8" s="5" t="s">
        <v>0</v>
      </c>
      <c r="QFN8" s="1181" t="s">
        <v>15</v>
      </c>
      <c r="QFO8" s="1181"/>
      <c r="QFP8" s="4" t="s">
        <v>4</v>
      </c>
      <c r="QFQ8" s="5" t="s">
        <v>5</v>
      </c>
      <c r="QFR8" s="1181" t="s">
        <v>15</v>
      </c>
      <c r="QFS8" s="1181"/>
      <c r="QFT8" s="5" t="s">
        <v>4</v>
      </c>
      <c r="QFU8" s="5" t="s">
        <v>0</v>
      </c>
      <c r="QFV8" s="1181" t="s">
        <v>15</v>
      </c>
      <c r="QFW8" s="1181"/>
      <c r="QFX8" s="4" t="s">
        <v>4</v>
      </c>
      <c r="QFY8" s="5" t="s">
        <v>5</v>
      </c>
      <c r="QFZ8" s="1181" t="s">
        <v>15</v>
      </c>
      <c r="QGA8" s="1181"/>
      <c r="QGB8" s="5" t="s">
        <v>4</v>
      </c>
      <c r="QGC8" s="5" t="s">
        <v>0</v>
      </c>
      <c r="QGD8" s="1181" t="s">
        <v>15</v>
      </c>
      <c r="QGE8" s="1181"/>
      <c r="QGF8" s="4" t="s">
        <v>4</v>
      </c>
      <c r="QGG8" s="5" t="s">
        <v>5</v>
      </c>
      <c r="QGH8" s="1181" t="s">
        <v>15</v>
      </c>
      <c r="QGI8" s="1181"/>
      <c r="QGJ8" s="5" t="s">
        <v>4</v>
      </c>
      <c r="QGK8" s="5" t="s">
        <v>0</v>
      </c>
      <c r="QGL8" s="1181" t="s">
        <v>15</v>
      </c>
      <c r="QGM8" s="1181"/>
      <c r="QGN8" s="4" t="s">
        <v>4</v>
      </c>
      <c r="QGO8" s="5" t="s">
        <v>5</v>
      </c>
      <c r="QGP8" s="1181" t="s">
        <v>15</v>
      </c>
      <c r="QGQ8" s="1181"/>
      <c r="QGR8" s="5" t="s">
        <v>4</v>
      </c>
      <c r="QGS8" s="5" t="s">
        <v>0</v>
      </c>
      <c r="QGT8" s="1181" t="s">
        <v>15</v>
      </c>
      <c r="QGU8" s="1181"/>
      <c r="QGV8" s="4" t="s">
        <v>4</v>
      </c>
      <c r="QGW8" s="5" t="s">
        <v>5</v>
      </c>
      <c r="QGX8" s="1181" t="s">
        <v>15</v>
      </c>
      <c r="QGY8" s="1181"/>
      <c r="QGZ8" s="5" t="s">
        <v>4</v>
      </c>
      <c r="QHA8" s="5" t="s">
        <v>0</v>
      </c>
      <c r="QHB8" s="1181" t="s">
        <v>15</v>
      </c>
      <c r="QHC8" s="1181"/>
      <c r="QHD8" s="4" t="s">
        <v>4</v>
      </c>
      <c r="QHE8" s="5" t="s">
        <v>5</v>
      </c>
      <c r="QHF8" s="1181" t="s">
        <v>15</v>
      </c>
      <c r="QHG8" s="1181"/>
      <c r="QHH8" s="5" t="s">
        <v>4</v>
      </c>
      <c r="QHI8" s="5" t="s">
        <v>0</v>
      </c>
      <c r="QHJ8" s="1181" t="s">
        <v>15</v>
      </c>
      <c r="QHK8" s="1181"/>
      <c r="QHL8" s="4" t="s">
        <v>4</v>
      </c>
      <c r="QHM8" s="5" t="s">
        <v>5</v>
      </c>
      <c r="QHN8" s="1181" t="s">
        <v>15</v>
      </c>
      <c r="QHO8" s="1181"/>
      <c r="QHP8" s="5" t="s">
        <v>4</v>
      </c>
      <c r="QHQ8" s="5" t="s">
        <v>0</v>
      </c>
      <c r="QHR8" s="1181" t="s">
        <v>15</v>
      </c>
      <c r="QHS8" s="1181"/>
      <c r="QHT8" s="4" t="s">
        <v>4</v>
      </c>
      <c r="QHU8" s="5" t="s">
        <v>5</v>
      </c>
      <c r="QHV8" s="1181" t="s">
        <v>15</v>
      </c>
      <c r="QHW8" s="1181"/>
      <c r="QHX8" s="5" t="s">
        <v>4</v>
      </c>
      <c r="QHY8" s="5" t="s">
        <v>0</v>
      </c>
      <c r="QHZ8" s="1181" t="s">
        <v>15</v>
      </c>
      <c r="QIA8" s="1181"/>
      <c r="QIB8" s="4" t="s">
        <v>4</v>
      </c>
      <c r="QIC8" s="5" t="s">
        <v>5</v>
      </c>
      <c r="QID8" s="1181" t="s">
        <v>15</v>
      </c>
      <c r="QIE8" s="1181"/>
      <c r="QIF8" s="5" t="s">
        <v>4</v>
      </c>
      <c r="QIG8" s="5" t="s">
        <v>0</v>
      </c>
      <c r="QIH8" s="1181" t="s">
        <v>15</v>
      </c>
      <c r="QII8" s="1181"/>
      <c r="QIJ8" s="4" t="s">
        <v>4</v>
      </c>
      <c r="QIK8" s="5" t="s">
        <v>5</v>
      </c>
      <c r="QIL8" s="1181" t="s">
        <v>15</v>
      </c>
      <c r="QIM8" s="1181"/>
      <c r="QIN8" s="5" t="s">
        <v>4</v>
      </c>
      <c r="QIO8" s="5" t="s">
        <v>0</v>
      </c>
      <c r="QIP8" s="1181" t="s">
        <v>15</v>
      </c>
      <c r="QIQ8" s="1181"/>
      <c r="QIR8" s="4" t="s">
        <v>4</v>
      </c>
      <c r="QIS8" s="5" t="s">
        <v>5</v>
      </c>
      <c r="QIT8" s="1181" t="s">
        <v>15</v>
      </c>
      <c r="QIU8" s="1181"/>
      <c r="QIV8" s="5" t="s">
        <v>4</v>
      </c>
      <c r="QIW8" s="5" t="s">
        <v>0</v>
      </c>
      <c r="QIX8" s="1181" t="s">
        <v>15</v>
      </c>
      <c r="QIY8" s="1181"/>
      <c r="QIZ8" s="4" t="s">
        <v>4</v>
      </c>
      <c r="QJA8" s="5" t="s">
        <v>5</v>
      </c>
      <c r="QJB8" s="1181" t="s">
        <v>15</v>
      </c>
      <c r="QJC8" s="1181"/>
      <c r="QJD8" s="5" t="s">
        <v>4</v>
      </c>
      <c r="QJE8" s="5" t="s">
        <v>0</v>
      </c>
      <c r="QJF8" s="1181" t="s">
        <v>15</v>
      </c>
      <c r="QJG8" s="1181"/>
      <c r="QJH8" s="4" t="s">
        <v>4</v>
      </c>
      <c r="QJI8" s="5" t="s">
        <v>5</v>
      </c>
      <c r="QJJ8" s="1181" t="s">
        <v>15</v>
      </c>
      <c r="QJK8" s="1181"/>
      <c r="QJL8" s="5" t="s">
        <v>4</v>
      </c>
      <c r="QJM8" s="5" t="s">
        <v>0</v>
      </c>
      <c r="QJN8" s="1181" t="s">
        <v>15</v>
      </c>
      <c r="QJO8" s="1181"/>
      <c r="QJP8" s="4" t="s">
        <v>4</v>
      </c>
      <c r="QJQ8" s="5" t="s">
        <v>5</v>
      </c>
      <c r="QJR8" s="1181" t="s">
        <v>15</v>
      </c>
      <c r="QJS8" s="1181"/>
      <c r="QJT8" s="5" t="s">
        <v>4</v>
      </c>
      <c r="QJU8" s="5" t="s">
        <v>0</v>
      </c>
      <c r="QJV8" s="1181" t="s">
        <v>15</v>
      </c>
      <c r="QJW8" s="1181"/>
      <c r="QJX8" s="4" t="s">
        <v>4</v>
      </c>
      <c r="QJY8" s="5" t="s">
        <v>5</v>
      </c>
      <c r="QJZ8" s="1181" t="s">
        <v>15</v>
      </c>
      <c r="QKA8" s="1181"/>
      <c r="QKB8" s="5" t="s">
        <v>4</v>
      </c>
      <c r="QKC8" s="5" t="s">
        <v>0</v>
      </c>
      <c r="QKD8" s="1181" t="s">
        <v>15</v>
      </c>
      <c r="QKE8" s="1181"/>
      <c r="QKF8" s="4" t="s">
        <v>4</v>
      </c>
      <c r="QKG8" s="5" t="s">
        <v>5</v>
      </c>
      <c r="QKH8" s="1181" t="s">
        <v>15</v>
      </c>
      <c r="QKI8" s="1181"/>
      <c r="QKJ8" s="5" t="s">
        <v>4</v>
      </c>
      <c r="QKK8" s="5" t="s">
        <v>0</v>
      </c>
      <c r="QKL8" s="1181" t="s">
        <v>15</v>
      </c>
      <c r="QKM8" s="1181"/>
      <c r="QKN8" s="4" t="s">
        <v>4</v>
      </c>
      <c r="QKO8" s="5" t="s">
        <v>5</v>
      </c>
      <c r="QKP8" s="1181" t="s">
        <v>15</v>
      </c>
      <c r="QKQ8" s="1181"/>
      <c r="QKR8" s="5" t="s">
        <v>4</v>
      </c>
      <c r="QKS8" s="5" t="s">
        <v>0</v>
      </c>
      <c r="QKT8" s="1181" t="s">
        <v>15</v>
      </c>
      <c r="QKU8" s="1181"/>
      <c r="QKV8" s="4" t="s">
        <v>4</v>
      </c>
      <c r="QKW8" s="5" t="s">
        <v>5</v>
      </c>
      <c r="QKX8" s="1181" t="s">
        <v>15</v>
      </c>
      <c r="QKY8" s="1181"/>
      <c r="QKZ8" s="5" t="s">
        <v>4</v>
      </c>
      <c r="QLA8" s="5" t="s">
        <v>0</v>
      </c>
      <c r="QLB8" s="1181" t="s">
        <v>15</v>
      </c>
      <c r="QLC8" s="1181"/>
      <c r="QLD8" s="4" t="s">
        <v>4</v>
      </c>
      <c r="QLE8" s="5" t="s">
        <v>5</v>
      </c>
      <c r="QLF8" s="1181" t="s">
        <v>15</v>
      </c>
      <c r="QLG8" s="1181"/>
      <c r="QLH8" s="5" t="s">
        <v>4</v>
      </c>
      <c r="QLI8" s="5" t="s">
        <v>0</v>
      </c>
      <c r="QLJ8" s="1181" t="s">
        <v>15</v>
      </c>
      <c r="QLK8" s="1181"/>
      <c r="QLL8" s="4" t="s">
        <v>4</v>
      </c>
      <c r="QLM8" s="5" t="s">
        <v>5</v>
      </c>
      <c r="QLN8" s="1181" t="s">
        <v>15</v>
      </c>
      <c r="QLO8" s="1181"/>
      <c r="QLP8" s="5" t="s">
        <v>4</v>
      </c>
      <c r="QLQ8" s="5" t="s">
        <v>0</v>
      </c>
      <c r="QLR8" s="1181" t="s">
        <v>15</v>
      </c>
      <c r="QLS8" s="1181"/>
      <c r="QLT8" s="4" t="s">
        <v>4</v>
      </c>
      <c r="QLU8" s="5" t="s">
        <v>5</v>
      </c>
      <c r="QLV8" s="1181" t="s">
        <v>15</v>
      </c>
      <c r="QLW8" s="1181"/>
      <c r="QLX8" s="5" t="s">
        <v>4</v>
      </c>
      <c r="QLY8" s="5" t="s">
        <v>0</v>
      </c>
      <c r="QLZ8" s="1181" t="s">
        <v>15</v>
      </c>
      <c r="QMA8" s="1181"/>
      <c r="QMB8" s="4" t="s">
        <v>4</v>
      </c>
      <c r="QMC8" s="5" t="s">
        <v>5</v>
      </c>
      <c r="QMD8" s="1181" t="s">
        <v>15</v>
      </c>
      <c r="QME8" s="1181"/>
      <c r="QMF8" s="5" t="s">
        <v>4</v>
      </c>
      <c r="QMG8" s="5" t="s">
        <v>0</v>
      </c>
      <c r="QMH8" s="1181" t="s">
        <v>15</v>
      </c>
      <c r="QMI8" s="1181"/>
      <c r="QMJ8" s="4" t="s">
        <v>4</v>
      </c>
      <c r="QMK8" s="5" t="s">
        <v>5</v>
      </c>
      <c r="QML8" s="1181" t="s">
        <v>15</v>
      </c>
      <c r="QMM8" s="1181"/>
      <c r="QMN8" s="5" t="s">
        <v>4</v>
      </c>
      <c r="QMO8" s="5" t="s">
        <v>0</v>
      </c>
      <c r="QMP8" s="1181" t="s">
        <v>15</v>
      </c>
      <c r="QMQ8" s="1181"/>
      <c r="QMR8" s="4" t="s">
        <v>4</v>
      </c>
      <c r="QMS8" s="5" t="s">
        <v>5</v>
      </c>
      <c r="QMT8" s="1181" t="s">
        <v>15</v>
      </c>
      <c r="QMU8" s="1181"/>
      <c r="QMV8" s="5" t="s">
        <v>4</v>
      </c>
      <c r="QMW8" s="5" t="s">
        <v>0</v>
      </c>
      <c r="QMX8" s="1181" t="s">
        <v>15</v>
      </c>
      <c r="QMY8" s="1181"/>
      <c r="QMZ8" s="4" t="s">
        <v>4</v>
      </c>
      <c r="QNA8" s="5" t="s">
        <v>5</v>
      </c>
      <c r="QNB8" s="1181" t="s">
        <v>15</v>
      </c>
      <c r="QNC8" s="1181"/>
      <c r="QND8" s="5" t="s">
        <v>4</v>
      </c>
      <c r="QNE8" s="5" t="s">
        <v>0</v>
      </c>
      <c r="QNF8" s="1181" t="s">
        <v>15</v>
      </c>
      <c r="QNG8" s="1181"/>
      <c r="QNH8" s="4" t="s">
        <v>4</v>
      </c>
      <c r="QNI8" s="5" t="s">
        <v>5</v>
      </c>
      <c r="QNJ8" s="1181" t="s">
        <v>15</v>
      </c>
      <c r="QNK8" s="1181"/>
      <c r="QNL8" s="5" t="s">
        <v>4</v>
      </c>
      <c r="QNM8" s="5" t="s">
        <v>0</v>
      </c>
      <c r="QNN8" s="1181" t="s">
        <v>15</v>
      </c>
      <c r="QNO8" s="1181"/>
      <c r="QNP8" s="4" t="s">
        <v>4</v>
      </c>
      <c r="QNQ8" s="5" t="s">
        <v>5</v>
      </c>
      <c r="QNR8" s="1181" t="s">
        <v>15</v>
      </c>
      <c r="QNS8" s="1181"/>
      <c r="QNT8" s="5" t="s">
        <v>4</v>
      </c>
      <c r="QNU8" s="5" t="s">
        <v>0</v>
      </c>
      <c r="QNV8" s="1181" t="s">
        <v>15</v>
      </c>
      <c r="QNW8" s="1181"/>
      <c r="QNX8" s="4" t="s">
        <v>4</v>
      </c>
      <c r="QNY8" s="5" t="s">
        <v>5</v>
      </c>
      <c r="QNZ8" s="1181" t="s">
        <v>15</v>
      </c>
      <c r="QOA8" s="1181"/>
      <c r="QOB8" s="5" t="s">
        <v>4</v>
      </c>
      <c r="QOC8" s="5" t="s">
        <v>0</v>
      </c>
      <c r="QOD8" s="1181" t="s">
        <v>15</v>
      </c>
      <c r="QOE8" s="1181"/>
      <c r="QOF8" s="4" t="s">
        <v>4</v>
      </c>
      <c r="QOG8" s="5" t="s">
        <v>5</v>
      </c>
      <c r="QOH8" s="1181" t="s">
        <v>15</v>
      </c>
      <c r="QOI8" s="1181"/>
      <c r="QOJ8" s="5" t="s">
        <v>4</v>
      </c>
      <c r="QOK8" s="5" t="s">
        <v>0</v>
      </c>
      <c r="QOL8" s="1181" t="s">
        <v>15</v>
      </c>
      <c r="QOM8" s="1181"/>
      <c r="QON8" s="4" t="s">
        <v>4</v>
      </c>
      <c r="QOO8" s="5" t="s">
        <v>5</v>
      </c>
      <c r="QOP8" s="1181" t="s">
        <v>15</v>
      </c>
      <c r="QOQ8" s="1181"/>
      <c r="QOR8" s="5" t="s">
        <v>4</v>
      </c>
      <c r="QOS8" s="5" t="s">
        <v>0</v>
      </c>
      <c r="QOT8" s="1181" t="s">
        <v>15</v>
      </c>
      <c r="QOU8" s="1181"/>
      <c r="QOV8" s="4" t="s">
        <v>4</v>
      </c>
      <c r="QOW8" s="5" t="s">
        <v>5</v>
      </c>
      <c r="QOX8" s="1181" t="s">
        <v>15</v>
      </c>
      <c r="QOY8" s="1181"/>
      <c r="QOZ8" s="5" t="s">
        <v>4</v>
      </c>
      <c r="QPA8" s="5" t="s">
        <v>0</v>
      </c>
      <c r="QPB8" s="1181" t="s">
        <v>15</v>
      </c>
      <c r="QPC8" s="1181"/>
      <c r="QPD8" s="4" t="s">
        <v>4</v>
      </c>
      <c r="QPE8" s="5" t="s">
        <v>5</v>
      </c>
      <c r="QPF8" s="1181" t="s">
        <v>15</v>
      </c>
      <c r="QPG8" s="1181"/>
      <c r="QPH8" s="5" t="s">
        <v>4</v>
      </c>
      <c r="QPI8" s="5" t="s">
        <v>0</v>
      </c>
      <c r="QPJ8" s="1181" t="s">
        <v>15</v>
      </c>
      <c r="QPK8" s="1181"/>
      <c r="QPL8" s="4" t="s">
        <v>4</v>
      </c>
      <c r="QPM8" s="5" t="s">
        <v>5</v>
      </c>
      <c r="QPN8" s="1181" t="s">
        <v>15</v>
      </c>
      <c r="QPO8" s="1181"/>
      <c r="QPP8" s="5" t="s">
        <v>4</v>
      </c>
      <c r="QPQ8" s="5" t="s">
        <v>0</v>
      </c>
      <c r="QPR8" s="1181" t="s">
        <v>15</v>
      </c>
      <c r="QPS8" s="1181"/>
      <c r="QPT8" s="4" t="s">
        <v>4</v>
      </c>
      <c r="QPU8" s="5" t="s">
        <v>5</v>
      </c>
      <c r="QPV8" s="1181" t="s">
        <v>15</v>
      </c>
      <c r="QPW8" s="1181"/>
      <c r="QPX8" s="5" t="s">
        <v>4</v>
      </c>
      <c r="QPY8" s="5" t="s">
        <v>0</v>
      </c>
      <c r="QPZ8" s="1181" t="s">
        <v>15</v>
      </c>
      <c r="QQA8" s="1181"/>
      <c r="QQB8" s="4" t="s">
        <v>4</v>
      </c>
      <c r="QQC8" s="5" t="s">
        <v>5</v>
      </c>
      <c r="QQD8" s="1181" t="s">
        <v>15</v>
      </c>
      <c r="QQE8" s="1181"/>
      <c r="QQF8" s="5" t="s">
        <v>4</v>
      </c>
      <c r="QQG8" s="5" t="s">
        <v>0</v>
      </c>
      <c r="QQH8" s="1181" t="s">
        <v>15</v>
      </c>
      <c r="QQI8" s="1181"/>
      <c r="QQJ8" s="4" t="s">
        <v>4</v>
      </c>
      <c r="QQK8" s="5" t="s">
        <v>5</v>
      </c>
      <c r="QQL8" s="1181" t="s">
        <v>15</v>
      </c>
      <c r="QQM8" s="1181"/>
      <c r="QQN8" s="5" t="s">
        <v>4</v>
      </c>
      <c r="QQO8" s="5" t="s">
        <v>0</v>
      </c>
      <c r="QQP8" s="1181" t="s">
        <v>15</v>
      </c>
      <c r="QQQ8" s="1181"/>
      <c r="QQR8" s="4" t="s">
        <v>4</v>
      </c>
      <c r="QQS8" s="5" t="s">
        <v>5</v>
      </c>
      <c r="QQT8" s="1181" t="s">
        <v>15</v>
      </c>
      <c r="QQU8" s="1181"/>
      <c r="QQV8" s="5" t="s">
        <v>4</v>
      </c>
      <c r="QQW8" s="5" t="s">
        <v>0</v>
      </c>
      <c r="QQX8" s="1181" t="s">
        <v>15</v>
      </c>
      <c r="QQY8" s="1181"/>
      <c r="QQZ8" s="4" t="s">
        <v>4</v>
      </c>
      <c r="QRA8" s="5" t="s">
        <v>5</v>
      </c>
      <c r="QRB8" s="1181" t="s">
        <v>15</v>
      </c>
      <c r="QRC8" s="1181"/>
      <c r="QRD8" s="5" t="s">
        <v>4</v>
      </c>
      <c r="QRE8" s="5" t="s">
        <v>0</v>
      </c>
      <c r="QRF8" s="1181" t="s">
        <v>15</v>
      </c>
      <c r="QRG8" s="1181"/>
      <c r="QRH8" s="4" t="s">
        <v>4</v>
      </c>
      <c r="QRI8" s="5" t="s">
        <v>5</v>
      </c>
      <c r="QRJ8" s="1181" t="s">
        <v>15</v>
      </c>
      <c r="QRK8" s="1181"/>
      <c r="QRL8" s="5" t="s">
        <v>4</v>
      </c>
      <c r="QRM8" s="5" t="s">
        <v>0</v>
      </c>
      <c r="QRN8" s="1181" t="s">
        <v>15</v>
      </c>
      <c r="QRO8" s="1181"/>
      <c r="QRP8" s="4" t="s">
        <v>4</v>
      </c>
      <c r="QRQ8" s="5" t="s">
        <v>5</v>
      </c>
      <c r="QRR8" s="1181" t="s">
        <v>15</v>
      </c>
      <c r="QRS8" s="1181"/>
      <c r="QRT8" s="5" t="s">
        <v>4</v>
      </c>
      <c r="QRU8" s="5" t="s">
        <v>0</v>
      </c>
      <c r="QRV8" s="1181" t="s">
        <v>15</v>
      </c>
      <c r="QRW8" s="1181"/>
      <c r="QRX8" s="4" t="s">
        <v>4</v>
      </c>
      <c r="QRY8" s="5" t="s">
        <v>5</v>
      </c>
      <c r="QRZ8" s="1181" t="s">
        <v>15</v>
      </c>
      <c r="QSA8" s="1181"/>
      <c r="QSB8" s="5" t="s">
        <v>4</v>
      </c>
      <c r="QSC8" s="5" t="s">
        <v>0</v>
      </c>
      <c r="QSD8" s="1181" t="s">
        <v>15</v>
      </c>
      <c r="QSE8" s="1181"/>
      <c r="QSF8" s="4" t="s">
        <v>4</v>
      </c>
      <c r="QSG8" s="5" t="s">
        <v>5</v>
      </c>
      <c r="QSH8" s="1181" t="s">
        <v>15</v>
      </c>
      <c r="QSI8" s="1181"/>
      <c r="QSJ8" s="5" t="s">
        <v>4</v>
      </c>
      <c r="QSK8" s="5" t="s">
        <v>0</v>
      </c>
      <c r="QSL8" s="1181" t="s">
        <v>15</v>
      </c>
      <c r="QSM8" s="1181"/>
      <c r="QSN8" s="4" t="s">
        <v>4</v>
      </c>
      <c r="QSO8" s="5" t="s">
        <v>5</v>
      </c>
      <c r="QSP8" s="1181" t="s">
        <v>15</v>
      </c>
      <c r="QSQ8" s="1181"/>
      <c r="QSR8" s="5" t="s">
        <v>4</v>
      </c>
      <c r="QSS8" s="5" t="s">
        <v>0</v>
      </c>
      <c r="QST8" s="1181" t="s">
        <v>15</v>
      </c>
      <c r="QSU8" s="1181"/>
      <c r="QSV8" s="4" t="s">
        <v>4</v>
      </c>
      <c r="QSW8" s="5" t="s">
        <v>5</v>
      </c>
      <c r="QSX8" s="1181" t="s">
        <v>15</v>
      </c>
      <c r="QSY8" s="1181"/>
      <c r="QSZ8" s="5" t="s">
        <v>4</v>
      </c>
      <c r="QTA8" s="5" t="s">
        <v>0</v>
      </c>
      <c r="QTB8" s="1181" t="s">
        <v>15</v>
      </c>
      <c r="QTC8" s="1181"/>
      <c r="QTD8" s="4" t="s">
        <v>4</v>
      </c>
      <c r="QTE8" s="5" t="s">
        <v>5</v>
      </c>
      <c r="QTF8" s="1181" t="s">
        <v>15</v>
      </c>
      <c r="QTG8" s="1181"/>
      <c r="QTH8" s="5" t="s">
        <v>4</v>
      </c>
      <c r="QTI8" s="5" t="s">
        <v>0</v>
      </c>
      <c r="QTJ8" s="1181" t="s">
        <v>15</v>
      </c>
      <c r="QTK8" s="1181"/>
      <c r="QTL8" s="4" t="s">
        <v>4</v>
      </c>
      <c r="QTM8" s="5" t="s">
        <v>5</v>
      </c>
      <c r="QTN8" s="1181" t="s">
        <v>15</v>
      </c>
      <c r="QTO8" s="1181"/>
      <c r="QTP8" s="5" t="s">
        <v>4</v>
      </c>
      <c r="QTQ8" s="5" t="s">
        <v>0</v>
      </c>
      <c r="QTR8" s="1181" t="s">
        <v>15</v>
      </c>
      <c r="QTS8" s="1181"/>
      <c r="QTT8" s="4" t="s">
        <v>4</v>
      </c>
      <c r="QTU8" s="5" t="s">
        <v>5</v>
      </c>
      <c r="QTV8" s="1181" t="s">
        <v>15</v>
      </c>
      <c r="QTW8" s="1181"/>
      <c r="QTX8" s="5" t="s">
        <v>4</v>
      </c>
      <c r="QTY8" s="5" t="s">
        <v>0</v>
      </c>
      <c r="QTZ8" s="1181" t="s">
        <v>15</v>
      </c>
      <c r="QUA8" s="1181"/>
      <c r="QUB8" s="4" t="s">
        <v>4</v>
      </c>
      <c r="QUC8" s="5" t="s">
        <v>5</v>
      </c>
      <c r="QUD8" s="1181" t="s">
        <v>15</v>
      </c>
      <c r="QUE8" s="1181"/>
      <c r="QUF8" s="5" t="s">
        <v>4</v>
      </c>
      <c r="QUG8" s="5" t="s">
        <v>0</v>
      </c>
      <c r="QUH8" s="1181" t="s">
        <v>15</v>
      </c>
      <c r="QUI8" s="1181"/>
      <c r="QUJ8" s="4" t="s">
        <v>4</v>
      </c>
      <c r="QUK8" s="5" t="s">
        <v>5</v>
      </c>
      <c r="QUL8" s="1181" t="s">
        <v>15</v>
      </c>
      <c r="QUM8" s="1181"/>
      <c r="QUN8" s="5" t="s">
        <v>4</v>
      </c>
      <c r="QUO8" s="5" t="s">
        <v>0</v>
      </c>
      <c r="QUP8" s="1181" t="s">
        <v>15</v>
      </c>
      <c r="QUQ8" s="1181"/>
      <c r="QUR8" s="4" t="s">
        <v>4</v>
      </c>
      <c r="QUS8" s="5" t="s">
        <v>5</v>
      </c>
      <c r="QUT8" s="1181" t="s">
        <v>15</v>
      </c>
      <c r="QUU8" s="1181"/>
      <c r="QUV8" s="5" t="s">
        <v>4</v>
      </c>
      <c r="QUW8" s="5" t="s">
        <v>0</v>
      </c>
      <c r="QUX8" s="1181" t="s">
        <v>15</v>
      </c>
      <c r="QUY8" s="1181"/>
      <c r="QUZ8" s="4" t="s">
        <v>4</v>
      </c>
      <c r="QVA8" s="5" t="s">
        <v>5</v>
      </c>
      <c r="QVB8" s="1181" t="s">
        <v>15</v>
      </c>
      <c r="QVC8" s="1181"/>
      <c r="QVD8" s="5" t="s">
        <v>4</v>
      </c>
      <c r="QVE8" s="5" t="s">
        <v>0</v>
      </c>
      <c r="QVF8" s="1181" t="s">
        <v>15</v>
      </c>
      <c r="QVG8" s="1181"/>
      <c r="QVH8" s="4" t="s">
        <v>4</v>
      </c>
      <c r="QVI8" s="5" t="s">
        <v>5</v>
      </c>
      <c r="QVJ8" s="1181" t="s">
        <v>15</v>
      </c>
      <c r="QVK8" s="1181"/>
      <c r="QVL8" s="5" t="s">
        <v>4</v>
      </c>
      <c r="QVM8" s="5" t="s">
        <v>0</v>
      </c>
      <c r="QVN8" s="1181" t="s">
        <v>15</v>
      </c>
      <c r="QVO8" s="1181"/>
      <c r="QVP8" s="4" t="s">
        <v>4</v>
      </c>
      <c r="QVQ8" s="5" t="s">
        <v>5</v>
      </c>
      <c r="QVR8" s="1181" t="s">
        <v>15</v>
      </c>
      <c r="QVS8" s="1181"/>
      <c r="QVT8" s="5" t="s">
        <v>4</v>
      </c>
      <c r="QVU8" s="5" t="s">
        <v>0</v>
      </c>
      <c r="QVV8" s="1181" t="s">
        <v>15</v>
      </c>
      <c r="QVW8" s="1181"/>
      <c r="QVX8" s="4" t="s">
        <v>4</v>
      </c>
      <c r="QVY8" s="5" t="s">
        <v>5</v>
      </c>
      <c r="QVZ8" s="1181" t="s">
        <v>15</v>
      </c>
      <c r="QWA8" s="1181"/>
      <c r="QWB8" s="5" t="s">
        <v>4</v>
      </c>
      <c r="QWC8" s="5" t="s">
        <v>0</v>
      </c>
      <c r="QWD8" s="1181" t="s">
        <v>15</v>
      </c>
      <c r="QWE8" s="1181"/>
      <c r="QWF8" s="4" t="s">
        <v>4</v>
      </c>
      <c r="QWG8" s="5" t="s">
        <v>5</v>
      </c>
      <c r="QWH8" s="1181" t="s">
        <v>15</v>
      </c>
      <c r="QWI8" s="1181"/>
      <c r="QWJ8" s="5" t="s">
        <v>4</v>
      </c>
      <c r="QWK8" s="5" t="s">
        <v>0</v>
      </c>
      <c r="QWL8" s="1181" t="s">
        <v>15</v>
      </c>
      <c r="QWM8" s="1181"/>
      <c r="QWN8" s="4" t="s">
        <v>4</v>
      </c>
      <c r="QWO8" s="5" t="s">
        <v>5</v>
      </c>
      <c r="QWP8" s="1181" t="s">
        <v>15</v>
      </c>
      <c r="QWQ8" s="1181"/>
      <c r="QWR8" s="5" t="s">
        <v>4</v>
      </c>
      <c r="QWS8" s="5" t="s">
        <v>0</v>
      </c>
      <c r="QWT8" s="1181" t="s">
        <v>15</v>
      </c>
      <c r="QWU8" s="1181"/>
      <c r="QWV8" s="4" t="s">
        <v>4</v>
      </c>
      <c r="QWW8" s="5" t="s">
        <v>5</v>
      </c>
      <c r="QWX8" s="1181" t="s">
        <v>15</v>
      </c>
      <c r="QWY8" s="1181"/>
      <c r="QWZ8" s="5" t="s">
        <v>4</v>
      </c>
      <c r="QXA8" s="5" t="s">
        <v>0</v>
      </c>
      <c r="QXB8" s="1181" t="s">
        <v>15</v>
      </c>
      <c r="QXC8" s="1181"/>
      <c r="QXD8" s="4" t="s">
        <v>4</v>
      </c>
      <c r="QXE8" s="5" t="s">
        <v>5</v>
      </c>
      <c r="QXF8" s="1181" t="s">
        <v>15</v>
      </c>
      <c r="QXG8" s="1181"/>
      <c r="QXH8" s="5" t="s">
        <v>4</v>
      </c>
      <c r="QXI8" s="5" t="s">
        <v>0</v>
      </c>
      <c r="QXJ8" s="1181" t="s">
        <v>15</v>
      </c>
      <c r="QXK8" s="1181"/>
      <c r="QXL8" s="4" t="s">
        <v>4</v>
      </c>
      <c r="QXM8" s="5" t="s">
        <v>5</v>
      </c>
      <c r="QXN8" s="1181" t="s">
        <v>15</v>
      </c>
      <c r="QXO8" s="1181"/>
      <c r="QXP8" s="5" t="s">
        <v>4</v>
      </c>
      <c r="QXQ8" s="5" t="s">
        <v>0</v>
      </c>
      <c r="QXR8" s="1181" t="s">
        <v>15</v>
      </c>
      <c r="QXS8" s="1181"/>
      <c r="QXT8" s="4" t="s">
        <v>4</v>
      </c>
      <c r="QXU8" s="5" t="s">
        <v>5</v>
      </c>
      <c r="QXV8" s="1181" t="s">
        <v>15</v>
      </c>
      <c r="QXW8" s="1181"/>
      <c r="QXX8" s="5" t="s">
        <v>4</v>
      </c>
      <c r="QXY8" s="5" t="s">
        <v>0</v>
      </c>
      <c r="QXZ8" s="1181" t="s">
        <v>15</v>
      </c>
      <c r="QYA8" s="1181"/>
      <c r="QYB8" s="4" t="s">
        <v>4</v>
      </c>
      <c r="QYC8" s="5" t="s">
        <v>5</v>
      </c>
      <c r="QYD8" s="1181" t="s">
        <v>15</v>
      </c>
      <c r="QYE8" s="1181"/>
      <c r="QYF8" s="5" t="s">
        <v>4</v>
      </c>
      <c r="QYG8" s="5" t="s">
        <v>0</v>
      </c>
      <c r="QYH8" s="1181" t="s">
        <v>15</v>
      </c>
      <c r="QYI8" s="1181"/>
      <c r="QYJ8" s="4" t="s">
        <v>4</v>
      </c>
      <c r="QYK8" s="5" t="s">
        <v>5</v>
      </c>
      <c r="QYL8" s="1181" t="s">
        <v>15</v>
      </c>
      <c r="QYM8" s="1181"/>
      <c r="QYN8" s="5" t="s">
        <v>4</v>
      </c>
      <c r="QYO8" s="5" t="s">
        <v>0</v>
      </c>
      <c r="QYP8" s="1181" t="s">
        <v>15</v>
      </c>
      <c r="QYQ8" s="1181"/>
      <c r="QYR8" s="4" t="s">
        <v>4</v>
      </c>
      <c r="QYS8" s="5" t="s">
        <v>5</v>
      </c>
      <c r="QYT8" s="1181" t="s">
        <v>15</v>
      </c>
      <c r="QYU8" s="1181"/>
      <c r="QYV8" s="5" t="s">
        <v>4</v>
      </c>
      <c r="QYW8" s="5" t="s">
        <v>0</v>
      </c>
      <c r="QYX8" s="1181" t="s">
        <v>15</v>
      </c>
      <c r="QYY8" s="1181"/>
      <c r="QYZ8" s="4" t="s">
        <v>4</v>
      </c>
      <c r="QZA8" s="5" t="s">
        <v>5</v>
      </c>
      <c r="QZB8" s="1181" t="s">
        <v>15</v>
      </c>
      <c r="QZC8" s="1181"/>
      <c r="QZD8" s="5" t="s">
        <v>4</v>
      </c>
      <c r="QZE8" s="5" t="s">
        <v>0</v>
      </c>
      <c r="QZF8" s="1181" t="s">
        <v>15</v>
      </c>
      <c r="QZG8" s="1181"/>
      <c r="QZH8" s="4" t="s">
        <v>4</v>
      </c>
      <c r="QZI8" s="5" t="s">
        <v>5</v>
      </c>
      <c r="QZJ8" s="1181" t="s">
        <v>15</v>
      </c>
      <c r="QZK8" s="1181"/>
      <c r="QZL8" s="5" t="s">
        <v>4</v>
      </c>
      <c r="QZM8" s="5" t="s">
        <v>0</v>
      </c>
      <c r="QZN8" s="1181" t="s">
        <v>15</v>
      </c>
      <c r="QZO8" s="1181"/>
      <c r="QZP8" s="4" t="s">
        <v>4</v>
      </c>
      <c r="QZQ8" s="5" t="s">
        <v>5</v>
      </c>
      <c r="QZR8" s="1181" t="s">
        <v>15</v>
      </c>
      <c r="QZS8" s="1181"/>
      <c r="QZT8" s="5" t="s">
        <v>4</v>
      </c>
      <c r="QZU8" s="5" t="s">
        <v>0</v>
      </c>
      <c r="QZV8" s="1181" t="s">
        <v>15</v>
      </c>
      <c r="QZW8" s="1181"/>
      <c r="QZX8" s="4" t="s">
        <v>4</v>
      </c>
      <c r="QZY8" s="5" t="s">
        <v>5</v>
      </c>
      <c r="QZZ8" s="1181" t="s">
        <v>15</v>
      </c>
      <c r="RAA8" s="1181"/>
      <c r="RAB8" s="5" t="s">
        <v>4</v>
      </c>
      <c r="RAC8" s="5" t="s">
        <v>0</v>
      </c>
      <c r="RAD8" s="1181" t="s">
        <v>15</v>
      </c>
      <c r="RAE8" s="1181"/>
      <c r="RAF8" s="4" t="s">
        <v>4</v>
      </c>
      <c r="RAG8" s="5" t="s">
        <v>5</v>
      </c>
      <c r="RAH8" s="1181" t="s">
        <v>15</v>
      </c>
      <c r="RAI8" s="1181"/>
      <c r="RAJ8" s="5" t="s">
        <v>4</v>
      </c>
      <c r="RAK8" s="5" t="s">
        <v>0</v>
      </c>
      <c r="RAL8" s="1181" t="s">
        <v>15</v>
      </c>
      <c r="RAM8" s="1181"/>
      <c r="RAN8" s="4" t="s">
        <v>4</v>
      </c>
      <c r="RAO8" s="5" t="s">
        <v>5</v>
      </c>
      <c r="RAP8" s="1181" t="s">
        <v>15</v>
      </c>
      <c r="RAQ8" s="1181"/>
      <c r="RAR8" s="5" t="s">
        <v>4</v>
      </c>
      <c r="RAS8" s="5" t="s">
        <v>0</v>
      </c>
      <c r="RAT8" s="1181" t="s">
        <v>15</v>
      </c>
      <c r="RAU8" s="1181"/>
      <c r="RAV8" s="4" t="s">
        <v>4</v>
      </c>
      <c r="RAW8" s="5" t="s">
        <v>5</v>
      </c>
      <c r="RAX8" s="1181" t="s">
        <v>15</v>
      </c>
      <c r="RAY8" s="1181"/>
      <c r="RAZ8" s="5" t="s">
        <v>4</v>
      </c>
      <c r="RBA8" s="5" t="s">
        <v>0</v>
      </c>
      <c r="RBB8" s="1181" t="s">
        <v>15</v>
      </c>
      <c r="RBC8" s="1181"/>
      <c r="RBD8" s="4" t="s">
        <v>4</v>
      </c>
      <c r="RBE8" s="5" t="s">
        <v>5</v>
      </c>
      <c r="RBF8" s="1181" t="s">
        <v>15</v>
      </c>
      <c r="RBG8" s="1181"/>
      <c r="RBH8" s="5" t="s">
        <v>4</v>
      </c>
      <c r="RBI8" s="5" t="s">
        <v>0</v>
      </c>
      <c r="RBJ8" s="1181" t="s">
        <v>15</v>
      </c>
      <c r="RBK8" s="1181"/>
      <c r="RBL8" s="4" t="s">
        <v>4</v>
      </c>
      <c r="RBM8" s="5" t="s">
        <v>5</v>
      </c>
      <c r="RBN8" s="1181" t="s">
        <v>15</v>
      </c>
      <c r="RBO8" s="1181"/>
      <c r="RBP8" s="5" t="s">
        <v>4</v>
      </c>
      <c r="RBQ8" s="5" t="s">
        <v>0</v>
      </c>
      <c r="RBR8" s="1181" t="s">
        <v>15</v>
      </c>
      <c r="RBS8" s="1181"/>
      <c r="RBT8" s="4" t="s">
        <v>4</v>
      </c>
      <c r="RBU8" s="5" t="s">
        <v>5</v>
      </c>
      <c r="RBV8" s="1181" t="s">
        <v>15</v>
      </c>
      <c r="RBW8" s="1181"/>
      <c r="RBX8" s="5" t="s">
        <v>4</v>
      </c>
      <c r="RBY8" s="5" t="s">
        <v>0</v>
      </c>
      <c r="RBZ8" s="1181" t="s">
        <v>15</v>
      </c>
      <c r="RCA8" s="1181"/>
      <c r="RCB8" s="4" t="s">
        <v>4</v>
      </c>
      <c r="RCC8" s="5" t="s">
        <v>5</v>
      </c>
      <c r="RCD8" s="1181" t="s">
        <v>15</v>
      </c>
      <c r="RCE8" s="1181"/>
      <c r="RCF8" s="5" t="s">
        <v>4</v>
      </c>
      <c r="RCG8" s="5" t="s">
        <v>0</v>
      </c>
      <c r="RCH8" s="1181" t="s">
        <v>15</v>
      </c>
      <c r="RCI8" s="1181"/>
      <c r="RCJ8" s="4" t="s">
        <v>4</v>
      </c>
      <c r="RCK8" s="5" t="s">
        <v>5</v>
      </c>
      <c r="RCL8" s="1181" t="s">
        <v>15</v>
      </c>
      <c r="RCM8" s="1181"/>
      <c r="RCN8" s="5" t="s">
        <v>4</v>
      </c>
      <c r="RCO8" s="5" t="s">
        <v>0</v>
      </c>
      <c r="RCP8" s="1181" t="s">
        <v>15</v>
      </c>
      <c r="RCQ8" s="1181"/>
      <c r="RCR8" s="4" t="s">
        <v>4</v>
      </c>
      <c r="RCS8" s="5" t="s">
        <v>5</v>
      </c>
      <c r="RCT8" s="1181" t="s">
        <v>15</v>
      </c>
      <c r="RCU8" s="1181"/>
      <c r="RCV8" s="5" t="s">
        <v>4</v>
      </c>
      <c r="RCW8" s="5" t="s">
        <v>0</v>
      </c>
      <c r="RCX8" s="1181" t="s">
        <v>15</v>
      </c>
      <c r="RCY8" s="1181"/>
      <c r="RCZ8" s="4" t="s">
        <v>4</v>
      </c>
      <c r="RDA8" s="5" t="s">
        <v>5</v>
      </c>
      <c r="RDB8" s="1181" t="s">
        <v>15</v>
      </c>
      <c r="RDC8" s="1181"/>
      <c r="RDD8" s="5" t="s">
        <v>4</v>
      </c>
      <c r="RDE8" s="5" t="s">
        <v>0</v>
      </c>
      <c r="RDF8" s="1181" t="s">
        <v>15</v>
      </c>
      <c r="RDG8" s="1181"/>
      <c r="RDH8" s="4" t="s">
        <v>4</v>
      </c>
      <c r="RDI8" s="5" t="s">
        <v>5</v>
      </c>
      <c r="RDJ8" s="1181" t="s">
        <v>15</v>
      </c>
      <c r="RDK8" s="1181"/>
      <c r="RDL8" s="5" t="s">
        <v>4</v>
      </c>
      <c r="RDM8" s="5" t="s">
        <v>0</v>
      </c>
      <c r="RDN8" s="1181" t="s">
        <v>15</v>
      </c>
      <c r="RDO8" s="1181"/>
      <c r="RDP8" s="4" t="s">
        <v>4</v>
      </c>
      <c r="RDQ8" s="5" t="s">
        <v>5</v>
      </c>
      <c r="RDR8" s="1181" t="s">
        <v>15</v>
      </c>
      <c r="RDS8" s="1181"/>
      <c r="RDT8" s="5" t="s">
        <v>4</v>
      </c>
      <c r="RDU8" s="5" t="s">
        <v>0</v>
      </c>
      <c r="RDV8" s="1181" t="s">
        <v>15</v>
      </c>
      <c r="RDW8" s="1181"/>
      <c r="RDX8" s="4" t="s">
        <v>4</v>
      </c>
      <c r="RDY8" s="5" t="s">
        <v>5</v>
      </c>
      <c r="RDZ8" s="1181" t="s">
        <v>15</v>
      </c>
      <c r="REA8" s="1181"/>
      <c r="REB8" s="5" t="s">
        <v>4</v>
      </c>
      <c r="REC8" s="5" t="s">
        <v>0</v>
      </c>
      <c r="RED8" s="1181" t="s">
        <v>15</v>
      </c>
      <c r="REE8" s="1181"/>
      <c r="REF8" s="4" t="s">
        <v>4</v>
      </c>
      <c r="REG8" s="5" t="s">
        <v>5</v>
      </c>
      <c r="REH8" s="1181" t="s">
        <v>15</v>
      </c>
      <c r="REI8" s="1181"/>
      <c r="REJ8" s="5" t="s">
        <v>4</v>
      </c>
      <c r="REK8" s="5" t="s">
        <v>0</v>
      </c>
      <c r="REL8" s="1181" t="s">
        <v>15</v>
      </c>
      <c r="REM8" s="1181"/>
      <c r="REN8" s="4" t="s">
        <v>4</v>
      </c>
      <c r="REO8" s="5" t="s">
        <v>5</v>
      </c>
      <c r="REP8" s="1181" t="s">
        <v>15</v>
      </c>
      <c r="REQ8" s="1181"/>
      <c r="RER8" s="5" t="s">
        <v>4</v>
      </c>
      <c r="RES8" s="5" t="s">
        <v>0</v>
      </c>
      <c r="RET8" s="1181" t="s">
        <v>15</v>
      </c>
      <c r="REU8" s="1181"/>
      <c r="REV8" s="4" t="s">
        <v>4</v>
      </c>
      <c r="REW8" s="5" t="s">
        <v>5</v>
      </c>
      <c r="REX8" s="1181" t="s">
        <v>15</v>
      </c>
      <c r="REY8" s="1181"/>
      <c r="REZ8" s="5" t="s">
        <v>4</v>
      </c>
      <c r="RFA8" s="5" t="s">
        <v>0</v>
      </c>
      <c r="RFB8" s="1181" t="s">
        <v>15</v>
      </c>
      <c r="RFC8" s="1181"/>
      <c r="RFD8" s="4" t="s">
        <v>4</v>
      </c>
      <c r="RFE8" s="5" t="s">
        <v>5</v>
      </c>
      <c r="RFF8" s="1181" t="s">
        <v>15</v>
      </c>
      <c r="RFG8" s="1181"/>
      <c r="RFH8" s="5" t="s">
        <v>4</v>
      </c>
      <c r="RFI8" s="5" t="s">
        <v>0</v>
      </c>
      <c r="RFJ8" s="1181" t="s">
        <v>15</v>
      </c>
      <c r="RFK8" s="1181"/>
      <c r="RFL8" s="4" t="s">
        <v>4</v>
      </c>
      <c r="RFM8" s="5" t="s">
        <v>5</v>
      </c>
      <c r="RFN8" s="1181" t="s">
        <v>15</v>
      </c>
      <c r="RFO8" s="1181"/>
      <c r="RFP8" s="5" t="s">
        <v>4</v>
      </c>
      <c r="RFQ8" s="5" t="s">
        <v>0</v>
      </c>
      <c r="RFR8" s="1181" t="s">
        <v>15</v>
      </c>
      <c r="RFS8" s="1181"/>
      <c r="RFT8" s="4" t="s">
        <v>4</v>
      </c>
      <c r="RFU8" s="5" t="s">
        <v>5</v>
      </c>
      <c r="RFV8" s="1181" t="s">
        <v>15</v>
      </c>
      <c r="RFW8" s="1181"/>
      <c r="RFX8" s="5" t="s">
        <v>4</v>
      </c>
      <c r="RFY8" s="5" t="s">
        <v>0</v>
      </c>
      <c r="RFZ8" s="1181" t="s">
        <v>15</v>
      </c>
      <c r="RGA8" s="1181"/>
      <c r="RGB8" s="4" t="s">
        <v>4</v>
      </c>
      <c r="RGC8" s="5" t="s">
        <v>5</v>
      </c>
      <c r="RGD8" s="1181" t="s">
        <v>15</v>
      </c>
      <c r="RGE8" s="1181"/>
      <c r="RGF8" s="5" t="s">
        <v>4</v>
      </c>
      <c r="RGG8" s="5" t="s">
        <v>0</v>
      </c>
      <c r="RGH8" s="1181" t="s">
        <v>15</v>
      </c>
      <c r="RGI8" s="1181"/>
      <c r="RGJ8" s="4" t="s">
        <v>4</v>
      </c>
      <c r="RGK8" s="5" t="s">
        <v>5</v>
      </c>
      <c r="RGL8" s="1181" t="s">
        <v>15</v>
      </c>
      <c r="RGM8" s="1181"/>
      <c r="RGN8" s="5" t="s">
        <v>4</v>
      </c>
      <c r="RGO8" s="5" t="s">
        <v>0</v>
      </c>
      <c r="RGP8" s="1181" t="s">
        <v>15</v>
      </c>
      <c r="RGQ8" s="1181"/>
      <c r="RGR8" s="4" t="s">
        <v>4</v>
      </c>
      <c r="RGS8" s="5" t="s">
        <v>5</v>
      </c>
      <c r="RGT8" s="1181" t="s">
        <v>15</v>
      </c>
      <c r="RGU8" s="1181"/>
      <c r="RGV8" s="5" t="s">
        <v>4</v>
      </c>
      <c r="RGW8" s="5" t="s">
        <v>0</v>
      </c>
      <c r="RGX8" s="1181" t="s">
        <v>15</v>
      </c>
      <c r="RGY8" s="1181"/>
      <c r="RGZ8" s="4" t="s">
        <v>4</v>
      </c>
      <c r="RHA8" s="5" t="s">
        <v>5</v>
      </c>
      <c r="RHB8" s="1181" t="s">
        <v>15</v>
      </c>
      <c r="RHC8" s="1181"/>
      <c r="RHD8" s="5" t="s">
        <v>4</v>
      </c>
      <c r="RHE8" s="5" t="s">
        <v>0</v>
      </c>
      <c r="RHF8" s="1181" t="s">
        <v>15</v>
      </c>
      <c r="RHG8" s="1181"/>
      <c r="RHH8" s="4" t="s">
        <v>4</v>
      </c>
      <c r="RHI8" s="5" t="s">
        <v>5</v>
      </c>
      <c r="RHJ8" s="1181" t="s">
        <v>15</v>
      </c>
      <c r="RHK8" s="1181"/>
      <c r="RHL8" s="5" t="s">
        <v>4</v>
      </c>
      <c r="RHM8" s="5" t="s">
        <v>0</v>
      </c>
      <c r="RHN8" s="1181" t="s">
        <v>15</v>
      </c>
      <c r="RHO8" s="1181"/>
      <c r="RHP8" s="4" t="s">
        <v>4</v>
      </c>
      <c r="RHQ8" s="5" t="s">
        <v>5</v>
      </c>
      <c r="RHR8" s="1181" t="s">
        <v>15</v>
      </c>
      <c r="RHS8" s="1181"/>
      <c r="RHT8" s="5" t="s">
        <v>4</v>
      </c>
      <c r="RHU8" s="5" t="s">
        <v>0</v>
      </c>
      <c r="RHV8" s="1181" t="s">
        <v>15</v>
      </c>
      <c r="RHW8" s="1181"/>
      <c r="RHX8" s="4" t="s">
        <v>4</v>
      </c>
      <c r="RHY8" s="5" t="s">
        <v>5</v>
      </c>
      <c r="RHZ8" s="1181" t="s">
        <v>15</v>
      </c>
      <c r="RIA8" s="1181"/>
      <c r="RIB8" s="5" t="s">
        <v>4</v>
      </c>
      <c r="RIC8" s="5" t="s">
        <v>0</v>
      </c>
      <c r="RID8" s="1181" t="s">
        <v>15</v>
      </c>
      <c r="RIE8" s="1181"/>
      <c r="RIF8" s="4" t="s">
        <v>4</v>
      </c>
      <c r="RIG8" s="5" t="s">
        <v>5</v>
      </c>
      <c r="RIH8" s="1181" t="s">
        <v>15</v>
      </c>
      <c r="RII8" s="1181"/>
      <c r="RIJ8" s="5" t="s">
        <v>4</v>
      </c>
      <c r="RIK8" s="5" t="s">
        <v>0</v>
      </c>
      <c r="RIL8" s="1181" t="s">
        <v>15</v>
      </c>
      <c r="RIM8" s="1181"/>
      <c r="RIN8" s="4" t="s">
        <v>4</v>
      </c>
      <c r="RIO8" s="5" t="s">
        <v>5</v>
      </c>
      <c r="RIP8" s="1181" t="s">
        <v>15</v>
      </c>
      <c r="RIQ8" s="1181"/>
      <c r="RIR8" s="5" t="s">
        <v>4</v>
      </c>
      <c r="RIS8" s="5" t="s">
        <v>0</v>
      </c>
      <c r="RIT8" s="1181" t="s">
        <v>15</v>
      </c>
      <c r="RIU8" s="1181"/>
      <c r="RIV8" s="4" t="s">
        <v>4</v>
      </c>
      <c r="RIW8" s="5" t="s">
        <v>5</v>
      </c>
      <c r="RIX8" s="1181" t="s">
        <v>15</v>
      </c>
      <c r="RIY8" s="1181"/>
      <c r="RIZ8" s="5" t="s">
        <v>4</v>
      </c>
      <c r="RJA8" s="5" t="s">
        <v>0</v>
      </c>
      <c r="RJB8" s="1181" t="s">
        <v>15</v>
      </c>
      <c r="RJC8" s="1181"/>
      <c r="RJD8" s="4" t="s">
        <v>4</v>
      </c>
      <c r="RJE8" s="5" t="s">
        <v>5</v>
      </c>
      <c r="RJF8" s="1181" t="s">
        <v>15</v>
      </c>
      <c r="RJG8" s="1181"/>
      <c r="RJH8" s="5" t="s">
        <v>4</v>
      </c>
      <c r="RJI8" s="5" t="s">
        <v>0</v>
      </c>
      <c r="RJJ8" s="1181" t="s">
        <v>15</v>
      </c>
      <c r="RJK8" s="1181"/>
      <c r="RJL8" s="4" t="s">
        <v>4</v>
      </c>
      <c r="RJM8" s="5" t="s">
        <v>5</v>
      </c>
      <c r="RJN8" s="1181" t="s">
        <v>15</v>
      </c>
      <c r="RJO8" s="1181"/>
      <c r="RJP8" s="5" t="s">
        <v>4</v>
      </c>
      <c r="RJQ8" s="5" t="s">
        <v>0</v>
      </c>
      <c r="RJR8" s="1181" t="s">
        <v>15</v>
      </c>
      <c r="RJS8" s="1181"/>
      <c r="RJT8" s="4" t="s">
        <v>4</v>
      </c>
      <c r="RJU8" s="5" t="s">
        <v>5</v>
      </c>
      <c r="RJV8" s="1181" t="s">
        <v>15</v>
      </c>
      <c r="RJW8" s="1181"/>
      <c r="RJX8" s="5" t="s">
        <v>4</v>
      </c>
      <c r="RJY8" s="5" t="s">
        <v>0</v>
      </c>
      <c r="RJZ8" s="1181" t="s">
        <v>15</v>
      </c>
      <c r="RKA8" s="1181"/>
      <c r="RKB8" s="4" t="s">
        <v>4</v>
      </c>
      <c r="RKC8" s="5" t="s">
        <v>5</v>
      </c>
      <c r="RKD8" s="1181" t="s">
        <v>15</v>
      </c>
      <c r="RKE8" s="1181"/>
      <c r="RKF8" s="5" t="s">
        <v>4</v>
      </c>
      <c r="RKG8" s="5" t="s">
        <v>0</v>
      </c>
      <c r="RKH8" s="1181" t="s">
        <v>15</v>
      </c>
      <c r="RKI8" s="1181"/>
      <c r="RKJ8" s="4" t="s">
        <v>4</v>
      </c>
      <c r="RKK8" s="5" t="s">
        <v>5</v>
      </c>
      <c r="RKL8" s="1181" t="s">
        <v>15</v>
      </c>
      <c r="RKM8" s="1181"/>
      <c r="RKN8" s="5" t="s">
        <v>4</v>
      </c>
      <c r="RKO8" s="5" t="s">
        <v>0</v>
      </c>
      <c r="RKP8" s="1181" t="s">
        <v>15</v>
      </c>
      <c r="RKQ8" s="1181"/>
      <c r="RKR8" s="4" t="s">
        <v>4</v>
      </c>
      <c r="RKS8" s="5" t="s">
        <v>5</v>
      </c>
      <c r="RKT8" s="1181" t="s">
        <v>15</v>
      </c>
      <c r="RKU8" s="1181"/>
      <c r="RKV8" s="5" t="s">
        <v>4</v>
      </c>
      <c r="RKW8" s="5" t="s">
        <v>0</v>
      </c>
      <c r="RKX8" s="1181" t="s">
        <v>15</v>
      </c>
      <c r="RKY8" s="1181"/>
      <c r="RKZ8" s="4" t="s">
        <v>4</v>
      </c>
      <c r="RLA8" s="5" t="s">
        <v>5</v>
      </c>
      <c r="RLB8" s="1181" t="s">
        <v>15</v>
      </c>
      <c r="RLC8" s="1181"/>
      <c r="RLD8" s="5" t="s">
        <v>4</v>
      </c>
      <c r="RLE8" s="5" t="s">
        <v>0</v>
      </c>
      <c r="RLF8" s="1181" t="s">
        <v>15</v>
      </c>
      <c r="RLG8" s="1181"/>
      <c r="RLH8" s="4" t="s">
        <v>4</v>
      </c>
      <c r="RLI8" s="5" t="s">
        <v>5</v>
      </c>
      <c r="RLJ8" s="1181" t="s">
        <v>15</v>
      </c>
      <c r="RLK8" s="1181"/>
      <c r="RLL8" s="5" t="s">
        <v>4</v>
      </c>
      <c r="RLM8" s="5" t="s">
        <v>0</v>
      </c>
      <c r="RLN8" s="1181" t="s">
        <v>15</v>
      </c>
      <c r="RLO8" s="1181"/>
      <c r="RLP8" s="4" t="s">
        <v>4</v>
      </c>
      <c r="RLQ8" s="5" t="s">
        <v>5</v>
      </c>
      <c r="RLR8" s="1181" t="s">
        <v>15</v>
      </c>
      <c r="RLS8" s="1181"/>
      <c r="RLT8" s="5" t="s">
        <v>4</v>
      </c>
      <c r="RLU8" s="5" t="s">
        <v>0</v>
      </c>
      <c r="RLV8" s="1181" t="s">
        <v>15</v>
      </c>
      <c r="RLW8" s="1181"/>
      <c r="RLX8" s="4" t="s">
        <v>4</v>
      </c>
      <c r="RLY8" s="5" t="s">
        <v>5</v>
      </c>
      <c r="RLZ8" s="1181" t="s">
        <v>15</v>
      </c>
      <c r="RMA8" s="1181"/>
      <c r="RMB8" s="5" t="s">
        <v>4</v>
      </c>
      <c r="RMC8" s="5" t="s">
        <v>0</v>
      </c>
      <c r="RMD8" s="1181" t="s">
        <v>15</v>
      </c>
      <c r="RME8" s="1181"/>
      <c r="RMF8" s="4" t="s">
        <v>4</v>
      </c>
      <c r="RMG8" s="5" t="s">
        <v>5</v>
      </c>
      <c r="RMH8" s="1181" t="s">
        <v>15</v>
      </c>
      <c r="RMI8" s="1181"/>
      <c r="RMJ8" s="5" t="s">
        <v>4</v>
      </c>
      <c r="RMK8" s="5" t="s">
        <v>0</v>
      </c>
      <c r="RML8" s="1181" t="s">
        <v>15</v>
      </c>
      <c r="RMM8" s="1181"/>
      <c r="RMN8" s="4" t="s">
        <v>4</v>
      </c>
      <c r="RMO8" s="5" t="s">
        <v>5</v>
      </c>
      <c r="RMP8" s="1181" t="s">
        <v>15</v>
      </c>
      <c r="RMQ8" s="1181"/>
      <c r="RMR8" s="5" t="s">
        <v>4</v>
      </c>
      <c r="RMS8" s="5" t="s">
        <v>0</v>
      </c>
      <c r="RMT8" s="1181" t="s">
        <v>15</v>
      </c>
      <c r="RMU8" s="1181"/>
      <c r="RMV8" s="4" t="s">
        <v>4</v>
      </c>
      <c r="RMW8" s="5" t="s">
        <v>5</v>
      </c>
      <c r="RMX8" s="1181" t="s">
        <v>15</v>
      </c>
      <c r="RMY8" s="1181"/>
      <c r="RMZ8" s="5" t="s">
        <v>4</v>
      </c>
      <c r="RNA8" s="5" t="s">
        <v>0</v>
      </c>
      <c r="RNB8" s="1181" t="s">
        <v>15</v>
      </c>
      <c r="RNC8" s="1181"/>
      <c r="RND8" s="4" t="s">
        <v>4</v>
      </c>
      <c r="RNE8" s="5" t="s">
        <v>5</v>
      </c>
      <c r="RNF8" s="1181" t="s">
        <v>15</v>
      </c>
      <c r="RNG8" s="1181"/>
      <c r="RNH8" s="5" t="s">
        <v>4</v>
      </c>
      <c r="RNI8" s="5" t="s">
        <v>0</v>
      </c>
      <c r="RNJ8" s="1181" t="s">
        <v>15</v>
      </c>
      <c r="RNK8" s="1181"/>
      <c r="RNL8" s="4" t="s">
        <v>4</v>
      </c>
      <c r="RNM8" s="5" t="s">
        <v>5</v>
      </c>
      <c r="RNN8" s="1181" t="s">
        <v>15</v>
      </c>
      <c r="RNO8" s="1181"/>
      <c r="RNP8" s="5" t="s">
        <v>4</v>
      </c>
      <c r="RNQ8" s="5" t="s">
        <v>0</v>
      </c>
      <c r="RNR8" s="1181" t="s">
        <v>15</v>
      </c>
      <c r="RNS8" s="1181"/>
      <c r="RNT8" s="4" t="s">
        <v>4</v>
      </c>
      <c r="RNU8" s="5" t="s">
        <v>5</v>
      </c>
      <c r="RNV8" s="1181" t="s">
        <v>15</v>
      </c>
      <c r="RNW8" s="1181"/>
      <c r="RNX8" s="5" t="s">
        <v>4</v>
      </c>
      <c r="RNY8" s="5" t="s">
        <v>0</v>
      </c>
      <c r="RNZ8" s="1181" t="s">
        <v>15</v>
      </c>
      <c r="ROA8" s="1181"/>
      <c r="ROB8" s="4" t="s">
        <v>4</v>
      </c>
      <c r="ROC8" s="5" t="s">
        <v>5</v>
      </c>
      <c r="ROD8" s="1181" t="s">
        <v>15</v>
      </c>
      <c r="ROE8" s="1181"/>
      <c r="ROF8" s="5" t="s">
        <v>4</v>
      </c>
      <c r="ROG8" s="5" t="s">
        <v>0</v>
      </c>
      <c r="ROH8" s="1181" t="s">
        <v>15</v>
      </c>
      <c r="ROI8" s="1181"/>
      <c r="ROJ8" s="4" t="s">
        <v>4</v>
      </c>
      <c r="ROK8" s="5" t="s">
        <v>5</v>
      </c>
      <c r="ROL8" s="1181" t="s">
        <v>15</v>
      </c>
      <c r="ROM8" s="1181"/>
      <c r="RON8" s="5" t="s">
        <v>4</v>
      </c>
      <c r="ROO8" s="5" t="s">
        <v>0</v>
      </c>
      <c r="ROP8" s="1181" t="s">
        <v>15</v>
      </c>
      <c r="ROQ8" s="1181"/>
      <c r="ROR8" s="4" t="s">
        <v>4</v>
      </c>
      <c r="ROS8" s="5" t="s">
        <v>5</v>
      </c>
      <c r="ROT8" s="1181" t="s">
        <v>15</v>
      </c>
      <c r="ROU8" s="1181"/>
      <c r="ROV8" s="5" t="s">
        <v>4</v>
      </c>
      <c r="ROW8" s="5" t="s">
        <v>0</v>
      </c>
      <c r="ROX8" s="1181" t="s">
        <v>15</v>
      </c>
      <c r="ROY8" s="1181"/>
      <c r="ROZ8" s="4" t="s">
        <v>4</v>
      </c>
      <c r="RPA8" s="5" t="s">
        <v>5</v>
      </c>
      <c r="RPB8" s="1181" t="s">
        <v>15</v>
      </c>
      <c r="RPC8" s="1181"/>
      <c r="RPD8" s="5" t="s">
        <v>4</v>
      </c>
      <c r="RPE8" s="5" t="s">
        <v>0</v>
      </c>
      <c r="RPF8" s="1181" t="s">
        <v>15</v>
      </c>
      <c r="RPG8" s="1181"/>
      <c r="RPH8" s="4" t="s">
        <v>4</v>
      </c>
      <c r="RPI8" s="5" t="s">
        <v>5</v>
      </c>
      <c r="RPJ8" s="1181" t="s">
        <v>15</v>
      </c>
      <c r="RPK8" s="1181"/>
      <c r="RPL8" s="5" t="s">
        <v>4</v>
      </c>
      <c r="RPM8" s="5" t="s">
        <v>0</v>
      </c>
      <c r="RPN8" s="1181" t="s">
        <v>15</v>
      </c>
      <c r="RPO8" s="1181"/>
      <c r="RPP8" s="4" t="s">
        <v>4</v>
      </c>
      <c r="RPQ8" s="5" t="s">
        <v>5</v>
      </c>
      <c r="RPR8" s="1181" t="s">
        <v>15</v>
      </c>
      <c r="RPS8" s="1181"/>
      <c r="RPT8" s="5" t="s">
        <v>4</v>
      </c>
      <c r="RPU8" s="5" t="s">
        <v>0</v>
      </c>
      <c r="RPV8" s="1181" t="s">
        <v>15</v>
      </c>
      <c r="RPW8" s="1181"/>
      <c r="RPX8" s="4" t="s">
        <v>4</v>
      </c>
      <c r="RPY8" s="5" t="s">
        <v>5</v>
      </c>
      <c r="RPZ8" s="1181" t="s">
        <v>15</v>
      </c>
      <c r="RQA8" s="1181"/>
      <c r="RQB8" s="5" t="s">
        <v>4</v>
      </c>
      <c r="RQC8" s="5" t="s">
        <v>0</v>
      </c>
      <c r="RQD8" s="1181" t="s">
        <v>15</v>
      </c>
      <c r="RQE8" s="1181"/>
      <c r="RQF8" s="4" t="s">
        <v>4</v>
      </c>
      <c r="RQG8" s="5" t="s">
        <v>5</v>
      </c>
      <c r="RQH8" s="1181" t="s">
        <v>15</v>
      </c>
      <c r="RQI8" s="1181"/>
      <c r="RQJ8" s="5" t="s">
        <v>4</v>
      </c>
      <c r="RQK8" s="5" t="s">
        <v>0</v>
      </c>
      <c r="RQL8" s="1181" t="s">
        <v>15</v>
      </c>
      <c r="RQM8" s="1181"/>
      <c r="RQN8" s="4" t="s">
        <v>4</v>
      </c>
      <c r="RQO8" s="5" t="s">
        <v>5</v>
      </c>
      <c r="RQP8" s="1181" t="s">
        <v>15</v>
      </c>
      <c r="RQQ8" s="1181"/>
      <c r="RQR8" s="5" t="s">
        <v>4</v>
      </c>
      <c r="RQS8" s="5" t="s">
        <v>0</v>
      </c>
      <c r="RQT8" s="1181" t="s">
        <v>15</v>
      </c>
      <c r="RQU8" s="1181"/>
      <c r="RQV8" s="4" t="s">
        <v>4</v>
      </c>
      <c r="RQW8" s="5" t="s">
        <v>5</v>
      </c>
      <c r="RQX8" s="1181" t="s">
        <v>15</v>
      </c>
      <c r="RQY8" s="1181"/>
      <c r="RQZ8" s="5" t="s">
        <v>4</v>
      </c>
      <c r="RRA8" s="5" t="s">
        <v>0</v>
      </c>
      <c r="RRB8" s="1181" t="s">
        <v>15</v>
      </c>
      <c r="RRC8" s="1181"/>
      <c r="RRD8" s="4" t="s">
        <v>4</v>
      </c>
      <c r="RRE8" s="5" t="s">
        <v>5</v>
      </c>
      <c r="RRF8" s="1181" t="s">
        <v>15</v>
      </c>
      <c r="RRG8" s="1181"/>
      <c r="RRH8" s="5" t="s">
        <v>4</v>
      </c>
      <c r="RRI8" s="5" t="s">
        <v>0</v>
      </c>
      <c r="RRJ8" s="1181" t="s">
        <v>15</v>
      </c>
      <c r="RRK8" s="1181"/>
      <c r="RRL8" s="4" t="s">
        <v>4</v>
      </c>
      <c r="RRM8" s="5" t="s">
        <v>5</v>
      </c>
      <c r="RRN8" s="1181" t="s">
        <v>15</v>
      </c>
      <c r="RRO8" s="1181"/>
      <c r="RRP8" s="5" t="s">
        <v>4</v>
      </c>
      <c r="RRQ8" s="5" t="s">
        <v>0</v>
      </c>
      <c r="RRR8" s="1181" t="s">
        <v>15</v>
      </c>
      <c r="RRS8" s="1181"/>
      <c r="RRT8" s="4" t="s">
        <v>4</v>
      </c>
      <c r="RRU8" s="5" t="s">
        <v>5</v>
      </c>
      <c r="RRV8" s="1181" t="s">
        <v>15</v>
      </c>
      <c r="RRW8" s="1181"/>
      <c r="RRX8" s="5" t="s">
        <v>4</v>
      </c>
      <c r="RRY8" s="5" t="s">
        <v>0</v>
      </c>
      <c r="RRZ8" s="1181" t="s">
        <v>15</v>
      </c>
      <c r="RSA8" s="1181"/>
      <c r="RSB8" s="4" t="s">
        <v>4</v>
      </c>
      <c r="RSC8" s="5" t="s">
        <v>5</v>
      </c>
      <c r="RSD8" s="1181" t="s">
        <v>15</v>
      </c>
      <c r="RSE8" s="1181"/>
      <c r="RSF8" s="5" t="s">
        <v>4</v>
      </c>
      <c r="RSG8" s="5" t="s">
        <v>0</v>
      </c>
      <c r="RSH8" s="1181" t="s">
        <v>15</v>
      </c>
      <c r="RSI8" s="1181"/>
      <c r="RSJ8" s="4" t="s">
        <v>4</v>
      </c>
      <c r="RSK8" s="5" t="s">
        <v>5</v>
      </c>
      <c r="RSL8" s="1181" t="s">
        <v>15</v>
      </c>
      <c r="RSM8" s="1181"/>
      <c r="RSN8" s="5" t="s">
        <v>4</v>
      </c>
      <c r="RSO8" s="5" t="s">
        <v>0</v>
      </c>
      <c r="RSP8" s="1181" t="s">
        <v>15</v>
      </c>
      <c r="RSQ8" s="1181"/>
      <c r="RSR8" s="4" t="s">
        <v>4</v>
      </c>
      <c r="RSS8" s="5" t="s">
        <v>5</v>
      </c>
      <c r="RST8" s="1181" t="s">
        <v>15</v>
      </c>
      <c r="RSU8" s="1181"/>
      <c r="RSV8" s="5" t="s">
        <v>4</v>
      </c>
      <c r="RSW8" s="5" t="s">
        <v>0</v>
      </c>
      <c r="RSX8" s="1181" t="s">
        <v>15</v>
      </c>
      <c r="RSY8" s="1181"/>
      <c r="RSZ8" s="4" t="s">
        <v>4</v>
      </c>
      <c r="RTA8" s="5" t="s">
        <v>5</v>
      </c>
      <c r="RTB8" s="1181" t="s">
        <v>15</v>
      </c>
      <c r="RTC8" s="1181"/>
      <c r="RTD8" s="5" t="s">
        <v>4</v>
      </c>
      <c r="RTE8" s="5" t="s">
        <v>0</v>
      </c>
      <c r="RTF8" s="1181" t="s">
        <v>15</v>
      </c>
      <c r="RTG8" s="1181"/>
      <c r="RTH8" s="4" t="s">
        <v>4</v>
      </c>
      <c r="RTI8" s="5" t="s">
        <v>5</v>
      </c>
      <c r="RTJ8" s="1181" t="s">
        <v>15</v>
      </c>
      <c r="RTK8" s="1181"/>
      <c r="RTL8" s="5" t="s">
        <v>4</v>
      </c>
      <c r="RTM8" s="5" t="s">
        <v>0</v>
      </c>
      <c r="RTN8" s="1181" t="s">
        <v>15</v>
      </c>
      <c r="RTO8" s="1181"/>
      <c r="RTP8" s="4" t="s">
        <v>4</v>
      </c>
      <c r="RTQ8" s="5" t="s">
        <v>5</v>
      </c>
      <c r="RTR8" s="1181" t="s">
        <v>15</v>
      </c>
      <c r="RTS8" s="1181"/>
      <c r="RTT8" s="5" t="s">
        <v>4</v>
      </c>
      <c r="RTU8" s="5" t="s">
        <v>0</v>
      </c>
      <c r="RTV8" s="1181" t="s">
        <v>15</v>
      </c>
      <c r="RTW8" s="1181"/>
      <c r="RTX8" s="4" t="s">
        <v>4</v>
      </c>
      <c r="RTY8" s="5" t="s">
        <v>5</v>
      </c>
      <c r="RTZ8" s="1181" t="s">
        <v>15</v>
      </c>
      <c r="RUA8" s="1181"/>
      <c r="RUB8" s="5" t="s">
        <v>4</v>
      </c>
      <c r="RUC8" s="5" t="s">
        <v>0</v>
      </c>
      <c r="RUD8" s="1181" t="s">
        <v>15</v>
      </c>
      <c r="RUE8" s="1181"/>
      <c r="RUF8" s="4" t="s">
        <v>4</v>
      </c>
      <c r="RUG8" s="5" t="s">
        <v>5</v>
      </c>
      <c r="RUH8" s="1181" t="s">
        <v>15</v>
      </c>
      <c r="RUI8" s="1181"/>
      <c r="RUJ8" s="5" t="s">
        <v>4</v>
      </c>
      <c r="RUK8" s="5" t="s">
        <v>0</v>
      </c>
      <c r="RUL8" s="1181" t="s">
        <v>15</v>
      </c>
      <c r="RUM8" s="1181"/>
      <c r="RUN8" s="4" t="s">
        <v>4</v>
      </c>
      <c r="RUO8" s="5" t="s">
        <v>5</v>
      </c>
      <c r="RUP8" s="1181" t="s">
        <v>15</v>
      </c>
      <c r="RUQ8" s="1181"/>
      <c r="RUR8" s="5" t="s">
        <v>4</v>
      </c>
      <c r="RUS8" s="5" t="s">
        <v>0</v>
      </c>
      <c r="RUT8" s="1181" t="s">
        <v>15</v>
      </c>
      <c r="RUU8" s="1181"/>
      <c r="RUV8" s="4" t="s">
        <v>4</v>
      </c>
      <c r="RUW8" s="5" t="s">
        <v>5</v>
      </c>
      <c r="RUX8" s="1181" t="s">
        <v>15</v>
      </c>
      <c r="RUY8" s="1181"/>
      <c r="RUZ8" s="5" t="s">
        <v>4</v>
      </c>
      <c r="RVA8" s="5" t="s">
        <v>0</v>
      </c>
      <c r="RVB8" s="1181" t="s">
        <v>15</v>
      </c>
      <c r="RVC8" s="1181"/>
      <c r="RVD8" s="4" t="s">
        <v>4</v>
      </c>
      <c r="RVE8" s="5" t="s">
        <v>5</v>
      </c>
      <c r="RVF8" s="1181" t="s">
        <v>15</v>
      </c>
      <c r="RVG8" s="1181"/>
      <c r="RVH8" s="5" t="s">
        <v>4</v>
      </c>
      <c r="RVI8" s="5" t="s">
        <v>0</v>
      </c>
      <c r="RVJ8" s="1181" t="s">
        <v>15</v>
      </c>
      <c r="RVK8" s="1181"/>
      <c r="RVL8" s="4" t="s">
        <v>4</v>
      </c>
      <c r="RVM8" s="5" t="s">
        <v>5</v>
      </c>
      <c r="RVN8" s="1181" t="s">
        <v>15</v>
      </c>
      <c r="RVO8" s="1181"/>
      <c r="RVP8" s="5" t="s">
        <v>4</v>
      </c>
      <c r="RVQ8" s="5" t="s">
        <v>0</v>
      </c>
      <c r="RVR8" s="1181" t="s">
        <v>15</v>
      </c>
      <c r="RVS8" s="1181"/>
      <c r="RVT8" s="4" t="s">
        <v>4</v>
      </c>
      <c r="RVU8" s="5" t="s">
        <v>5</v>
      </c>
      <c r="RVV8" s="1181" t="s">
        <v>15</v>
      </c>
      <c r="RVW8" s="1181"/>
      <c r="RVX8" s="5" t="s">
        <v>4</v>
      </c>
      <c r="RVY8" s="5" t="s">
        <v>0</v>
      </c>
      <c r="RVZ8" s="1181" t="s">
        <v>15</v>
      </c>
      <c r="RWA8" s="1181"/>
      <c r="RWB8" s="4" t="s">
        <v>4</v>
      </c>
      <c r="RWC8" s="5" t="s">
        <v>5</v>
      </c>
      <c r="RWD8" s="1181" t="s">
        <v>15</v>
      </c>
      <c r="RWE8" s="1181"/>
      <c r="RWF8" s="5" t="s">
        <v>4</v>
      </c>
      <c r="RWG8" s="5" t="s">
        <v>0</v>
      </c>
      <c r="RWH8" s="1181" t="s">
        <v>15</v>
      </c>
      <c r="RWI8" s="1181"/>
      <c r="RWJ8" s="4" t="s">
        <v>4</v>
      </c>
      <c r="RWK8" s="5" t="s">
        <v>5</v>
      </c>
      <c r="RWL8" s="1181" t="s">
        <v>15</v>
      </c>
      <c r="RWM8" s="1181"/>
      <c r="RWN8" s="5" t="s">
        <v>4</v>
      </c>
      <c r="RWO8" s="5" t="s">
        <v>0</v>
      </c>
      <c r="RWP8" s="1181" t="s">
        <v>15</v>
      </c>
      <c r="RWQ8" s="1181"/>
      <c r="RWR8" s="4" t="s">
        <v>4</v>
      </c>
      <c r="RWS8" s="5" t="s">
        <v>5</v>
      </c>
      <c r="RWT8" s="1181" t="s">
        <v>15</v>
      </c>
      <c r="RWU8" s="1181"/>
      <c r="RWV8" s="5" t="s">
        <v>4</v>
      </c>
      <c r="RWW8" s="5" t="s">
        <v>0</v>
      </c>
      <c r="RWX8" s="1181" t="s">
        <v>15</v>
      </c>
      <c r="RWY8" s="1181"/>
      <c r="RWZ8" s="4" t="s">
        <v>4</v>
      </c>
      <c r="RXA8" s="5" t="s">
        <v>5</v>
      </c>
      <c r="RXB8" s="1181" t="s">
        <v>15</v>
      </c>
      <c r="RXC8" s="1181"/>
      <c r="RXD8" s="5" t="s">
        <v>4</v>
      </c>
      <c r="RXE8" s="5" t="s">
        <v>0</v>
      </c>
      <c r="RXF8" s="1181" t="s">
        <v>15</v>
      </c>
      <c r="RXG8" s="1181"/>
      <c r="RXH8" s="4" t="s">
        <v>4</v>
      </c>
      <c r="RXI8" s="5" t="s">
        <v>5</v>
      </c>
      <c r="RXJ8" s="1181" t="s">
        <v>15</v>
      </c>
      <c r="RXK8" s="1181"/>
      <c r="RXL8" s="5" t="s">
        <v>4</v>
      </c>
      <c r="RXM8" s="5" t="s">
        <v>0</v>
      </c>
      <c r="RXN8" s="1181" t="s">
        <v>15</v>
      </c>
      <c r="RXO8" s="1181"/>
      <c r="RXP8" s="4" t="s">
        <v>4</v>
      </c>
      <c r="RXQ8" s="5" t="s">
        <v>5</v>
      </c>
      <c r="RXR8" s="1181" t="s">
        <v>15</v>
      </c>
      <c r="RXS8" s="1181"/>
      <c r="RXT8" s="5" t="s">
        <v>4</v>
      </c>
      <c r="RXU8" s="5" t="s">
        <v>0</v>
      </c>
      <c r="RXV8" s="1181" t="s">
        <v>15</v>
      </c>
      <c r="RXW8" s="1181"/>
      <c r="RXX8" s="4" t="s">
        <v>4</v>
      </c>
      <c r="RXY8" s="5" t="s">
        <v>5</v>
      </c>
      <c r="RXZ8" s="1181" t="s">
        <v>15</v>
      </c>
      <c r="RYA8" s="1181"/>
      <c r="RYB8" s="5" t="s">
        <v>4</v>
      </c>
      <c r="RYC8" s="5" t="s">
        <v>0</v>
      </c>
      <c r="RYD8" s="1181" t="s">
        <v>15</v>
      </c>
      <c r="RYE8" s="1181"/>
      <c r="RYF8" s="4" t="s">
        <v>4</v>
      </c>
      <c r="RYG8" s="5" t="s">
        <v>5</v>
      </c>
      <c r="RYH8" s="1181" t="s">
        <v>15</v>
      </c>
      <c r="RYI8" s="1181"/>
      <c r="RYJ8" s="5" t="s">
        <v>4</v>
      </c>
      <c r="RYK8" s="5" t="s">
        <v>0</v>
      </c>
      <c r="RYL8" s="1181" t="s">
        <v>15</v>
      </c>
      <c r="RYM8" s="1181"/>
      <c r="RYN8" s="4" t="s">
        <v>4</v>
      </c>
      <c r="RYO8" s="5" t="s">
        <v>5</v>
      </c>
      <c r="RYP8" s="1181" t="s">
        <v>15</v>
      </c>
      <c r="RYQ8" s="1181"/>
      <c r="RYR8" s="5" t="s">
        <v>4</v>
      </c>
      <c r="RYS8" s="5" t="s">
        <v>0</v>
      </c>
      <c r="RYT8" s="1181" t="s">
        <v>15</v>
      </c>
      <c r="RYU8" s="1181"/>
      <c r="RYV8" s="4" t="s">
        <v>4</v>
      </c>
      <c r="RYW8" s="5" t="s">
        <v>5</v>
      </c>
      <c r="RYX8" s="1181" t="s">
        <v>15</v>
      </c>
      <c r="RYY8" s="1181"/>
      <c r="RYZ8" s="5" t="s">
        <v>4</v>
      </c>
      <c r="RZA8" s="5" t="s">
        <v>0</v>
      </c>
      <c r="RZB8" s="1181" t="s">
        <v>15</v>
      </c>
      <c r="RZC8" s="1181"/>
      <c r="RZD8" s="4" t="s">
        <v>4</v>
      </c>
      <c r="RZE8" s="5" t="s">
        <v>5</v>
      </c>
      <c r="RZF8" s="1181" t="s">
        <v>15</v>
      </c>
      <c r="RZG8" s="1181"/>
      <c r="RZH8" s="5" t="s">
        <v>4</v>
      </c>
      <c r="RZI8" s="5" t="s">
        <v>0</v>
      </c>
      <c r="RZJ8" s="1181" t="s">
        <v>15</v>
      </c>
      <c r="RZK8" s="1181"/>
      <c r="RZL8" s="4" t="s">
        <v>4</v>
      </c>
      <c r="RZM8" s="5" t="s">
        <v>5</v>
      </c>
      <c r="RZN8" s="1181" t="s">
        <v>15</v>
      </c>
      <c r="RZO8" s="1181"/>
      <c r="RZP8" s="5" t="s">
        <v>4</v>
      </c>
      <c r="RZQ8" s="5" t="s">
        <v>0</v>
      </c>
      <c r="RZR8" s="1181" t="s">
        <v>15</v>
      </c>
      <c r="RZS8" s="1181"/>
      <c r="RZT8" s="4" t="s">
        <v>4</v>
      </c>
      <c r="RZU8" s="5" t="s">
        <v>5</v>
      </c>
      <c r="RZV8" s="1181" t="s">
        <v>15</v>
      </c>
      <c r="RZW8" s="1181"/>
      <c r="RZX8" s="5" t="s">
        <v>4</v>
      </c>
      <c r="RZY8" s="5" t="s">
        <v>0</v>
      </c>
      <c r="RZZ8" s="1181" t="s">
        <v>15</v>
      </c>
      <c r="SAA8" s="1181"/>
      <c r="SAB8" s="4" t="s">
        <v>4</v>
      </c>
      <c r="SAC8" s="5" t="s">
        <v>5</v>
      </c>
      <c r="SAD8" s="1181" t="s">
        <v>15</v>
      </c>
      <c r="SAE8" s="1181"/>
      <c r="SAF8" s="5" t="s">
        <v>4</v>
      </c>
      <c r="SAG8" s="5" t="s">
        <v>0</v>
      </c>
      <c r="SAH8" s="1181" t="s">
        <v>15</v>
      </c>
      <c r="SAI8" s="1181"/>
      <c r="SAJ8" s="4" t="s">
        <v>4</v>
      </c>
      <c r="SAK8" s="5" t="s">
        <v>5</v>
      </c>
      <c r="SAL8" s="1181" t="s">
        <v>15</v>
      </c>
      <c r="SAM8" s="1181"/>
      <c r="SAN8" s="5" t="s">
        <v>4</v>
      </c>
      <c r="SAO8" s="5" t="s">
        <v>0</v>
      </c>
      <c r="SAP8" s="1181" t="s">
        <v>15</v>
      </c>
      <c r="SAQ8" s="1181"/>
      <c r="SAR8" s="4" t="s">
        <v>4</v>
      </c>
      <c r="SAS8" s="5" t="s">
        <v>5</v>
      </c>
      <c r="SAT8" s="1181" t="s">
        <v>15</v>
      </c>
      <c r="SAU8" s="1181"/>
      <c r="SAV8" s="5" t="s">
        <v>4</v>
      </c>
      <c r="SAW8" s="5" t="s">
        <v>0</v>
      </c>
      <c r="SAX8" s="1181" t="s">
        <v>15</v>
      </c>
      <c r="SAY8" s="1181"/>
      <c r="SAZ8" s="4" t="s">
        <v>4</v>
      </c>
      <c r="SBA8" s="5" t="s">
        <v>5</v>
      </c>
      <c r="SBB8" s="1181" t="s">
        <v>15</v>
      </c>
      <c r="SBC8" s="1181"/>
      <c r="SBD8" s="5" t="s">
        <v>4</v>
      </c>
      <c r="SBE8" s="5" t="s">
        <v>0</v>
      </c>
      <c r="SBF8" s="1181" t="s">
        <v>15</v>
      </c>
      <c r="SBG8" s="1181"/>
      <c r="SBH8" s="4" t="s">
        <v>4</v>
      </c>
      <c r="SBI8" s="5" t="s">
        <v>5</v>
      </c>
      <c r="SBJ8" s="1181" t="s">
        <v>15</v>
      </c>
      <c r="SBK8" s="1181"/>
      <c r="SBL8" s="5" t="s">
        <v>4</v>
      </c>
      <c r="SBM8" s="5" t="s">
        <v>0</v>
      </c>
      <c r="SBN8" s="1181" t="s">
        <v>15</v>
      </c>
      <c r="SBO8" s="1181"/>
      <c r="SBP8" s="4" t="s">
        <v>4</v>
      </c>
      <c r="SBQ8" s="5" t="s">
        <v>5</v>
      </c>
      <c r="SBR8" s="1181" t="s">
        <v>15</v>
      </c>
      <c r="SBS8" s="1181"/>
      <c r="SBT8" s="5" t="s">
        <v>4</v>
      </c>
      <c r="SBU8" s="5" t="s">
        <v>0</v>
      </c>
      <c r="SBV8" s="1181" t="s">
        <v>15</v>
      </c>
      <c r="SBW8" s="1181"/>
      <c r="SBX8" s="4" t="s">
        <v>4</v>
      </c>
      <c r="SBY8" s="5" t="s">
        <v>5</v>
      </c>
      <c r="SBZ8" s="1181" t="s">
        <v>15</v>
      </c>
      <c r="SCA8" s="1181"/>
      <c r="SCB8" s="5" t="s">
        <v>4</v>
      </c>
      <c r="SCC8" s="5" t="s">
        <v>0</v>
      </c>
      <c r="SCD8" s="1181" t="s">
        <v>15</v>
      </c>
      <c r="SCE8" s="1181"/>
      <c r="SCF8" s="4" t="s">
        <v>4</v>
      </c>
      <c r="SCG8" s="5" t="s">
        <v>5</v>
      </c>
      <c r="SCH8" s="1181" t="s">
        <v>15</v>
      </c>
      <c r="SCI8" s="1181"/>
      <c r="SCJ8" s="5" t="s">
        <v>4</v>
      </c>
      <c r="SCK8" s="5" t="s">
        <v>0</v>
      </c>
      <c r="SCL8" s="1181" t="s">
        <v>15</v>
      </c>
      <c r="SCM8" s="1181"/>
      <c r="SCN8" s="4" t="s">
        <v>4</v>
      </c>
      <c r="SCO8" s="5" t="s">
        <v>5</v>
      </c>
      <c r="SCP8" s="1181" t="s">
        <v>15</v>
      </c>
      <c r="SCQ8" s="1181"/>
      <c r="SCR8" s="5" t="s">
        <v>4</v>
      </c>
      <c r="SCS8" s="5" t="s">
        <v>0</v>
      </c>
      <c r="SCT8" s="1181" t="s">
        <v>15</v>
      </c>
      <c r="SCU8" s="1181"/>
      <c r="SCV8" s="4" t="s">
        <v>4</v>
      </c>
      <c r="SCW8" s="5" t="s">
        <v>5</v>
      </c>
      <c r="SCX8" s="1181" t="s">
        <v>15</v>
      </c>
      <c r="SCY8" s="1181"/>
      <c r="SCZ8" s="5" t="s">
        <v>4</v>
      </c>
      <c r="SDA8" s="5" t="s">
        <v>0</v>
      </c>
      <c r="SDB8" s="1181" t="s">
        <v>15</v>
      </c>
      <c r="SDC8" s="1181"/>
      <c r="SDD8" s="4" t="s">
        <v>4</v>
      </c>
      <c r="SDE8" s="5" t="s">
        <v>5</v>
      </c>
      <c r="SDF8" s="1181" t="s">
        <v>15</v>
      </c>
      <c r="SDG8" s="1181"/>
      <c r="SDH8" s="5" t="s">
        <v>4</v>
      </c>
      <c r="SDI8" s="5" t="s">
        <v>0</v>
      </c>
      <c r="SDJ8" s="1181" t="s">
        <v>15</v>
      </c>
      <c r="SDK8" s="1181"/>
      <c r="SDL8" s="4" t="s">
        <v>4</v>
      </c>
      <c r="SDM8" s="5" t="s">
        <v>5</v>
      </c>
      <c r="SDN8" s="1181" t="s">
        <v>15</v>
      </c>
      <c r="SDO8" s="1181"/>
      <c r="SDP8" s="5" t="s">
        <v>4</v>
      </c>
      <c r="SDQ8" s="5" t="s">
        <v>0</v>
      </c>
      <c r="SDR8" s="1181" t="s">
        <v>15</v>
      </c>
      <c r="SDS8" s="1181"/>
      <c r="SDT8" s="4" t="s">
        <v>4</v>
      </c>
      <c r="SDU8" s="5" t="s">
        <v>5</v>
      </c>
      <c r="SDV8" s="1181" t="s">
        <v>15</v>
      </c>
      <c r="SDW8" s="1181"/>
      <c r="SDX8" s="5" t="s">
        <v>4</v>
      </c>
      <c r="SDY8" s="5" t="s">
        <v>0</v>
      </c>
      <c r="SDZ8" s="1181" t="s">
        <v>15</v>
      </c>
      <c r="SEA8" s="1181"/>
      <c r="SEB8" s="4" t="s">
        <v>4</v>
      </c>
      <c r="SEC8" s="5" t="s">
        <v>5</v>
      </c>
      <c r="SED8" s="1181" t="s">
        <v>15</v>
      </c>
      <c r="SEE8" s="1181"/>
      <c r="SEF8" s="5" t="s">
        <v>4</v>
      </c>
      <c r="SEG8" s="5" t="s">
        <v>0</v>
      </c>
      <c r="SEH8" s="1181" t="s">
        <v>15</v>
      </c>
      <c r="SEI8" s="1181"/>
      <c r="SEJ8" s="4" t="s">
        <v>4</v>
      </c>
      <c r="SEK8" s="5" t="s">
        <v>5</v>
      </c>
      <c r="SEL8" s="1181" t="s">
        <v>15</v>
      </c>
      <c r="SEM8" s="1181"/>
      <c r="SEN8" s="5" t="s">
        <v>4</v>
      </c>
      <c r="SEO8" s="5" t="s">
        <v>0</v>
      </c>
      <c r="SEP8" s="1181" t="s">
        <v>15</v>
      </c>
      <c r="SEQ8" s="1181"/>
      <c r="SER8" s="4" t="s">
        <v>4</v>
      </c>
      <c r="SES8" s="5" t="s">
        <v>5</v>
      </c>
      <c r="SET8" s="1181" t="s">
        <v>15</v>
      </c>
      <c r="SEU8" s="1181"/>
      <c r="SEV8" s="5" t="s">
        <v>4</v>
      </c>
      <c r="SEW8" s="5" t="s">
        <v>0</v>
      </c>
      <c r="SEX8" s="1181" t="s">
        <v>15</v>
      </c>
      <c r="SEY8" s="1181"/>
      <c r="SEZ8" s="4" t="s">
        <v>4</v>
      </c>
      <c r="SFA8" s="5" t="s">
        <v>5</v>
      </c>
      <c r="SFB8" s="1181" t="s">
        <v>15</v>
      </c>
      <c r="SFC8" s="1181"/>
      <c r="SFD8" s="5" t="s">
        <v>4</v>
      </c>
      <c r="SFE8" s="5" t="s">
        <v>0</v>
      </c>
      <c r="SFF8" s="1181" t="s">
        <v>15</v>
      </c>
      <c r="SFG8" s="1181"/>
      <c r="SFH8" s="4" t="s">
        <v>4</v>
      </c>
      <c r="SFI8" s="5" t="s">
        <v>5</v>
      </c>
      <c r="SFJ8" s="1181" t="s">
        <v>15</v>
      </c>
      <c r="SFK8" s="1181"/>
      <c r="SFL8" s="5" t="s">
        <v>4</v>
      </c>
      <c r="SFM8" s="5" t="s">
        <v>0</v>
      </c>
      <c r="SFN8" s="1181" t="s">
        <v>15</v>
      </c>
      <c r="SFO8" s="1181"/>
      <c r="SFP8" s="4" t="s">
        <v>4</v>
      </c>
      <c r="SFQ8" s="5" t="s">
        <v>5</v>
      </c>
      <c r="SFR8" s="1181" t="s">
        <v>15</v>
      </c>
      <c r="SFS8" s="1181"/>
      <c r="SFT8" s="5" t="s">
        <v>4</v>
      </c>
      <c r="SFU8" s="5" t="s">
        <v>0</v>
      </c>
      <c r="SFV8" s="1181" t="s">
        <v>15</v>
      </c>
      <c r="SFW8" s="1181"/>
      <c r="SFX8" s="4" t="s">
        <v>4</v>
      </c>
      <c r="SFY8" s="5" t="s">
        <v>5</v>
      </c>
      <c r="SFZ8" s="1181" t="s">
        <v>15</v>
      </c>
      <c r="SGA8" s="1181"/>
      <c r="SGB8" s="5" t="s">
        <v>4</v>
      </c>
      <c r="SGC8" s="5" t="s">
        <v>0</v>
      </c>
      <c r="SGD8" s="1181" t="s">
        <v>15</v>
      </c>
      <c r="SGE8" s="1181"/>
      <c r="SGF8" s="4" t="s">
        <v>4</v>
      </c>
      <c r="SGG8" s="5" t="s">
        <v>5</v>
      </c>
      <c r="SGH8" s="1181" t="s">
        <v>15</v>
      </c>
      <c r="SGI8" s="1181"/>
      <c r="SGJ8" s="5" t="s">
        <v>4</v>
      </c>
      <c r="SGK8" s="5" t="s">
        <v>0</v>
      </c>
      <c r="SGL8" s="1181" t="s">
        <v>15</v>
      </c>
      <c r="SGM8" s="1181"/>
      <c r="SGN8" s="4" t="s">
        <v>4</v>
      </c>
      <c r="SGO8" s="5" t="s">
        <v>5</v>
      </c>
      <c r="SGP8" s="1181" t="s">
        <v>15</v>
      </c>
      <c r="SGQ8" s="1181"/>
      <c r="SGR8" s="5" t="s">
        <v>4</v>
      </c>
      <c r="SGS8" s="5" t="s">
        <v>0</v>
      </c>
      <c r="SGT8" s="1181" t="s">
        <v>15</v>
      </c>
      <c r="SGU8" s="1181"/>
      <c r="SGV8" s="4" t="s">
        <v>4</v>
      </c>
      <c r="SGW8" s="5" t="s">
        <v>5</v>
      </c>
      <c r="SGX8" s="1181" t="s">
        <v>15</v>
      </c>
      <c r="SGY8" s="1181"/>
      <c r="SGZ8" s="5" t="s">
        <v>4</v>
      </c>
      <c r="SHA8" s="5" t="s">
        <v>0</v>
      </c>
      <c r="SHB8" s="1181" t="s">
        <v>15</v>
      </c>
      <c r="SHC8" s="1181"/>
      <c r="SHD8" s="4" t="s">
        <v>4</v>
      </c>
      <c r="SHE8" s="5" t="s">
        <v>5</v>
      </c>
      <c r="SHF8" s="1181" t="s">
        <v>15</v>
      </c>
      <c r="SHG8" s="1181"/>
      <c r="SHH8" s="5" t="s">
        <v>4</v>
      </c>
      <c r="SHI8" s="5" t="s">
        <v>0</v>
      </c>
      <c r="SHJ8" s="1181" t="s">
        <v>15</v>
      </c>
      <c r="SHK8" s="1181"/>
      <c r="SHL8" s="4" t="s">
        <v>4</v>
      </c>
      <c r="SHM8" s="5" t="s">
        <v>5</v>
      </c>
      <c r="SHN8" s="1181" t="s">
        <v>15</v>
      </c>
      <c r="SHO8" s="1181"/>
      <c r="SHP8" s="5" t="s">
        <v>4</v>
      </c>
      <c r="SHQ8" s="5" t="s">
        <v>0</v>
      </c>
      <c r="SHR8" s="1181" t="s">
        <v>15</v>
      </c>
      <c r="SHS8" s="1181"/>
      <c r="SHT8" s="4" t="s">
        <v>4</v>
      </c>
      <c r="SHU8" s="5" t="s">
        <v>5</v>
      </c>
      <c r="SHV8" s="1181" t="s">
        <v>15</v>
      </c>
      <c r="SHW8" s="1181"/>
      <c r="SHX8" s="5" t="s">
        <v>4</v>
      </c>
      <c r="SHY8" s="5" t="s">
        <v>0</v>
      </c>
      <c r="SHZ8" s="1181" t="s">
        <v>15</v>
      </c>
      <c r="SIA8" s="1181"/>
      <c r="SIB8" s="4" t="s">
        <v>4</v>
      </c>
      <c r="SIC8" s="5" t="s">
        <v>5</v>
      </c>
      <c r="SID8" s="1181" t="s">
        <v>15</v>
      </c>
      <c r="SIE8" s="1181"/>
      <c r="SIF8" s="5" t="s">
        <v>4</v>
      </c>
      <c r="SIG8" s="5" t="s">
        <v>0</v>
      </c>
      <c r="SIH8" s="1181" t="s">
        <v>15</v>
      </c>
      <c r="SII8" s="1181"/>
      <c r="SIJ8" s="4" t="s">
        <v>4</v>
      </c>
      <c r="SIK8" s="5" t="s">
        <v>5</v>
      </c>
      <c r="SIL8" s="1181" t="s">
        <v>15</v>
      </c>
      <c r="SIM8" s="1181"/>
      <c r="SIN8" s="5" t="s">
        <v>4</v>
      </c>
      <c r="SIO8" s="5" t="s">
        <v>0</v>
      </c>
      <c r="SIP8" s="1181" t="s">
        <v>15</v>
      </c>
      <c r="SIQ8" s="1181"/>
      <c r="SIR8" s="4" t="s">
        <v>4</v>
      </c>
      <c r="SIS8" s="5" t="s">
        <v>5</v>
      </c>
      <c r="SIT8" s="1181" t="s">
        <v>15</v>
      </c>
      <c r="SIU8" s="1181"/>
      <c r="SIV8" s="5" t="s">
        <v>4</v>
      </c>
      <c r="SIW8" s="5" t="s">
        <v>0</v>
      </c>
      <c r="SIX8" s="1181" t="s">
        <v>15</v>
      </c>
      <c r="SIY8" s="1181"/>
      <c r="SIZ8" s="4" t="s">
        <v>4</v>
      </c>
      <c r="SJA8" s="5" t="s">
        <v>5</v>
      </c>
      <c r="SJB8" s="1181" t="s">
        <v>15</v>
      </c>
      <c r="SJC8" s="1181"/>
      <c r="SJD8" s="5" t="s">
        <v>4</v>
      </c>
      <c r="SJE8" s="5" t="s">
        <v>0</v>
      </c>
      <c r="SJF8" s="1181" t="s">
        <v>15</v>
      </c>
      <c r="SJG8" s="1181"/>
      <c r="SJH8" s="4" t="s">
        <v>4</v>
      </c>
      <c r="SJI8" s="5" t="s">
        <v>5</v>
      </c>
      <c r="SJJ8" s="1181" t="s">
        <v>15</v>
      </c>
      <c r="SJK8" s="1181"/>
      <c r="SJL8" s="5" t="s">
        <v>4</v>
      </c>
      <c r="SJM8" s="5" t="s">
        <v>0</v>
      </c>
      <c r="SJN8" s="1181" t="s">
        <v>15</v>
      </c>
      <c r="SJO8" s="1181"/>
      <c r="SJP8" s="4" t="s">
        <v>4</v>
      </c>
      <c r="SJQ8" s="5" t="s">
        <v>5</v>
      </c>
      <c r="SJR8" s="1181" t="s">
        <v>15</v>
      </c>
      <c r="SJS8" s="1181"/>
      <c r="SJT8" s="5" t="s">
        <v>4</v>
      </c>
      <c r="SJU8" s="5" t="s">
        <v>0</v>
      </c>
      <c r="SJV8" s="1181" t="s">
        <v>15</v>
      </c>
      <c r="SJW8" s="1181"/>
      <c r="SJX8" s="4" t="s">
        <v>4</v>
      </c>
      <c r="SJY8" s="5" t="s">
        <v>5</v>
      </c>
      <c r="SJZ8" s="1181" t="s">
        <v>15</v>
      </c>
      <c r="SKA8" s="1181"/>
      <c r="SKB8" s="5" t="s">
        <v>4</v>
      </c>
      <c r="SKC8" s="5" t="s">
        <v>0</v>
      </c>
      <c r="SKD8" s="1181" t="s">
        <v>15</v>
      </c>
      <c r="SKE8" s="1181"/>
      <c r="SKF8" s="4" t="s">
        <v>4</v>
      </c>
      <c r="SKG8" s="5" t="s">
        <v>5</v>
      </c>
      <c r="SKH8" s="1181" t="s">
        <v>15</v>
      </c>
      <c r="SKI8" s="1181"/>
      <c r="SKJ8" s="5" t="s">
        <v>4</v>
      </c>
      <c r="SKK8" s="5" t="s">
        <v>0</v>
      </c>
      <c r="SKL8" s="1181" t="s">
        <v>15</v>
      </c>
      <c r="SKM8" s="1181"/>
      <c r="SKN8" s="4" t="s">
        <v>4</v>
      </c>
      <c r="SKO8" s="5" t="s">
        <v>5</v>
      </c>
      <c r="SKP8" s="1181" t="s">
        <v>15</v>
      </c>
      <c r="SKQ8" s="1181"/>
      <c r="SKR8" s="5" t="s">
        <v>4</v>
      </c>
      <c r="SKS8" s="5" t="s">
        <v>0</v>
      </c>
      <c r="SKT8" s="1181" t="s">
        <v>15</v>
      </c>
      <c r="SKU8" s="1181"/>
      <c r="SKV8" s="4" t="s">
        <v>4</v>
      </c>
      <c r="SKW8" s="5" t="s">
        <v>5</v>
      </c>
      <c r="SKX8" s="1181" t="s">
        <v>15</v>
      </c>
      <c r="SKY8" s="1181"/>
      <c r="SKZ8" s="5" t="s">
        <v>4</v>
      </c>
      <c r="SLA8" s="5" t="s">
        <v>0</v>
      </c>
      <c r="SLB8" s="1181" t="s">
        <v>15</v>
      </c>
      <c r="SLC8" s="1181"/>
      <c r="SLD8" s="4" t="s">
        <v>4</v>
      </c>
      <c r="SLE8" s="5" t="s">
        <v>5</v>
      </c>
      <c r="SLF8" s="1181" t="s">
        <v>15</v>
      </c>
      <c r="SLG8" s="1181"/>
      <c r="SLH8" s="5" t="s">
        <v>4</v>
      </c>
      <c r="SLI8" s="5" t="s">
        <v>0</v>
      </c>
      <c r="SLJ8" s="1181" t="s">
        <v>15</v>
      </c>
      <c r="SLK8" s="1181"/>
      <c r="SLL8" s="4" t="s">
        <v>4</v>
      </c>
      <c r="SLM8" s="5" t="s">
        <v>5</v>
      </c>
      <c r="SLN8" s="1181" t="s">
        <v>15</v>
      </c>
      <c r="SLO8" s="1181"/>
      <c r="SLP8" s="5" t="s">
        <v>4</v>
      </c>
      <c r="SLQ8" s="5" t="s">
        <v>0</v>
      </c>
      <c r="SLR8" s="1181" t="s">
        <v>15</v>
      </c>
      <c r="SLS8" s="1181"/>
      <c r="SLT8" s="4" t="s">
        <v>4</v>
      </c>
      <c r="SLU8" s="5" t="s">
        <v>5</v>
      </c>
      <c r="SLV8" s="1181" t="s">
        <v>15</v>
      </c>
      <c r="SLW8" s="1181"/>
      <c r="SLX8" s="5" t="s">
        <v>4</v>
      </c>
      <c r="SLY8" s="5" t="s">
        <v>0</v>
      </c>
      <c r="SLZ8" s="1181" t="s">
        <v>15</v>
      </c>
      <c r="SMA8" s="1181"/>
      <c r="SMB8" s="4" t="s">
        <v>4</v>
      </c>
      <c r="SMC8" s="5" t="s">
        <v>5</v>
      </c>
      <c r="SMD8" s="1181" t="s">
        <v>15</v>
      </c>
      <c r="SME8" s="1181"/>
      <c r="SMF8" s="5" t="s">
        <v>4</v>
      </c>
      <c r="SMG8" s="5" t="s">
        <v>0</v>
      </c>
      <c r="SMH8" s="1181" t="s">
        <v>15</v>
      </c>
      <c r="SMI8" s="1181"/>
      <c r="SMJ8" s="4" t="s">
        <v>4</v>
      </c>
      <c r="SMK8" s="5" t="s">
        <v>5</v>
      </c>
      <c r="SML8" s="1181" t="s">
        <v>15</v>
      </c>
      <c r="SMM8" s="1181"/>
      <c r="SMN8" s="5" t="s">
        <v>4</v>
      </c>
      <c r="SMO8" s="5" t="s">
        <v>0</v>
      </c>
      <c r="SMP8" s="1181" t="s">
        <v>15</v>
      </c>
      <c r="SMQ8" s="1181"/>
      <c r="SMR8" s="4" t="s">
        <v>4</v>
      </c>
      <c r="SMS8" s="5" t="s">
        <v>5</v>
      </c>
      <c r="SMT8" s="1181" t="s">
        <v>15</v>
      </c>
      <c r="SMU8" s="1181"/>
      <c r="SMV8" s="5" t="s">
        <v>4</v>
      </c>
      <c r="SMW8" s="5" t="s">
        <v>0</v>
      </c>
      <c r="SMX8" s="1181" t="s">
        <v>15</v>
      </c>
      <c r="SMY8" s="1181"/>
      <c r="SMZ8" s="4" t="s">
        <v>4</v>
      </c>
      <c r="SNA8" s="5" t="s">
        <v>5</v>
      </c>
      <c r="SNB8" s="1181" t="s">
        <v>15</v>
      </c>
      <c r="SNC8" s="1181"/>
      <c r="SND8" s="5" t="s">
        <v>4</v>
      </c>
      <c r="SNE8" s="5" t="s">
        <v>0</v>
      </c>
      <c r="SNF8" s="1181" t="s">
        <v>15</v>
      </c>
      <c r="SNG8" s="1181"/>
      <c r="SNH8" s="4" t="s">
        <v>4</v>
      </c>
      <c r="SNI8" s="5" t="s">
        <v>5</v>
      </c>
      <c r="SNJ8" s="1181" t="s">
        <v>15</v>
      </c>
      <c r="SNK8" s="1181"/>
      <c r="SNL8" s="5" t="s">
        <v>4</v>
      </c>
      <c r="SNM8" s="5" t="s">
        <v>0</v>
      </c>
      <c r="SNN8" s="1181" t="s">
        <v>15</v>
      </c>
      <c r="SNO8" s="1181"/>
      <c r="SNP8" s="4" t="s">
        <v>4</v>
      </c>
      <c r="SNQ8" s="5" t="s">
        <v>5</v>
      </c>
      <c r="SNR8" s="1181" t="s">
        <v>15</v>
      </c>
      <c r="SNS8" s="1181"/>
      <c r="SNT8" s="5" t="s">
        <v>4</v>
      </c>
      <c r="SNU8" s="5" t="s">
        <v>0</v>
      </c>
      <c r="SNV8" s="1181" t="s">
        <v>15</v>
      </c>
      <c r="SNW8" s="1181"/>
      <c r="SNX8" s="4" t="s">
        <v>4</v>
      </c>
      <c r="SNY8" s="5" t="s">
        <v>5</v>
      </c>
      <c r="SNZ8" s="1181" t="s">
        <v>15</v>
      </c>
      <c r="SOA8" s="1181"/>
      <c r="SOB8" s="5" t="s">
        <v>4</v>
      </c>
      <c r="SOC8" s="5" t="s">
        <v>0</v>
      </c>
      <c r="SOD8" s="1181" t="s">
        <v>15</v>
      </c>
      <c r="SOE8" s="1181"/>
      <c r="SOF8" s="4" t="s">
        <v>4</v>
      </c>
      <c r="SOG8" s="5" t="s">
        <v>5</v>
      </c>
      <c r="SOH8" s="1181" t="s">
        <v>15</v>
      </c>
      <c r="SOI8" s="1181"/>
      <c r="SOJ8" s="5" t="s">
        <v>4</v>
      </c>
      <c r="SOK8" s="5" t="s">
        <v>0</v>
      </c>
      <c r="SOL8" s="1181" t="s">
        <v>15</v>
      </c>
      <c r="SOM8" s="1181"/>
      <c r="SON8" s="4" t="s">
        <v>4</v>
      </c>
      <c r="SOO8" s="5" t="s">
        <v>5</v>
      </c>
      <c r="SOP8" s="1181" t="s">
        <v>15</v>
      </c>
      <c r="SOQ8" s="1181"/>
      <c r="SOR8" s="5" t="s">
        <v>4</v>
      </c>
      <c r="SOS8" s="5" t="s">
        <v>0</v>
      </c>
      <c r="SOT8" s="1181" t="s">
        <v>15</v>
      </c>
      <c r="SOU8" s="1181"/>
      <c r="SOV8" s="4" t="s">
        <v>4</v>
      </c>
      <c r="SOW8" s="5" t="s">
        <v>5</v>
      </c>
      <c r="SOX8" s="1181" t="s">
        <v>15</v>
      </c>
      <c r="SOY8" s="1181"/>
      <c r="SOZ8" s="5" t="s">
        <v>4</v>
      </c>
      <c r="SPA8" s="5" t="s">
        <v>0</v>
      </c>
      <c r="SPB8" s="1181" t="s">
        <v>15</v>
      </c>
      <c r="SPC8" s="1181"/>
      <c r="SPD8" s="4" t="s">
        <v>4</v>
      </c>
      <c r="SPE8" s="5" t="s">
        <v>5</v>
      </c>
      <c r="SPF8" s="1181" t="s">
        <v>15</v>
      </c>
      <c r="SPG8" s="1181"/>
      <c r="SPH8" s="5" t="s">
        <v>4</v>
      </c>
      <c r="SPI8" s="5" t="s">
        <v>0</v>
      </c>
      <c r="SPJ8" s="1181" t="s">
        <v>15</v>
      </c>
      <c r="SPK8" s="1181"/>
      <c r="SPL8" s="4" t="s">
        <v>4</v>
      </c>
      <c r="SPM8" s="5" t="s">
        <v>5</v>
      </c>
      <c r="SPN8" s="1181" t="s">
        <v>15</v>
      </c>
      <c r="SPO8" s="1181"/>
      <c r="SPP8" s="5" t="s">
        <v>4</v>
      </c>
      <c r="SPQ8" s="5" t="s">
        <v>0</v>
      </c>
      <c r="SPR8" s="1181" t="s">
        <v>15</v>
      </c>
      <c r="SPS8" s="1181"/>
      <c r="SPT8" s="4" t="s">
        <v>4</v>
      </c>
      <c r="SPU8" s="5" t="s">
        <v>5</v>
      </c>
      <c r="SPV8" s="1181" t="s">
        <v>15</v>
      </c>
      <c r="SPW8" s="1181"/>
      <c r="SPX8" s="5" t="s">
        <v>4</v>
      </c>
      <c r="SPY8" s="5" t="s">
        <v>0</v>
      </c>
      <c r="SPZ8" s="1181" t="s">
        <v>15</v>
      </c>
      <c r="SQA8" s="1181"/>
      <c r="SQB8" s="4" t="s">
        <v>4</v>
      </c>
      <c r="SQC8" s="5" t="s">
        <v>5</v>
      </c>
      <c r="SQD8" s="1181" t="s">
        <v>15</v>
      </c>
      <c r="SQE8" s="1181"/>
      <c r="SQF8" s="5" t="s">
        <v>4</v>
      </c>
      <c r="SQG8" s="5" t="s">
        <v>0</v>
      </c>
      <c r="SQH8" s="1181" t="s">
        <v>15</v>
      </c>
      <c r="SQI8" s="1181"/>
      <c r="SQJ8" s="4" t="s">
        <v>4</v>
      </c>
      <c r="SQK8" s="5" t="s">
        <v>5</v>
      </c>
      <c r="SQL8" s="1181" t="s">
        <v>15</v>
      </c>
      <c r="SQM8" s="1181"/>
      <c r="SQN8" s="5" t="s">
        <v>4</v>
      </c>
      <c r="SQO8" s="5" t="s">
        <v>0</v>
      </c>
      <c r="SQP8" s="1181" t="s">
        <v>15</v>
      </c>
      <c r="SQQ8" s="1181"/>
      <c r="SQR8" s="4" t="s">
        <v>4</v>
      </c>
      <c r="SQS8" s="5" t="s">
        <v>5</v>
      </c>
      <c r="SQT8" s="1181" t="s">
        <v>15</v>
      </c>
      <c r="SQU8" s="1181"/>
      <c r="SQV8" s="5" t="s">
        <v>4</v>
      </c>
      <c r="SQW8" s="5" t="s">
        <v>0</v>
      </c>
      <c r="SQX8" s="1181" t="s">
        <v>15</v>
      </c>
      <c r="SQY8" s="1181"/>
      <c r="SQZ8" s="4" t="s">
        <v>4</v>
      </c>
      <c r="SRA8" s="5" t="s">
        <v>5</v>
      </c>
      <c r="SRB8" s="1181" t="s">
        <v>15</v>
      </c>
      <c r="SRC8" s="1181"/>
      <c r="SRD8" s="5" t="s">
        <v>4</v>
      </c>
      <c r="SRE8" s="5" t="s">
        <v>0</v>
      </c>
      <c r="SRF8" s="1181" t="s">
        <v>15</v>
      </c>
      <c r="SRG8" s="1181"/>
      <c r="SRH8" s="4" t="s">
        <v>4</v>
      </c>
      <c r="SRI8" s="5" t="s">
        <v>5</v>
      </c>
      <c r="SRJ8" s="1181" t="s">
        <v>15</v>
      </c>
      <c r="SRK8" s="1181"/>
      <c r="SRL8" s="5" t="s">
        <v>4</v>
      </c>
      <c r="SRM8" s="5" t="s">
        <v>0</v>
      </c>
      <c r="SRN8" s="1181" t="s">
        <v>15</v>
      </c>
      <c r="SRO8" s="1181"/>
      <c r="SRP8" s="4" t="s">
        <v>4</v>
      </c>
      <c r="SRQ8" s="5" t="s">
        <v>5</v>
      </c>
      <c r="SRR8" s="1181" t="s">
        <v>15</v>
      </c>
      <c r="SRS8" s="1181"/>
      <c r="SRT8" s="5" t="s">
        <v>4</v>
      </c>
      <c r="SRU8" s="5" t="s">
        <v>0</v>
      </c>
      <c r="SRV8" s="1181" t="s">
        <v>15</v>
      </c>
      <c r="SRW8" s="1181"/>
      <c r="SRX8" s="4" t="s">
        <v>4</v>
      </c>
      <c r="SRY8" s="5" t="s">
        <v>5</v>
      </c>
      <c r="SRZ8" s="1181" t="s">
        <v>15</v>
      </c>
      <c r="SSA8" s="1181"/>
      <c r="SSB8" s="5" t="s">
        <v>4</v>
      </c>
      <c r="SSC8" s="5" t="s">
        <v>0</v>
      </c>
      <c r="SSD8" s="1181" t="s">
        <v>15</v>
      </c>
      <c r="SSE8" s="1181"/>
      <c r="SSF8" s="4" t="s">
        <v>4</v>
      </c>
      <c r="SSG8" s="5" t="s">
        <v>5</v>
      </c>
      <c r="SSH8" s="1181" t="s">
        <v>15</v>
      </c>
      <c r="SSI8" s="1181"/>
      <c r="SSJ8" s="5" t="s">
        <v>4</v>
      </c>
      <c r="SSK8" s="5" t="s">
        <v>0</v>
      </c>
      <c r="SSL8" s="1181" t="s">
        <v>15</v>
      </c>
      <c r="SSM8" s="1181"/>
      <c r="SSN8" s="4" t="s">
        <v>4</v>
      </c>
      <c r="SSO8" s="5" t="s">
        <v>5</v>
      </c>
      <c r="SSP8" s="1181" t="s">
        <v>15</v>
      </c>
      <c r="SSQ8" s="1181"/>
      <c r="SSR8" s="5" t="s">
        <v>4</v>
      </c>
      <c r="SSS8" s="5" t="s">
        <v>0</v>
      </c>
      <c r="SST8" s="1181" t="s">
        <v>15</v>
      </c>
      <c r="SSU8" s="1181"/>
      <c r="SSV8" s="4" t="s">
        <v>4</v>
      </c>
      <c r="SSW8" s="5" t="s">
        <v>5</v>
      </c>
      <c r="SSX8" s="1181" t="s">
        <v>15</v>
      </c>
      <c r="SSY8" s="1181"/>
      <c r="SSZ8" s="5" t="s">
        <v>4</v>
      </c>
      <c r="STA8" s="5" t="s">
        <v>0</v>
      </c>
      <c r="STB8" s="1181" t="s">
        <v>15</v>
      </c>
      <c r="STC8" s="1181"/>
      <c r="STD8" s="4" t="s">
        <v>4</v>
      </c>
      <c r="STE8" s="5" t="s">
        <v>5</v>
      </c>
      <c r="STF8" s="1181" t="s">
        <v>15</v>
      </c>
      <c r="STG8" s="1181"/>
      <c r="STH8" s="5" t="s">
        <v>4</v>
      </c>
      <c r="STI8" s="5" t="s">
        <v>0</v>
      </c>
      <c r="STJ8" s="1181" t="s">
        <v>15</v>
      </c>
      <c r="STK8" s="1181"/>
      <c r="STL8" s="4" t="s">
        <v>4</v>
      </c>
      <c r="STM8" s="5" t="s">
        <v>5</v>
      </c>
      <c r="STN8" s="1181" t="s">
        <v>15</v>
      </c>
      <c r="STO8" s="1181"/>
      <c r="STP8" s="5" t="s">
        <v>4</v>
      </c>
      <c r="STQ8" s="5" t="s">
        <v>0</v>
      </c>
      <c r="STR8" s="1181" t="s">
        <v>15</v>
      </c>
      <c r="STS8" s="1181"/>
      <c r="STT8" s="4" t="s">
        <v>4</v>
      </c>
      <c r="STU8" s="5" t="s">
        <v>5</v>
      </c>
      <c r="STV8" s="1181" t="s">
        <v>15</v>
      </c>
      <c r="STW8" s="1181"/>
      <c r="STX8" s="5" t="s">
        <v>4</v>
      </c>
      <c r="STY8" s="5" t="s">
        <v>0</v>
      </c>
      <c r="STZ8" s="1181" t="s">
        <v>15</v>
      </c>
      <c r="SUA8" s="1181"/>
      <c r="SUB8" s="4" t="s">
        <v>4</v>
      </c>
      <c r="SUC8" s="5" t="s">
        <v>5</v>
      </c>
      <c r="SUD8" s="1181" t="s">
        <v>15</v>
      </c>
      <c r="SUE8" s="1181"/>
      <c r="SUF8" s="5" t="s">
        <v>4</v>
      </c>
      <c r="SUG8" s="5" t="s">
        <v>0</v>
      </c>
      <c r="SUH8" s="1181" t="s">
        <v>15</v>
      </c>
      <c r="SUI8" s="1181"/>
      <c r="SUJ8" s="4" t="s">
        <v>4</v>
      </c>
      <c r="SUK8" s="5" t="s">
        <v>5</v>
      </c>
      <c r="SUL8" s="1181" t="s">
        <v>15</v>
      </c>
      <c r="SUM8" s="1181"/>
      <c r="SUN8" s="5" t="s">
        <v>4</v>
      </c>
      <c r="SUO8" s="5" t="s">
        <v>0</v>
      </c>
      <c r="SUP8" s="1181" t="s">
        <v>15</v>
      </c>
      <c r="SUQ8" s="1181"/>
      <c r="SUR8" s="4" t="s">
        <v>4</v>
      </c>
      <c r="SUS8" s="5" t="s">
        <v>5</v>
      </c>
      <c r="SUT8" s="1181" t="s">
        <v>15</v>
      </c>
      <c r="SUU8" s="1181"/>
      <c r="SUV8" s="5" t="s">
        <v>4</v>
      </c>
      <c r="SUW8" s="5" t="s">
        <v>0</v>
      </c>
      <c r="SUX8" s="1181" t="s">
        <v>15</v>
      </c>
      <c r="SUY8" s="1181"/>
      <c r="SUZ8" s="4" t="s">
        <v>4</v>
      </c>
      <c r="SVA8" s="5" t="s">
        <v>5</v>
      </c>
      <c r="SVB8" s="1181" t="s">
        <v>15</v>
      </c>
      <c r="SVC8" s="1181"/>
      <c r="SVD8" s="5" t="s">
        <v>4</v>
      </c>
      <c r="SVE8" s="5" t="s">
        <v>0</v>
      </c>
      <c r="SVF8" s="1181" t="s">
        <v>15</v>
      </c>
      <c r="SVG8" s="1181"/>
      <c r="SVH8" s="4" t="s">
        <v>4</v>
      </c>
      <c r="SVI8" s="5" t="s">
        <v>5</v>
      </c>
      <c r="SVJ8" s="1181" t="s">
        <v>15</v>
      </c>
      <c r="SVK8" s="1181"/>
      <c r="SVL8" s="5" t="s">
        <v>4</v>
      </c>
      <c r="SVM8" s="5" t="s">
        <v>0</v>
      </c>
      <c r="SVN8" s="1181" t="s">
        <v>15</v>
      </c>
      <c r="SVO8" s="1181"/>
      <c r="SVP8" s="4" t="s">
        <v>4</v>
      </c>
      <c r="SVQ8" s="5" t="s">
        <v>5</v>
      </c>
      <c r="SVR8" s="1181" t="s">
        <v>15</v>
      </c>
      <c r="SVS8" s="1181"/>
      <c r="SVT8" s="5" t="s">
        <v>4</v>
      </c>
      <c r="SVU8" s="5" t="s">
        <v>0</v>
      </c>
      <c r="SVV8" s="1181" t="s">
        <v>15</v>
      </c>
      <c r="SVW8" s="1181"/>
      <c r="SVX8" s="4" t="s">
        <v>4</v>
      </c>
      <c r="SVY8" s="5" t="s">
        <v>5</v>
      </c>
      <c r="SVZ8" s="1181" t="s">
        <v>15</v>
      </c>
      <c r="SWA8" s="1181"/>
      <c r="SWB8" s="5" t="s">
        <v>4</v>
      </c>
      <c r="SWC8" s="5" t="s">
        <v>0</v>
      </c>
      <c r="SWD8" s="1181" t="s">
        <v>15</v>
      </c>
      <c r="SWE8" s="1181"/>
      <c r="SWF8" s="4" t="s">
        <v>4</v>
      </c>
      <c r="SWG8" s="5" t="s">
        <v>5</v>
      </c>
      <c r="SWH8" s="1181" t="s">
        <v>15</v>
      </c>
      <c r="SWI8" s="1181"/>
      <c r="SWJ8" s="5" t="s">
        <v>4</v>
      </c>
      <c r="SWK8" s="5" t="s">
        <v>0</v>
      </c>
      <c r="SWL8" s="1181" t="s">
        <v>15</v>
      </c>
      <c r="SWM8" s="1181"/>
      <c r="SWN8" s="4" t="s">
        <v>4</v>
      </c>
      <c r="SWO8" s="5" t="s">
        <v>5</v>
      </c>
      <c r="SWP8" s="1181" t="s">
        <v>15</v>
      </c>
      <c r="SWQ8" s="1181"/>
      <c r="SWR8" s="5" t="s">
        <v>4</v>
      </c>
      <c r="SWS8" s="5" t="s">
        <v>0</v>
      </c>
      <c r="SWT8" s="1181" t="s">
        <v>15</v>
      </c>
      <c r="SWU8" s="1181"/>
      <c r="SWV8" s="4" t="s">
        <v>4</v>
      </c>
      <c r="SWW8" s="5" t="s">
        <v>5</v>
      </c>
      <c r="SWX8" s="1181" t="s">
        <v>15</v>
      </c>
      <c r="SWY8" s="1181"/>
      <c r="SWZ8" s="5" t="s">
        <v>4</v>
      </c>
      <c r="SXA8" s="5" t="s">
        <v>0</v>
      </c>
      <c r="SXB8" s="1181" t="s">
        <v>15</v>
      </c>
      <c r="SXC8" s="1181"/>
      <c r="SXD8" s="4" t="s">
        <v>4</v>
      </c>
      <c r="SXE8" s="5" t="s">
        <v>5</v>
      </c>
      <c r="SXF8" s="1181" t="s">
        <v>15</v>
      </c>
      <c r="SXG8" s="1181"/>
      <c r="SXH8" s="5" t="s">
        <v>4</v>
      </c>
      <c r="SXI8" s="5" t="s">
        <v>0</v>
      </c>
      <c r="SXJ8" s="1181" t="s">
        <v>15</v>
      </c>
      <c r="SXK8" s="1181"/>
      <c r="SXL8" s="4" t="s">
        <v>4</v>
      </c>
      <c r="SXM8" s="5" t="s">
        <v>5</v>
      </c>
      <c r="SXN8" s="1181" t="s">
        <v>15</v>
      </c>
      <c r="SXO8" s="1181"/>
      <c r="SXP8" s="5" t="s">
        <v>4</v>
      </c>
      <c r="SXQ8" s="5" t="s">
        <v>0</v>
      </c>
      <c r="SXR8" s="1181" t="s">
        <v>15</v>
      </c>
      <c r="SXS8" s="1181"/>
      <c r="SXT8" s="4" t="s">
        <v>4</v>
      </c>
      <c r="SXU8" s="5" t="s">
        <v>5</v>
      </c>
      <c r="SXV8" s="1181" t="s">
        <v>15</v>
      </c>
      <c r="SXW8" s="1181"/>
      <c r="SXX8" s="5" t="s">
        <v>4</v>
      </c>
      <c r="SXY8" s="5" t="s">
        <v>0</v>
      </c>
      <c r="SXZ8" s="1181" t="s">
        <v>15</v>
      </c>
      <c r="SYA8" s="1181"/>
      <c r="SYB8" s="4" t="s">
        <v>4</v>
      </c>
      <c r="SYC8" s="5" t="s">
        <v>5</v>
      </c>
      <c r="SYD8" s="1181" t="s">
        <v>15</v>
      </c>
      <c r="SYE8" s="1181"/>
      <c r="SYF8" s="5" t="s">
        <v>4</v>
      </c>
      <c r="SYG8" s="5" t="s">
        <v>0</v>
      </c>
      <c r="SYH8" s="1181" t="s">
        <v>15</v>
      </c>
      <c r="SYI8" s="1181"/>
      <c r="SYJ8" s="4" t="s">
        <v>4</v>
      </c>
      <c r="SYK8" s="5" t="s">
        <v>5</v>
      </c>
      <c r="SYL8" s="1181" t="s">
        <v>15</v>
      </c>
      <c r="SYM8" s="1181"/>
      <c r="SYN8" s="5" t="s">
        <v>4</v>
      </c>
      <c r="SYO8" s="5" t="s">
        <v>0</v>
      </c>
      <c r="SYP8" s="1181" t="s">
        <v>15</v>
      </c>
      <c r="SYQ8" s="1181"/>
      <c r="SYR8" s="4" t="s">
        <v>4</v>
      </c>
      <c r="SYS8" s="5" t="s">
        <v>5</v>
      </c>
      <c r="SYT8" s="1181" t="s">
        <v>15</v>
      </c>
      <c r="SYU8" s="1181"/>
      <c r="SYV8" s="5" t="s">
        <v>4</v>
      </c>
      <c r="SYW8" s="5" t="s">
        <v>0</v>
      </c>
      <c r="SYX8" s="1181" t="s">
        <v>15</v>
      </c>
      <c r="SYY8" s="1181"/>
      <c r="SYZ8" s="4" t="s">
        <v>4</v>
      </c>
      <c r="SZA8" s="5" t="s">
        <v>5</v>
      </c>
      <c r="SZB8" s="1181" t="s">
        <v>15</v>
      </c>
      <c r="SZC8" s="1181"/>
      <c r="SZD8" s="5" t="s">
        <v>4</v>
      </c>
      <c r="SZE8" s="5" t="s">
        <v>0</v>
      </c>
      <c r="SZF8" s="1181" t="s">
        <v>15</v>
      </c>
      <c r="SZG8" s="1181"/>
      <c r="SZH8" s="4" t="s">
        <v>4</v>
      </c>
      <c r="SZI8" s="5" t="s">
        <v>5</v>
      </c>
      <c r="SZJ8" s="1181" t="s">
        <v>15</v>
      </c>
      <c r="SZK8" s="1181"/>
      <c r="SZL8" s="5" t="s">
        <v>4</v>
      </c>
      <c r="SZM8" s="5" t="s">
        <v>0</v>
      </c>
      <c r="SZN8" s="1181" t="s">
        <v>15</v>
      </c>
      <c r="SZO8" s="1181"/>
      <c r="SZP8" s="4" t="s">
        <v>4</v>
      </c>
      <c r="SZQ8" s="5" t="s">
        <v>5</v>
      </c>
      <c r="SZR8" s="1181" t="s">
        <v>15</v>
      </c>
      <c r="SZS8" s="1181"/>
      <c r="SZT8" s="5" t="s">
        <v>4</v>
      </c>
      <c r="SZU8" s="5" t="s">
        <v>0</v>
      </c>
      <c r="SZV8" s="1181" t="s">
        <v>15</v>
      </c>
      <c r="SZW8" s="1181"/>
      <c r="SZX8" s="4" t="s">
        <v>4</v>
      </c>
      <c r="SZY8" s="5" t="s">
        <v>5</v>
      </c>
      <c r="SZZ8" s="1181" t="s">
        <v>15</v>
      </c>
      <c r="TAA8" s="1181"/>
      <c r="TAB8" s="5" t="s">
        <v>4</v>
      </c>
      <c r="TAC8" s="5" t="s">
        <v>0</v>
      </c>
      <c r="TAD8" s="1181" t="s">
        <v>15</v>
      </c>
      <c r="TAE8" s="1181"/>
      <c r="TAF8" s="4" t="s">
        <v>4</v>
      </c>
      <c r="TAG8" s="5" t="s">
        <v>5</v>
      </c>
      <c r="TAH8" s="1181" t="s">
        <v>15</v>
      </c>
      <c r="TAI8" s="1181"/>
      <c r="TAJ8" s="5" t="s">
        <v>4</v>
      </c>
      <c r="TAK8" s="5" t="s">
        <v>0</v>
      </c>
      <c r="TAL8" s="1181" t="s">
        <v>15</v>
      </c>
      <c r="TAM8" s="1181"/>
      <c r="TAN8" s="4" t="s">
        <v>4</v>
      </c>
      <c r="TAO8" s="5" t="s">
        <v>5</v>
      </c>
      <c r="TAP8" s="1181" t="s">
        <v>15</v>
      </c>
      <c r="TAQ8" s="1181"/>
      <c r="TAR8" s="5" t="s">
        <v>4</v>
      </c>
      <c r="TAS8" s="5" t="s">
        <v>0</v>
      </c>
      <c r="TAT8" s="1181" t="s">
        <v>15</v>
      </c>
      <c r="TAU8" s="1181"/>
      <c r="TAV8" s="4" t="s">
        <v>4</v>
      </c>
      <c r="TAW8" s="5" t="s">
        <v>5</v>
      </c>
      <c r="TAX8" s="1181" t="s">
        <v>15</v>
      </c>
      <c r="TAY8" s="1181"/>
      <c r="TAZ8" s="5" t="s">
        <v>4</v>
      </c>
      <c r="TBA8" s="5" t="s">
        <v>0</v>
      </c>
      <c r="TBB8" s="1181" t="s">
        <v>15</v>
      </c>
      <c r="TBC8" s="1181"/>
      <c r="TBD8" s="4" t="s">
        <v>4</v>
      </c>
      <c r="TBE8" s="5" t="s">
        <v>5</v>
      </c>
      <c r="TBF8" s="1181" t="s">
        <v>15</v>
      </c>
      <c r="TBG8" s="1181"/>
      <c r="TBH8" s="5" t="s">
        <v>4</v>
      </c>
      <c r="TBI8" s="5" t="s">
        <v>0</v>
      </c>
      <c r="TBJ8" s="1181" t="s">
        <v>15</v>
      </c>
      <c r="TBK8" s="1181"/>
      <c r="TBL8" s="4" t="s">
        <v>4</v>
      </c>
      <c r="TBM8" s="5" t="s">
        <v>5</v>
      </c>
      <c r="TBN8" s="1181" t="s">
        <v>15</v>
      </c>
      <c r="TBO8" s="1181"/>
      <c r="TBP8" s="5" t="s">
        <v>4</v>
      </c>
      <c r="TBQ8" s="5" t="s">
        <v>0</v>
      </c>
      <c r="TBR8" s="1181" t="s">
        <v>15</v>
      </c>
      <c r="TBS8" s="1181"/>
      <c r="TBT8" s="4" t="s">
        <v>4</v>
      </c>
      <c r="TBU8" s="5" t="s">
        <v>5</v>
      </c>
      <c r="TBV8" s="1181" t="s">
        <v>15</v>
      </c>
      <c r="TBW8" s="1181"/>
      <c r="TBX8" s="5" t="s">
        <v>4</v>
      </c>
      <c r="TBY8" s="5" t="s">
        <v>0</v>
      </c>
      <c r="TBZ8" s="1181" t="s">
        <v>15</v>
      </c>
      <c r="TCA8" s="1181"/>
      <c r="TCB8" s="4" t="s">
        <v>4</v>
      </c>
      <c r="TCC8" s="5" t="s">
        <v>5</v>
      </c>
      <c r="TCD8" s="1181" t="s">
        <v>15</v>
      </c>
      <c r="TCE8" s="1181"/>
      <c r="TCF8" s="5" t="s">
        <v>4</v>
      </c>
      <c r="TCG8" s="5" t="s">
        <v>0</v>
      </c>
      <c r="TCH8" s="1181" t="s">
        <v>15</v>
      </c>
      <c r="TCI8" s="1181"/>
      <c r="TCJ8" s="4" t="s">
        <v>4</v>
      </c>
      <c r="TCK8" s="5" t="s">
        <v>5</v>
      </c>
      <c r="TCL8" s="1181" t="s">
        <v>15</v>
      </c>
      <c r="TCM8" s="1181"/>
      <c r="TCN8" s="5" t="s">
        <v>4</v>
      </c>
      <c r="TCO8" s="5" t="s">
        <v>0</v>
      </c>
      <c r="TCP8" s="1181" t="s">
        <v>15</v>
      </c>
      <c r="TCQ8" s="1181"/>
      <c r="TCR8" s="4" t="s">
        <v>4</v>
      </c>
      <c r="TCS8" s="5" t="s">
        <v>5</v>
      </c>
      <c r="TCT8" s="1181" t="s">
        <v>15</v>
      </c>
      <c r="TCU8" s="1181"/>
      <c r="TCV8" s="5" t="s">
        <v>4</v>
      </c>
      <c r="TCW8" s="5" t="s">
        <v>0</v>
      </c>
      <c r="TCX8" s="1181" t="s">
        <v>15</v>
      </c>
      <c r="TCY8" s="1181"/>
      <c r="TCZ8" s="4" t="s">
        <v>4</v>
      </c>
      <c r="TDA8" s="5" t="s">
        <v>5</v>
      </c>
      <c r="TDB8" s="1181" t="s">
        <v>15</v>
      </c>
      <c r="TDC8" s="1181"/>
      <c r="TDD8" s="5" t="s">
        <v>4</v>
      </c>
      <c r="TDE8" s="5" t="s">
        <v>0</v>
      </c>
      <c r="TDF8" s="1181" t="s">
        <v>15</v>
      </c>
      <c r="TDG8" s="1181"/>
      <c r="TDH8" s="4" t="s">
        <v>4</v>
      </c>
      <c r="TDI8" s="5" t="s">
        <v>5</v>
      </c>
      <c r="TDJ8" s="1181" t="s">
        <v>15</v>
      </c>
      <c r="TDK8" s="1181"/>
      <c r="TDL8" s="5" t="s">
        <v>4</v>
      </c>
      <c r="TDM8" s="5" t="s">
        <v>0</v>
      </c>
      <c r="TDN8" s="1181" t="s">
        <v>15</v>
      </c>
      <c r="TDO8" s="1181"/>
      <c r="TDP8" s="4" t="s">
        <v>4</v>
      </c>
      <c r="TDQ8" s="5" t="s">
        <v>5</v>
      </c>
      <c r="TDR8" s="1181" t="s">
        <v>15</v>
      </c>
      <c r="TDS8" s="1181"/>
      <c r="TDT8" s="5" t="s">
        <v>4</v>
      </c>
      <c r="TDU8" s="5" t="s">
        <v>0</v>
      </c>
      <c r="TDV8" s="1181" t="s">
        <v>15</v>
      </c>
      <c r="TDW8" s="1181"/>
      <c r="TDX8" s="4" t="s">
        <v>4</v>
      </c>
      <c r="TDY8" s="5" t="s">
        <v>5</v>
      </c>
      <c r="TDZ8" s="1181" t="s">
        <v>15</v>
      </c>
      <c r="TEA8" s="1181"/>
      <c r="TEB8" s="5" t="s">
        <v>4</v>
      </c>
      <c r="TEC8" s="5" t="s">
        <v>0</v>
      </c>
      <c r="TED8" s="1181" t="s">
        <v>15</v>
      </c>
      <c r="TEE8" s="1181"/>
      <c r="TEF8" s="4" t="s">
        <v>4</v>
      </c>
      <c r="TEG8" s="5" t="s">
        <v>5</v>
      </c>
      <c r="TEH8" s="1181" t="s">
        <v>15</v>
      </c>
      <c r="TEI8" s="1181"/>
      <c r="TEJ8" s="5" t="s">
        <v>4</v>
      </c>
      <c r="TEK8" s="5" t="s">
        <v>0</v>
      </c>
      <c r="TEL8" s="1181" t="s">
        <v>15</v>
      </c>
      <c r="TEM8" s="1181"/>
      <c r="TEN8" s="4" t="s">
        <v>4</v>
      </c>
      <c r="TEO8" s="5" t="s">
        <v>5</v>
      </c>
      <c r="TEP8" s="1181" t="s">
        <v>15</v>
      </c>
      <c r="TEQ8" s="1181"/>
      <c r="TER8" s="5" t="s">
        <v>4</v>
      </c>
      <c r="TES8" s="5" t="s">
        <v>0</v>
      </c>
      <c r="TET8" s="1181" t="s">
        <v>15</v>
      </c>
      <c r="TEU8" s="1181"/>
      <c r="TEV8" s="4" t="s">
        <v>4</v>
      </c>
      <c r="TEW8" s="5" t="s">
        <v>5</v>
      </c>
      <c r="TEX8" s="1181" t="s">
        <v>15</v>
      </c>
      <c r="TEY8" s="1181"/>
      <c r="TEZ8" s="5" t="s">
        <v>4</v>
      </c>
      <c r="TFA8" s="5" t="s">
        <v>0</v>
      </c>
      <c r="TFB8" s="1181" t="s">
        <v>15</v>
      </c>
      <c r="TFC8" s="1181"/>
      <c r="TFD8" s="4" t="s">
        <v>4</v>
      </c>
      <c r="TFE8" s="5" t="s">
        <v>5</v>
      </c>
      <c r="TFF8" s="1181" t="s">
        <v>15</v>
      </c>
      <c r="TFG8" s="1181"/>
      <c r="TFH8" s="5" t="s">
        <v>4</v>
      </c>
      <c r="TFI8" s="5" t="s">
        <v>0</v>
      </c>
      <c r="TFJ8" s="1181" t="s">
        <v>15</v>
      </c>
      <c r="TFK8" s="1181"/>
      <c r="TFL8" s="4" t="s">
        <v>4</v>
      </c>
      <c r="TFM8" s="5" t="s">
        <v>5</v>
      </c>
      <c r="TFN8" s="1181" t="s">
        <v>15</v>
      </c>
      <c r="TFO8" s="1181"/>
      <c r="TFP8" s="5" t="s">
        <v>4</v>
      </c>
      <c r="TFQ8" s="5" t="s">
        <v>0</v>
      </c>
      <c r="TFR8" s="1181" t="s">
        <v>15</v>
      </c>
      <c r="TFS8" s="1181"/>
      <c r="TFT8" s="4" t="s">
        <v>4</v>
      </c>
      <c r="TFU8" s="5" t="s">
        <v>5</v>
      </c>
      <c r="TFV8" s="1181" t="s">
        <v>15</v>
      </c>
      <c r="TFW8" s="1181"/>
      <c r="TFX8" s="5" t="s">
        <v>4</v>
      </c>
      <c r="TFY8" s="5" t="s">
        <v>0</v>
      </c>
      <c r="TFZ8" s="1181" t="s">
        <v>15</v>
      </c>
      <c r="TGA8" s="1181"/>
      <c r="TGB8" s="4" t="s">
        <v>4</v>
      </c>
      <c r="TGC8" s="5" t="s">
        <v>5</v>
      </c>
      <c r="TGD8" s="1181" t="s">
        <v>15</v>
      </c>
      <c r="TGE8" s="1181"/>
      <c r="TGF8" s="5" t="s">
        <v>4</v>
      </c>
      <c r="TGG8" s="5" t="s">
        <v>0</v>
      </c>
      <c r="TGH8" s="1181" t="s">
        <v>15</v>
      </c>
      <c r="TGI8" s="1181"/>
      <c r="TGJ8" s="4" t="s">
        <v>4</v>
      </c>
      <c r="TGK8" s="5" t="s">
        <v>5</v>
      </c>
      <c r="TGL8" s="1181" t="s">
        <v>15</v>
      </c>
      <c r="TGM8" s="1181"/>
      <c r="TGN8" s="5" t="s">
        <v>4</v>
      </c>
      <c r="TGO8" s="5" t="s">
        <v>0</v>
      </c>
      <c r="TGP8" s="1181" t="s">
        <v>15</v>
      </c>
      <c r="TGQ8" s="1181"/>
      <c r="TGR8" s="4" t="s">
        <v>4</v>
      </c>
      <c r="TGS8" s="5" t="s">
        <v>5</v>
      </c>
      <c r="TGT8" s="1181" t="s">
        <v>15</v>
      </c>
      <c r="TGU8" s="1181"/>
      <c r="TGV8" s="5" t="s">
        <v>4</v>
      </c>
      <c r="TGW8" s="5" t="s">
        <v>0</v>
      </c>
      <c r="TGX8" s="1181" t="s">
        <v>15</v>
      </c>
      <c r="TGY8" s="1181"/>
      <c r="TGZ8" s="4" t="s">
        <v>4</v>
      </c>
      <c r="THA8" s="5" t="s">
        <v>5</v>
      </c>
      <c r="THB8" s="1181" t="s">
        <v>15</v>
      </c>
      <c r="THC8" s="1181"/>
      <c r="THD8" s="5" t="s">
        <v>4</v>
      </c>
      <c r="THE8" s="5" t="s">
        <v>0</v>
      </c>
      <c r="THF8" s="1181" t="s">
        <v>15</v>
      </c>
      <c r="THG8" s="1181"/>
      <c r="THH8" s="4" t="s">
        <v>4</v>
      </c>
      <c r="THI8" s="5" t="s">
        <v>5</v>
      </c>
      <c r="THJ8" s="1181" t="s">
        <v>15</v>
      </c>
      <c r="THK8" s="1181"/>
      <c r="THL8" s="5" t="s">
        <v>4</v>
      </c>
      <c r="THM8" s="5" t="s">
        <v>0</v>
      </c>
      <c r="THN8" s="1181" t="s">
        <v>15</v>
      </c>
      <c r="THO8" s="1181"/>
      <c r="THP8" s="4" t="s">
        <v>4</v>
      </c>
      <c r="THQ8" s="5" t="s">
        <v>5</v>
      </c>
      <c r="THR8" s="1181" t="s">
        <v>15</v>
      </c>
      <c r="THS8" s="1181"/>
      <c r="THT8" s="5" t="s">
        <v>4</v>
      </c>
      <c r="THU8" s="5" t="s">
        <v>0</v>
      </c>
      <c r="THV8" s="1181" t="s">
        <v>15</v>
      </c>
      <c r="THW8" s="1181"/>
      <c r="THX8" s="4" t="s">
        <v>4</v>
      </c>
      <c r="THY8" s="5" t="s">
        <v>5</v>
      </c>
      <c r="THZ8" s="1181" t="s">
        <v>15</v>
      </c>
      <c r="TIA8" s="1181"/>
      <c r="TIB8" s="5" t="s">
        <v>4</v>
      </c>
      <c r="TIC8" s="5" t="s">
        <v>0</v>
      </c>
      <c r="TID8" s="1181" t="s">
        <v>15</v>
      </c>
      <c r="TIE8" s="1181"/>
      <c r="TIF8" s="4" t="s">
        <v>4</v>
      </c>
      <c r="TIG8" s="5" t="s">
        <v>5</v>
      </c>
      <c r="TIH8" s="1181" t="s">
        <v>15</v>
      </c>
      <c r="TII8" s="1181"/>
      <c r="TIJ8" s="5" t="s">
        <v>4</v>
      </c>
      <c r="TIK8" s="5" t="s">
        <v>0</v>
      </c>
      <c r="TIL8" s="1181" t="s">
        <v>15</v>
      </c>
      <c r="TIM8" s="1181"/>
      <c r="TIN8" s="4" t="s">
        <v>4</v>
      </c>
      <c r="TIO8" s="5" t="s">
        <v>5</v>
      </c>
      <c r="TIP8" s="1181" t="s">
        <v>15</v>
      </c>
      <c r="TIQ8" s="1181"/>
      <c r="TIR8" s="5" t="s">
        <v>4</v>
      </c>
      <c r="TIS8" s="5" t="s">
        <v>0</v>
      </c>
      <c r="TIT8" s="1181" t="s">
        <v>15</v>
      </c>
      <c r="TIU8" s="1181"/>
      <c r="TIV8" s="4" t="s">
        <v>4</v>
      </c>
      <c r="TIW8" s="5" t="s">
        <v>5</v>
      </c>
      <c r="TIX8" s="1181" t="s">
        <v>15</v>
      </c>
      <c r="TIY8" s="1181"/>
      <c r="TIZ8" s="5" t="s">
        <v>4</v>
      </c>
      <c r="TJA8" s="5" t="s">
        <v>0</v>
      </c>
      <c r="TJB8" s="1181" t="s">
        <v>15</v>
      </c>
      <c r="TJC8" s="1181"/>
      <c r="TJD8" s="4" t="s">
        <v>4</v>
      </c>
      <c r="TJE8" s="5" t="s">
        <v>5</v>
      </c>
      <c r="TJF8" s="1181" t="s">
        <v>15</v>
      </c>
      <c r="TJG8" s="1181"/>
      <c r="TJH8" s="5" t="s">
        <v>4</v>
      </c>
      <c r="TJI8" s="5" t="s">
        <v>0</v>
      </c>
      <c r="TJJ8" s="1181" t="s">
        <v>15</v>
      </c>
      <c r="TJK8" s="1181"/>
      <c r="TJL8" s="4" t="s">
        <v>4</v>
      </c>
      <c r="TJM8" s="5" t="s">
        <v>5</v>
      </c>
      <c r="TJN8" s="1181" t="s">
        <v>15</v>
      </c>
      <c r="TJO8" s="1181"/>
      <c r="TJP8" s="5" t="s">
        <v>4</v>
      </c>
      <c r="TJQ8" s="5" t="s">
        <v>0</v>
      </c>
      <c r="TJR8" s="1181" t="s">
        <v>15</v>
      </c>
      <c r="TJS8" s="1181"/>
      <c r="TJT8" s="4" t="s">
        <v>4</v>
      </c>
      <c r="TJU8" s="5" t="s">
        <v>5</v>
      </c>
      <c r="TJV8" s="1181" t="s">
        <v>15</v>
      </c>
      <c r="TJW8" s="1181"/>
      <c r="TJX8" s="5" t="s">
        <v>4</v>
      </c>
      <c r="TJY8" s="5" t="s">
        <v>0</v>
      </c>
      <c r="TJZ8" s="1181" t="s">
        <v>15</v>
      </c>
      <c r="TKA8" s="1181"/>
      <c r="TKB8" s="4" t="s">
        <v>4</v>
      </c>
      <c r="TKC8" s="5" t="s">
        <v>5</v>
      </c>
      <c r="TKD8" s="1181" t="s">
        <v>15</v>
      </c>
      <c r="TKE8" s="1181"/>
      <c r="TKF8" s="5" t="s">
        <v>4</v>
      </c>
      <c r="TKG8" s="5" t="s">
        <v>0</v>
      </c>
      <c r="TKH8" s="1181" t="s">
        <v>15</v>
      </c>
      <c r="TKI8" s="1181"/>
      <c r="TKJ8" s="4" t="s">
        <v>4</v>
      </c>
      <c r="TKK8" s="5" t="s">
        <v>5</v>
      </c>
      <c r="TKL8" s="1181" t="s">
        <v>15</v>
      </c>
      <c r="TKM8" s="1181"/>
      <c r="TKN8" s="5" t="s">
        <v>4</v>
      </c>
      <c r="TKO8" s="5" t="s">
        <v>0</v>
      </c>
      <c r="TKP8" s="1181" t="s">
        <v>15</v>
      </c>
      <c r="TKQ8" s="1181"/>
      <c r="TKR8" s="4" t="s">
        <v>4</v>
      </c>
      <c r="TKS8" s="5" t="s">
        <v>5</v>
      </c>
      <c r="TKT8" s="1181" t="s">
        <v>15</v>
      </c>
      <c r="TKU8" s="1181"/>
      <c r="TKV8" s="5" t="s">
        <v>4</v>
      </c>
      <c r="TKW8" s="5" t="s">
        <v>0</v>
      </c>
      <c r="TKX8" s="1181" t="s">
        <v>15</v>
      </c>
      <c r="TKY8" s="1181"/>
      <c r="TKZ8" s="4" t="s">
        <v>4</v>
      </c>
      <c r="TLA8" s="5" t="s">
        <v>5</v>
      </c>
      <c r="TLB8" s="1181" t="s">
        <v>15</v>
      </c>
      <c r="TLC8" s="1181"/>
      <c r="TLD8" s="5" t="s">
        <v>4</v>
      </c>
      <c r="TLE8" s="5" t="s">
        <v>0</v>
      </c>
      <c r="TLF8" s="1181" t="s">
        <v>15</v>
      </c>
      <c r="TLG8" s="1181"/>
      <c r="TLH8" s="4" t="s">
        <v>4</v>
      </c>
      <c r="TLI8" s="5" t="s">
        <v>5</v>
      </c>
      <c r="TLJ8" s="1181" t="s">
        <v>15</v>
      </c>
      <c r="TLK8" s="1181"/>
      <c r="TLL8" s="5" t="s">
        <v>4</v>
      </c>
      <c r="TLM8" s="5" t="s">
        <v>0</v>
      </c>
      <c r="TLN8" s="1181" t="s">
        <v>15</v>
      </c>
      <c r="TLO8" s="1181"/>
      <c r="TLP8" s="4" t="s">
        <v>4</v>
      </c>
      <c r="TLQ8" s="5" t="s">
        <v>5</v>
      </c>
      <c r="TLR8" s="1181" t="s">
        <v>15</v>
      </c>
      <c r="TLS8" s="1181"/>
      <c r="TLT8" s="5" t="s">
        <v>4</v>
      </c>
      <c r="TLU8" s="5" t="s">
        <v>0</v>
      </c>
      <c r="TLV8" s="1181" t="s">
        <v>15</v>
      </c>
      <c r="TLW8" s="1181"/>
      <c r="TLX8" s="4" t="s">
        <v>4</v>
      </c>
      <c r="TLY8" s="5" t="s">
        <v>5</v>
      </c>
      <c r="TLZ8" s="1181" t="s">
        <v>15</v>
      </c>
      <c r="TMA8" s="1181"/>
      <c r="TMB8" s="5" t="s">
        <v>4</v>
      </c>
      <c r="TMC8" s="5" t="s">
        <v>0</v>
      </c>
      <c r="TMD8" s="1181" t="s">
        <v>15</v>
      </c>
      <c r="TME8" s="1181"/>
      <c r="TMF8" s="4" t="s">
        <v>4</v>
      </c>
      <c r="TMG8" s="5" t="s">
        <v>5</v>
      </c>
      <c r="TMH8" s="1181" t="s">
        <v>15</v>
      </c>
      <c r="TMI8" s="1181"/>
      <c r="TMJ8" s="5" t="s">
        <v>4</v>
      </c>
      <c r="TMK8" s="5" t="s">
        <v>0</v>
      </c>
      <c r="TML8" s="1181" t="s">
        <v>15</v>
      </c>
      <c r="TMM8" s="1181"/>
      <c r="TMN8" s="4" t="s">
        <v>4</v>
      </c>
      <c r="TMO8" s="5" t="s">
        <v>5</v>
      </c>
      <c r="TMP8" s="1181" t="s">
        <v>15</v>
      </c>
      <c r="TMQ8" s="1181"/>
      <c r="TMR8" s="5" t="s">
        <v>4</v>
      </c>
      <c r="TMS8" s="5" t="s">
        <v>0</v>
      </c>
      <c r="TMT8" s="1181" t="s">
        <v>15</v>
      </c>
      <c r="TMU8" s="1181"/>
      <c r="TMV8" s="4" t="s">
        <v>4</v>
      </c>
      <c r="TMW8" s="5" t="s">
        <v>5</v>
      </c>
      <c r="TMX8" s="1181" t="s">
        <v>15</v>
      </c>
      <c r="TMY8" s="1181"/>
      <c r="TMZ8" s="5" t="s">
        <v>4</v>
      </c>
      <c r="TNA8" s="5" t="s">
        <v>0</v>
      </c>
      <c r="TNB8" s="1181" t="s">
        <v>15</v>
      </c>
      <c r="TNC8" s="1181"/>
      <c r="TND8" s="4" t="s">
        <v>4</v>
      </c>
      <c r="TNE8" s="5" t="s">
        <v>5</v>
      </c>
      <c r="TNF8" s="1181" t="s">
        <v>15</v>
      </c>
      <c r="TNG8" s="1181"/>
      <c r="TNH8" s="5" t="s">
        <v>4</v>
      </c>
      <c r="TNI8" s="5" t="s">
        <v>0</v>
      </c>
      <c r="TNJ8" s="1181" t="s">
        <v>15</v>
      </c>
      <c r="TNK8" s="1181"/>
      <c r="TNL8" s="4" t="s">
        <v>4</v>
      </c>
      <c r="TNM8" s="5" t="s">
        <v>5</v>
      </c>
      <c r="TNN8" s="1181" t="s">
        <v>15</v>
      </c>
      <c r="TNO8" s="1181"/>
      <c r="TNP8" s="5" t="s">
        <v>4</v>
      </c>
      <c r="TNQ8" s="5" t="s">
        <v>0</v>
      </c>
      <c r="TNR8" s="1181" t="s">
        <v>15</v>
      </c>
      <c r="TNS8" s="1181"/>
      <c r="TNT8" s="4" t="s">
        <v>4</v>
      </c>
      <c r="TNU8" s="5" t="s">
        <v>5</v>
      </c>
      <c r="TNV8" s="1181" t="s">
        <v>15</v>
      </c>
      <c r="TNW8" s="1181"/>
      <c r="TNX8" s="5" t="s">
        <v>4</v>
      </c>
      <c r="TNY8" s="5" t="s">
        <v>0</v>
      </c>
      <c r="TNZ8" s="1181" t="s">
        <v>15</v>
      </c>
      <c r="TOA8" s="1181"/>
      <c r="TOB8" s="4" t="s">
        <v>4</v>
      </c>
      <c r="TOC8" s="5" t="s">
        <v>5</v>
      </c>
      <c r="TOD8" s="1181" t="s">
        <v>15</v>
      </c>
      <c r="TOE8" s="1181"/>
      <c r="TOF8" s="5" t="s">
        <v>4</v>
      </c>
      <c r="TOG8" s="5" t="s">
        <v>0</v>
      </c>
      <c r="TOH8" s="1181" t="s">
        <v>15</v>
      </c>
      <c r="TOI8" s="1181"/>
      <c r="TOJ8" s="4" t="s">
        <v>4</v>
      </c>
      <c r="TOK8" s="5" t="s">
        <v>5</v>
      </c>
      <c r="TOL8" s="1181" t="s">
        <v>15</v>
      </c>
      <c r="TOM8" s="1181"/>
      <c r="TON8" s="5" t="s">
        <v>4</v>
      </c>
      <c r="TOO8" s="5" t="s">
        <v>0</v>
      </c>
      <c r="TOP8" s="1181" t="s">
        <v>15</v>
      </c>
      <c r="TOQ8" s="1181"/>
      <c r="TOR8" s="4" t="s">
        <v>4</v>
      </c>
      <c r="TOS8" s="5" t="s">
        <v>5</v>
      </c>
      <c r="TOT8" s="1181" t="s">
        <v>15</v>
      </c>
      <c r="TOU8" s="1181"/>
      <c r="TOV8" s="5" t="s">
        <v>4</v>
      </c>
      <c r="TOW8" s="5" t="s">
        <v>0</v>
      </c>
      <c r="TOX8" s="1181" t="s">
        <v>15</v>
      </c>
      <c r="TOY8" s="1181"/>
      <c r="TOZ8" s="4" t="s">
        <v>4</v>
      </c>
      <c r="TPA8" s="5" t="s">
        <v>5</v>
      </c>
      <c r="TPB8" s="1181" t="s">
        <v>15</v>
      </c>
      <c r="TPC8" s="1181"/>
      <c r="TPD8" s="5" t="s">
        <v>4</v>
      </c>
      <c r="TPE8" s="5" t="s">
        <v>0</v>
      </c>
      <c r="TPF8" s="1181" t="s">
        <v>15</v>
      </c>
      <c r="TPG8" s="1181"/>
      <c r="TPH8" s="4" t="s">
        <v>4</v>
      </c>
      <c r="TPI8" s="5" t="s">
        <v>5</v>
      </c>
      <c r="TPJ8" s="1181" t="s">
        <v>15</v>
      </c>
      <c r="TPK8" s="1181"/>
      <c r="TPL8" s="5" t="s">
        <v>4</v>
      </c>
      <c r="TPM8" s="5" t="s">
        <v>0</v>
      </c>
      <c r="TPN8" s="1181" t="s">
        <v>15</v>
      </c>
      <c r="TPO8" s="1181"/>
      <c r="TPP8" s="4" t="s">
        <v>4</v>
      </c>
      <c r="TPQ8" s="5" t="s">
        <v>5</v>
      </c>
      <c r="TPR8" s="1181" t="s">
        <v>15</v>
      </c>
      <c r="TPS8" s="1181"/>
      <c r="TPT8" s="5" t="s">
        <v>4</v>
      </c>
      <c r="TPU8" s="5" t="s">
        <v>0</v>
      </c>
      <c r="TPV8" s="1181" t="s">
        <v>15</v>
      </c>
      <c r="TPW8" s="1181"/>
      <c r="TPX8" s="4" t="s">
        <v>4</v>
      </c>
      <c r="TPY8" s="5" t="s">
        <v>5</v>
      </c>
      <c r="TPZ8" s="1181" t="s">
        <v>15</v>
      </c>
      <c r="TQA8" s="1181"/>
      <c r="TQB8" s="5" t="s">
        <v>4</v>
      </c>
      <c r="TQC8" s="5" t="s">
        <v>0</v>
      </c>
      <c r="TQD8" s="1181" t="s">
        <v>15</v>
      </c>
      <c r="TQE8" s="1181"/>
      <c r="TQF8" s="4" t="s">
        <v>4</v>
      </c>
      <c r="TQG8" s="5" t="s">
        <v>5</v>
      </c>
      <c r="TQH8" s="1181" t="s">
        <v>15</v>
      </c>
      <c r="TQI8" s="1181"/>
      <c r="TQJ8" s="5" t="s">
        <v>4</v>
      </c>
      <c r="TQK8" s="5" t="s">
        <v>0</v>
      </c>
      <c r="TQL8" s="1181" t="s">
        <v>15</v>
      </c>
      <c r="TQM8" s="1181"/>
      <c r="TQN8" s="4" t="s">
        <v>4</v>
      </c>
      <c r="TQO8" s="5" t="s">
        <v>5</v>
      </c>
      <c r="TQP8" s="1181" t="s">
        <v>15</v>
      </c>
      <c r="TQQ8" s="1181"/>
      <c r="TQR8" s="5" t="s">
        <v>4</v>
      </c>
      <c r="TQS8" s="5" t="s">
        <v>0</v>
      </c>
      <c r="TQT8" s="1181" t="s">
        <v>15</v>
      </c>
      <c r="TQU8" s="1181"/>
      <c r="TQV8" s="4" t="s">
        <v>4</v>
      </c>
      <c r="TQW8" s="5" t="s">
        <v>5</v>
      </c>
      <c r="TQX8" s="1181" t="s">
        <v>15</v>
      </c>
      <c r="TQY8" s="1181"/>
      <c r="TQZ8" s="5" t="s">
        <v>4</v>
      </c>
      <c r="TRA8" s="5" t="s">
        <v>0</v>
      </c>
      <c r="TRB8" s="1181" t="s">
        <v>15</v>
      </c>
      <c r="TRC8" s="1181"/>
      <c r="TRD8" s="4" t="s">
        <v>4</v>
      </c>
      <c r="TRE8" s="5" t="s">
        <v>5</v>
      </c>
      <c r="TRF8" s="1181" t="s">
        <v>15</v>
      </c>
      <c r="TRG8" s="1181"/>
      <c r="TRH8" s="5" t="s">
        <v>4</v>
      </c>
      <c r="TRI8" s="5" t="s">
        <v>0</v>
      </c>
      <c r="TRJ8" s="1181" t="s">
        <v>15</v>
      </c>
      <c r="TRK8" s="1181"/>
      <c r="TRL8" s="4" t="s">
        <v>4</v>
      </c>
      <c r="TRM8" s="5" t="s">
        <v>5</v>
      </c>
      <c r="TRN8" s="1181" t="s">
        <v>15</v>
      </c>
      <c r="TRO8" s="1181"/>
      <c r="TRP8" s="5" t="s">
        <v>4</v>
      </c>
      <c r="TRQ8" s="5" t="s">
        <v>0</v>
      </c>
      <c r="TRR8" s="1181" t="s">
        <v>15</v>
      </c>
      <c r="TRS8" s="1181"/>
      <c r="TRT8" s="4" t="s">
        <v>4</v>
      </c>
      <c r="TRU8" s="5" t="s">
        <v>5</v>
      </c>
      <c r="TRV8" s="1181" t="s">
        <v>15</v>
      </c>
      <c r="TRW8" s="1181"/>
      <c r="TRX8" s="5" t="s">
        <v>4</v>
      </c>
      <c r="TRY8" s="5" t="s">
        <v>0</v>
      </c>
      <c r="TRZ8" s="1181" t="s">
        <v>15</v>
      </c>
      <c r="TSA8" s="1181"/>
      <c r="TSB8" s="4" t="s">
        <v>4</v>
      </c>
      <c r="TSC8" s="5" t="s">
        <v>5</v>
      </c>
      <c r="TSD8" s="1181" t="s">
        <v>15</v>
      </c>
      <c r="TSE8" s="1181"/>
      <c r="TSF8" s="5" t="s">
        <v>4</v>
      </c>
      <c r="TSG8" s="5" t="s">
        <v>0</v>
      </c>
      <c r="TSH8" s="1181" t="s">
        <v>15</v>
      </c>
      <c r="TSI8" s="1181"/>
      <c r="TSJ8" s="4" t="s">
        <v>4</v>
      </c>
      <c r="TSK8" s="5" t="s">
        <v>5</v>
      </c>
      <c r="TSL8" s="1181" t="s">
        <v>15</v>
      </c>
      <c r="TSM8" s="1181"/>
      <c r="TSN8" s="5" t="s">
        <v>4</v>
      </c>
      <c r="TSO8" s="5" t="s">
        <v>0</v>
      </c>
      <c r="TSP8" s="1181" t="s">
        <v>15</v>
      </c>
      <c r="TSQ8" s="1181"/>
      <c r="TSR8" s="4" t="s">
        <v>4</v>
      </c>
      <c r="TSS8" s="5" t="s">
        <v>5</v>
      </c>
      <c r="TST8" s="1181" t="s">
        <v>15</v>
      </c>
      <c r="TSU8" s="1181"/>
      <c r="TSV8" s="5" t="s">
        <v>4</v>
      </c>
      <c r="TSW8" s="5" t="s">
        <v>0</v>
      </c>
      <c r="TSX8" s="1181" t="s">
        <v>15</v>
      </c>
      <c r="TSY8" s="1181"/>
      <c r="TSZ8" s="4" t="s">
        <v>4</v>
      </c>
      <c r="TTA8" s="5" t="s">
        <v>5</v>
      </c>
      <c r="TTB8" s="1181" t="s">
        <v>15</v>
      </c>
      <c r="TTC8" s="1181"/>
      <c r="TTD8" s="5" t="s">
        <v>4</v>
      </c>
      <c r="TTE8" s="5" t="s">
        <v>0</v>
      </c>
      <c r="TTF8" s="1181" t="s">
        <v>15</v>
      </c>
      <c r="TTG8" s="1181"/>
      <c r="TTH8" s="4" t="s">
        <v>4</v>
      </c>
      <c r="TTI8" s="5" t="s">
        <v>5</v>
      </c>
      <c r="TTJ8" s="1181" t="s">
        <v>15</v>
      </c>
      <c r="TTK8" s="1181"/>
      <c r="TTL8" s="5" t="s">
        <v>4</v>
      </c>
      <c r="TTM8" s="5" t="s">
        <v>0</v>
      </c>
      <c r="TTN8" s="1181" t="s">
        <v>15</v>
      </c>
      <c r="TTO8" s="1181"/>
      <c r="TTP8" s="4" t="s">
        <v>4</v>
      </c>
      <c r="TTQ8" s="5" t="s">
        <v>5</v>
      </c>
      <c r="TTR8" s="1181" t="s">
        <v>15</v>
      </c>
      <c r="TTS8" s="1181"/>
      <c r="TTT8" s="5" t="s">
        <v>4</v>
      </c>
      <c r="TTU8" s="5" t="s">
        <v>0</v>
      </c>
      <c r="TTV8" s="1181" t="s">
        <v>15</v>
      </c>
      <c r="TTW8" s="1181"/>
      <c r="TTX8" s="4" t="s">
        <v>4</v>
      </c>
      <c r="TTY8" s="5" t="s">
        <v>5</v>
      </c>
      <c r="TTZ8" s="1181" t="s">
        <v>15</v>
      </c>
      <c r="TUA8" s="1181"/>
      <c r="TUB8" s="5" t="s">
        <v>4</v>
      </c>
      <c r="TUC8" s="5" t="s">
        <v>0</v>
      </c>
      <c r="TUD8" s="1181" t="s">
        <v>15</v>
      </c>
      <c r="TUE8" s="1181"/>
      <c r="TUF8" s="4" t="s">
        <v>4</v>
      </c>
      <c r="TUG8" s="5" t="s">
        <v>5</v>
      </c>
      <c r="TUH8" s="1181" t="s">
        <v>15</v>
      </c>
      <c r="TUI8" s="1181"/>
      <c r="TUJ8" s="5" t="s">
        <v>4</v>
      </c>
      <c r="TUK8" s="5" t="s">
        <v>0</v>
      </c>
      <c r="TUL8" s="1181" t="s">
        <v>15</v>
      </c>
      <c r="TUM8" s="1181"/>
      <c r="TUN8" s="4" t="s">
        <v>4</v>
      </c>
      <c r="TUO8" s="5" t="s">
        <v>5</v>
      </c>
      <c r="TUP8" s="1181" t="s">
        <v>15</v>
      </c>
      <c r="TUQ8" s="1181"/>
      <c r="TUR8" s="5" t="s">
        <v>4</v>
      </c>
      <c r="TUS8" s="5" t="s">
        <v>0</v>
      </c>
      <c r="TUT8" s="1181" t="s">
        <v>15</v>
      </c>
      <c r="TUU8" s="1181"/>
      <c r="TUV8" s="4" t="s">
        <v>4</v>
      </c>
      <c r="TUW8" s="5" t="s">
        <v>5</v>
      </c>
      <c r="TUX8" s="1181" t="s">
        <v>15</v>
      </c>
      <c r="TUY8" s="1181"/>
      <c r="TUZ8" s="5" t="s">
        <v>4</v>
      </c>
      <c r="TVA8" s="5" t="s">
        <v>0</v>
      </c>
      <c r="TVB8" s="1181" t="s">
        <v>15</v>
      </c>
      <c r="TVC8" s="1181"/>
      <c r="TVD8" s="4" t="s">
        <v>4</v>
      </c>
      <c r="TVE8" s="5" t="s">
        <v>5</v>
      </c>
      <c r="TVF8" s="1181" t="s">
        <v>15</v>
      </c>
      <c r="TVG8" s="1181"/>
      <c r="TVH8" s="5" t="s">
        <v>4</v>
      </c>
      <c r="TVI8" s="5" t="s">
        <v>0</v>
      </c>
      <c r="TVJ8" s="1181" t="s">
        <v>15</v>
      </c>
      <c r="TVK8" s="1181"/>
      <c r="TVL8" s="4" t="s">
        <v>4</v>
      </c>
      <c r="TVM8" s="5" t="s">
        <v>5</v>
      </c>
      <c r="TVN8" s="1181" t="s">
        <v>15</v>
      </c>
      <c r="TVO8" s="1181"/>
      <c r="TVP8" s="5" t="s">
        <v>4</v>
      </c>
      <c r="TVQ8" s="5" t="s">
        <v>0</v>
      </c>
      <c r="TVR8" s="1181" t="s">
        <v>15</v>
      </c>
      <c r="TVS8" s="1181"/>
      <c r="TVT8" s="4" t="s">
        <v>4</v>
      </c>
      <c r="TVU8" s="5" t="s">
        <v>5</v>
      </c>
      <c r="TVV8" s="1181" t="s">
        <v>15</v>
      </c>
      <c r="TVW8" s="1181"/>
      <c r="TVX8" s="5" t="s">
        <v>4</v>
      </c>
      <c r="TVY8" s="5" t="s">
        <v>0</v>
      </c>
      <c r="TVZ8" s="1181" t="s">
        <v>15</v>
      </c>
      <c r="TWA8" s="1181"/>
      <c r="TWB8" s="4" t="s">
        <v>4</v>
      </c>
      <c r="TWC8" s="5" t="s">
        <v>5</v>
      </c>
      <c r="TWD8" s="1181" t="s">
        <v>15</v>
      </c>
      <c r="TWE8" s="1181"/>
      <c r="TWF8" s="5" t="s">
        <v>4</v>
      </c>
      <c r="TWG8" s="5" t="s">
        <v>0</v>
      </c>
      <c r="TWH8" s="1181" t="s">
        <v>15</v>
      </c>
      <c r="TWI8" s="1181"/>
      <c r="TWJ8" s="4" t="s">
        <v>4</v>
      </c>
      <c r="TWK8" s="5" t="s">
        <v>5</v>
      </c>
      <c r="TWL8" s="1181" t="s">
        <v>15</v>
      </c>
      <c r="TWM8" s="1181"/>
      <c r="TWN8" s="5" t="s">
        <v>4</v>
      </c>
      <c r="TWO8" s="5" t="s">
        <v>0</v>
      </c>
      <c r="TWP8" s="1181" t="s">
        <v>15</v>
      </c>
      <c r="TWQ8" s="1181"/>
      <c r="TWR8" s="4" t="s">
        <v>4</v>
      </c>
      <c r="TWS8" s="5" t="s">
        <v>5</v>
      </c>
      <c r="TWT8" s="1181" t="s">
        <v>15</v>
      </c>
      <c r="TWU8" s="1181"/>
      <c r="TWV8" s="5" t="s">
        <v>4</v>
      </c>
      <c r="TWW8" s="5" t="s">
        <v>0</v>
      </c>
      <c r="TWX8" s="1181" t="s">
        <v>15</v>
      </c>
      <c r="TWY8" s="1181"/>
      <c r="TWZ8" s="4" t="s">
        <v>4</v>
      </c>
      <c r="TXA8" s="5" t="s">
        <v>5</v>
      </c>
      <c r="TXB8" s="1181" t="s">
        <v>15</v>
      </c>
      <c r="TXC8" s="1181"/>
      <c r="TXD8" s="5" t="s">
        <v>4</v>
      </c>
      <c r="TXE8" s="5" t="s">
        <v>0</v>
      </c>
      <c r="TXF8" s="1181" t="s">
        <v>15</v>
      </c>
      <c r="TXG8" s="1181"/>
      <c r="TXH8" s="4" t="s">
        <v>4</v>
      </c>
      <c r="TXI8" s="5" t="s">
        <v>5</v>
      </c>
      <c r="TXJ8" s="1181" t="s">
        <v>15</v>
      </c>
      <c r="TXK8" s="1181"/>
      <c r="TXL8" s="5" t="s">
        <v>4</v>
      </c>
      <c r="TXM8" s="5" t="s">
        <v>0</v>
      </c>
      <c r="TXN8" s="1181" t="s">
        <v>15</v>
      </c>
      <c r="TXO8" s="1181"/>
      <c r="TXP8" s="4" t="s">
        <v>4</v>
      </c>
      <c r="TXQ8" s="5" t="s">
        <v>5</v>
      </c>
      <c r="TXR8" s="1181" t="s">
        <v>15</v>
      </c>
      <c r="TXS8" s="1181"/>
      <c r="TXT8" s="5" t="s">
        <v>4</v>
      </c>
      <c r="TXU8" s="5" t="s">
        <v>0</v>
      </c>
      <c r="TXV8" s="1181" t="s">
        <v>15</v>
      </c>
      <c r="TXW8" s="1181"/>
      <c r="TXX8" s="4" t="s">
        <v>4</v>
      </c>
      <c r="TXY8" s="5" t="s">
        <v>5</v>
      </c>
      <c r="TXZ8" s="1181" t="s">
        <v>15</v>
      </c>
      <c r="TYA8" s="1181"/>
      <c r="TYB8" s="5" t="s">
        <v>4</v>
      </c>
      <c r="TYC8" s="5" t="s">
        <v>0</v>
      </c>
      <c r="TYD8" s="1181" t="s">
        <v>15</v>
      </c>
      <c r="TYE8" s="1181"/>
      <c r="TYF8" s="4" t="s">
        <v>4</v>
      </c>
      <c r="TYG8" s="5" t="s">
        <v>5</v>
      </c>
      <c r="TYH8" s="1181" t="s">
        <v>15</v>
      </c>
      <c r="TYI8" s="1181"/>
      <c r="TYJ8" s="5" t="s">
        <v>4</v>
      </c>
      <c r="TYK8" s="5" t="s">
        <v>0</v>
      </c>
      <c r="TYL8" s="1181" t="s">
        <v>15</v>
      </c>
      <c r="TYM8" s="1181"/>
      <c r="TYN8" s="4" t="s">
        <v>4</v>
      </c>
      <c r="TYO8" s="5" t="s">
        <v>5</v>
      </c>
      <c r="TYP8" s="1181" t="s">
        <v>15</v>
      </c>
      <c r="TYQ8" s="1181"/>
      <c r="TYR8" s="5" t="s">
        <v>4</v>
      </c>
      <c r="TYS8" s="5" t="s">
        <v>0</v>
      </c>
      <c r="TYT8" s="1181" t="s">
        <v>15</v>
      </c>
      <c r="TYU8" s="1181"/>
      <c r="TYV8" s="4" t="s">
        <v>4</v>
      </c>
      <c r="TYW8" s="5" t="s">
        <v>5</v>
      </c>
      <c r="TYX8" s="1181" t="s">
        <v>15</v>
      </c>
      <c r="TYY8" s="1181"/>
      <c r="TYZ8" s="5" t="s">
        <v>4</v>
      </c>
      <c r="TZA8" s="5" t="s">
        <v>0</v>
      </c>
      <c r="TZB8" s="1181" t="s">
        <v>15</v>
      </c>
      <c r="TZC8" s="1181"/>
      <c r="TZD8" s="4" t="s">
        <v>4</v>
      </c>
      <c r="TZE8" s="5" t="s">
        <v>5</v>
      </c>
      <c r="TZF8" s="1181" t="s">
        <v>15</v>
      </c>
      <c r="TZG8" s="1181"/>
      <c r="TZH8" s="5" t="s">
        <v>4</v>
      </c>
      <c r="TZI8" s="5" t="s">
        <v>0</v>
      </c>
      <c r="TZJ8" s="1181" t="s">
        <v>15</v>
      </c>
      <c r="TZK8" s="1181"/>
      <c r="TZL8" s="4" t="s">
        <v>4</v>
      </c>
      <c r="TZM8" s="5" t="s">
        <v>5</v>
      </c>
      <c r="TZN8" s="1181" t="s">
        <v>15</v>
      </c>
      <c r="TZO8" s="1181"/>
      <c r="TZP8" s="5" t="s">
        <v>4</v>
      </c>
      <c r="TZQ8" s="5" t="s">
        <v>0</v>
      </c>
      <c r="TZR8" s="1181" t="s">
        <v>15</v>
      </c>
      <c r="TZS8" s="1181"/>
      <c r="TZT8" s="4" t="s">
        <v>4</v>
      </c>
      <c r="TZU8" s="5" t="s">
        <v>5</v>
      </c>
      <c r="TZV8" s="1181" t="s">
        <v>15</v>
      </c>
      <c r="TZW8" s="1181"/>
      <c r="TZX8" s="5" t="s">
        <v>4</v>
      </c>
      <c r="TZY8" s="5" t="s">
        <v>0</v>
      </c>
      <c r="TZZ8" s="1181" t="s">
        <v>15</v>
      </c>
      <c r="UAA8" s="1181"/>
      <c r="UAB8" s="4" t="s">
        <v>4</v>
      </c>
      <c r="UAC8" s="5" t="s">
        <v>5</v>
      </c>
      <c r="UAD8" s="1181" t="s">
        <v>15</v>
      </c>
      <c r="UAE8" s="1181"/>
      <c r="UAF8" s="5" t="s">
        <v>4</v>
      </c>
      <c r="UAG8" s="5" t="s">
        <v>0</v>
      </c>
      <c r="UAH8" s="1181" t="s">
        <v>15</v>
      </c>
      <c r="UAI8" s="1181"/>
      <c r="UAJ8" s="4" t="s">
        <v>4</v>
      </c>
      <c r="UAK8" s="5" t="s">
        <v>5</v>
      </c>
      <c r="UAL8" s="1181" t="s">
        <v>15</v>
      </c>
      <c r="UAM8" s="1181"/>
      <c r="UAN8" s="5" t="s">
        <v>4</v>
      </c>
      <c r="UAO8" s="5" t="s">
        <v>0</v>
      </c>
      <c r="UAP8" s="1181" t="s">
        <v>15</v>
      </c>
      <c r="UAQ8" s="1181"/>
      <c r="UAR8" s="4" t="s">
        <v>4</v>
      </c>
      <c r="UAS8" s="5" t="s">
        <v>5</v>
      </c>
      <c r="UAT8" s="1181" t="s">
        <v>15</v>
      </c>
      <c r="UAU8" s="1181"/>
      <c r="UAV8" s="5" t="s">
        <v>4</v>
      </c>
      <c r="UAW8" s="5" t="s">
        <v>0</v>
      </c>
      <c r="UAX8" s="1181" t="s">
        <v>15</v>
      </c>
      <c r="UAY8" s="1181"/>
      <c r="UAZ8" s="4" t="s">
        <v>4</v>
      </c>
      <c r="UBA8" s="5" t="s">
        <v>5</v>
      </c>
      <c r="UBB8" s="1181" t="s">
        <v>15</v>
      </c>
      <c r="UBC8" s="1181"/>
      <c r="UBD8" s="5" t="s">
        <v>4</v>
      </c>
      <c r="UBE8" s="5" t="s">
        <v>0</v>
      </c>
      <c r="UBF8" s="1181" t="s">
        <v>15</v>
      </c>
      <c r="UBG8" s="1181"/>
      <c r="UBH8" s="4" t="s">
        <v>4</v>
      </c>
      <c r="UBI8" s="5" t="s">
        <v>5</v>
      </c>
      <c r="UBJ8" s="1181" t="s">
        <v>15</v>
      </c>
      <c r="UBK8" s="1181"/>
      <c r="UBL8" s="5" t="s">
        <v>4</v>
      </c>
      <c r="UBM8" s="5" t="s">
        <v>0</v>
      </c>
      <c r="UBN8" s="1181" t="s">
        <v>15</v>
      </c>
      <c r="UBO8" s="1181"/>
      <c r="UBP8" s="4" t="s">
        <v>4</v>
      </c>
      <c r="UBQ8" s="5" t="s">
        <v>5</v>
      </c>
      <c r="UBR8" s="1181" t="s">
        <v>15</v>
      </c>
      <c r="UBS8" s="1181"/>
      <c r="UBT8" s="5" t="s">
        <v>4</v>
      </c>
      <c r="UBU8" s="5" t="s">
        <v>0</v>
      </c>
      <c r="UBV8" s="1181" t="s">
        <v>15</v>
      </c>
      <c r="UBW8" s="1181"/>
      <c r="UBX8" s="4" t="s">
        <v>4</v>
      </c>
      <c r="UBY8" s="5" t="s">
        <v>5</v>
      </c>
      <c r="UBZ8" s="1181" t="s">
        <v>15</v>
      </c>
      <c r="UCA8" s="1181"/>
      <c r="UCB8" s="5" t="s">
        <v>4</v>
      </c>
      <c r="UCC8" s="5" t="s">
        <v>0</v>
      </c>
      <c r="UCD8" s="1181" t="s">
        <v>15</v>
      </c>
      <c r="UCE8" s="1181"/>
      <c r="UCF8" s="4" t="s">
        <v>4</v>
      </c>
      <c r="UCG8" s="5" t="s">
        <v>5</v>
      </c>
      <c r="UCH8" s="1181" t="s">
        <v>15</v>
      </c>
      <c r="UCI8" s="1181"/>
      <c r="UCJ8" s="5" t="s">
        <v>4</v>
      </c>
      <c r="UCK8" s="5" t="s">
        <v>0</v>
      </c>
      <c r="UCL8" s="1181" t="s">
        <v>15</v>
      </c>
      <c r="UCM8" s="1181"/>
      <c r="UCN8" s="4" t="s">
        <v>4</v>
      </c>
      <c r="UCO8" s="5" t="s">
        <v>5</v>
      </c>
      <c r="UCP8" s="1181" t="s">
        <v>15</v>
      </c>
      <c r="UCQ8" s="1181"/>
      <c r="UCR8" s="5" t="s">
        <v>4</v>
      </c>
      <c r="UCS8" s="5" t="s">
        <v>0</v>
      </c>
      <c r="UCT8" s="1181" t="s">
        <v>15</v>
      </c>
      <c r="UCU8" s="1181"/>
      <c r="UCV8" s="4" t="s">
        <v>4</v>
      </c>
      <c r="UCW8" s="5" t="s">
        <v>5</v>
      </c>
      <c r="UCX8" s="1181" t="s">
        <v>15</v>
      </c>
      <c r="UCY8" s="1181"/>
      <c r="UCZ8" s="5" t="s">
        <v>4</v>
      </c>
      <c r="UDA8" s="5" t="s">
        <v>0</v>
      </c>
      <c r="UDB8" s="1181" t="s">
        <v>15</v>
      </c>
      <c r="UDC8" s="1181"/>
      <c r="UDD8" s="4" t="s">
        <v>4</v>
      </c>
      <c r="UDE8" s="5" t="s">
        <v>5</v>
      </c>
      <c r="UDF8" s="1181" t="s">
        <v>15</v>
      </c>
      <c r="UDG8" s="1181"/>
      <c r="UDH8" s="5" t="s">
        <v>4</v>
      </c>
      <c r="UDI8" s="5" t="s">
        <v>0</v>
      </c>
      <c r="UDJ8" s="1181" t="s">
        <v>15</v>
      </c>
      <c r="UDK8" s="1181"/>
      <c r="UDL8" s="4" t="s">
        <v>4</v>
      </c>
      <c r="UDM8" s="5" t="s">
        <v>5</v>
      </c>
      <c r="UDN8" s="1181" t="s">
        <v>15</v>
      </c>
      <c r="UDO8" s="1181"/>
      <c r="UDP8" s="5" t="s">
        <v>4</v>
      </c>
      <c r="UDQ8" s="5" t="s">
        <v>0</v>
      </c>
      <c r="UDR8" s="1181" t="s">
        <v>15</v>
      </c>
      <c r="UDS8" s="1181"/>
      <c r="UDT8" s="4" t="s">
        <v>4</v>
      </c>
      <c r="UDU8" s="5" t="s">
        <v>5</v>
      </c>
      <c r="UDV8" s="1181" t="s">
        <v>15</v>
      </c>
      <c r="UDW8" s="1181"/>
      <c r="UDX8" s="5" t="s">
        <v>4</v>
      </c>
      <c r="UDY8" s="5" t="s">
        <v>0</v>
      </c>
      <c r="UDZ8" s="1181" t="s">
        <v>15</v>
      </c>
      <c r="UEA8" s="1181"/>
      <c r="UEB8" s="4" t="s">
        <v>4</v>
      </c>
      <c r="UEC8" s="5" t="s">
        <v>5</v>
      </c>
      <c r="UED8" s="1181" t="s">
        <v>15</v>
      </c>
      <c r="UEE8" s="1181"/>
      <c r="UEF8" s="5" t="s">
        <v>4</v>
      </c>
      <c r="UEG8" s="5" t="s">
        <v>0</v>
      </c>
      <c r="UEH8" s="1181" t="s">
        <v>15</v>
      </c>
      <c r="UEI8" s="1181"/>
      <c r="UEJ8" s="4" t="s">
        <v>4</v>
      </c>
      <c r="UEK8" s="5" t="s">
        <v>5</v>
      </c>
      <c r="UEL8" s="1181" t="s">
        <v>15</v>
      </c>
      <c r="UEM8" s="1181"/>
      <c r="UEN8" s="5" t="s">
        <v>4</v>
      </c>
      <c r="UEO8" s="5" t="s">
        <v>0</v>
      </c>
      <c r="UEP8" s="1181" t="s">
        <v>15</v>
      </c>
      <c r="UEQ8" s="1181"/>
      <c r="UER8" s="4" t="s">
        <v>4</v>
      </c>
      <c r="UES8" s="5" t="s">
        <v>5</v>
      </c>
      <c r="UET8" s="1181" t="s">
        <v>15</v>
      </c>
      <c r="UEU8" s="1181"/>
      <c r="UEV8" s="5" t="s">
        <v>4</v>
      </c>
      <c r="UEW8" s="5" t="s">
        <v>0</v>
      </c>
      <c r="UEX8" s="1181" t="s">
        <v>15</v>
      </c>
      <c r="UEY8" s="1181"/>
      <c r="UEZ8" s="4" t="s">
        <v>4</v>
      </c>
      <c r="UFA8" s="5" t="s">
        <v>5</v>
      </c>
      <c r="UFB8" s="1181" t="s">
        <v>15</v>
      </c>
      <c r="UFC8" s="1181"/>
      <c r="UFD8" s="5" t="s">
        <v>4</v>
      </c>
      <c r="UFE8" s="5" t="s">
        <v>0</v>
      </c>
      <c r="UFF8" s="1181" t="s">
        <v>15</v>
      </c>
      <c r="UFG8" s="1181"/>
      <c r="UFH8" s="4" t="s">
        <v>4</v>
      </c>
      <c r="UFI8" s="5" t="s">
        <v>5</v>
      </c>
      <c r="UFJ8" s="1181" t="s">
        <v>15</v>
      </c>
      <c r="UFK8" s="1181"/>
      <c r="UFL8" s="5" t="s">
        <v>4</v>
      </c>
      <c r="UFM8" s="5" t="s">
        <v>0</v>
      </c>
      <c r="UFN8" s="1181" t="s">
        <v>15</v>
      </c>
      <c r="UFO8" s="1181"/>
      <c r="UFP8" s="4" t="s">
        <v>4</v>
      </c>
      <c r="UFQ8" s="5" t="s">
        <v>5</v>
      </c>
      <c r="UFR8" s="1181" t="s">
        <v>15</v>
      </c>
      <c r="UFS8" s="1181"/>
      <c r="UFT8" s="5" t="s">
        <v>4</v>
      </c>
      <c r="UFU8" s="5" t="s">
        <v>0</v>
      </c>
      <c r="UFV8" s="1181" t="s">
        <v>15</v>
      </c>
      <c r="UFW8" s="1181"/>
      <c r="UFX8" s="4" t="s">
        <v>4</v>
      </c>
      <c r="UFY8" s="5" t="s">
        <v>5</v>
      </c>
      <c r="UFZ8" s="1181" t="s">
        <v>15</v>
      </c>
      <c r="UGA8" s="1181"/>
      <c r="UGB8" s="5" t="s">
        <v>4</v>
      </c>
      <c r="UGC8" s="5" t="s">
        <v>0</v>
      </c>
      <c r="UGD8" s="1181" t="s">
        <v>15</v>
      </c>
      <c r="UGE8" s="1181"/>
      <c r="UGF8" s="4" t="s">
        <v>4</v>
      </c>
      <c r="UGG8" s="5" t="s">
        <v>5</v>
      </c>
      <c r="UGH8" s="1181" t="s">
        <v>15</v>
      </c>
      <c r="UGI8" s="1181"/>
      <c r="UGJ8" s="5" t="s">
        <v>4</v>
      </c>
      <c r="UGK8" s="5" t="s">
        <v>0</v>
      </c>
      <c r="UGL8" s="1181" t="s">
        <v>15</v>
      </c>
      <c r="UGM8" s="1181"/>
      <c r="UGN8" s="4" t="s">
        <v>4</v>
      </c>
      <c r="UGO8" s="5" t="s">
        <v>5</v>
      </c>
      <c r="UGP8" s="1181" t="s">
        <v>15</v>
      </c>
      <c r="UGQ8" s="1181"/>
      <c r="UGR8" s="5" t="s">
        <v>4</v>
      </c>
      <c r="UGS8" s="5" t="s">
        <v>0</v>
      </c>
      <c r="UGT8" s="1181" t="s">
        <v>15</v>
      </c>
      <c r="UGU8" s="1181"/>
      <c r="UGV8" s="4" t="s">
        <v>4</v>
      </c>
      <c r="UGW8" s="5" t="s">
        <v>5</v>
      </c>
      <c r="UGX8" s="1181" t="s">
        <v>15</v>
      </c>
      <c r="UGY8" s="1181"/>
      <c r="UGZ8" s="5" t="s">
        <v>4</v>
      </c>
      <c r="UHA8" s="5" t="s">
        <v>0</v>
      </c>
      <c r="UHB8" s="1181" t="s">
        <v>15</v>
      </c>
      <c r="UHC8" s="1181"/>
      <c r="UHD8" s="4" t="s">
        <v>4</v>
      </c>
      <c r="UHE8" s="5" t="s">
        <v>5</v>
      </c>
      <c r="UHF8" s="1181" t="s">
        <v>15</v>
      </c>
      <c r="UHG8" s="1181"/>
      <c r="UHH8" s="5" t="s">
        <v>4</v>
      </c>
      <c r="UHI8" s="5" t="s">
        <v>0</v>
      </c>
      <c r="UHJ8" s="1181" t="s">
        <v>15</v>
      </c>
      <c r="UHK8" s="1181"/>
      <c r="UHL8" s="4" t="s">
        <v>4</v>
      </c>
      <c r="UHM8" s="5" t="s">
        <v>5</v>
      </c>
      <c r="UHN8" s="1181" t="s">
        <v>15</v>
      </c>
      <c r="UHO8" s="1181"/>
      <c r="UHP8" s="5" t="s">
        <v>4</v>
      </c>
      <c r="UHQ8" s="5" t="s">
        <v>0</v>
      </c>
      <c r="UHR8" s="1181" t="s">
        <v>15</v>
      </c>
      <c r="UHS8" s="1181"/>
      <c r="UHT8" s="4" t="s">
        <v>4</v>
      </c>
      <c r="UHU8" s="5" t="s">
        <v>5</v>
      </c>
      <c r="UHV8" s="1181" t="s">
        <v>15</v>
      </c>
      <c r="UHW8" s="1181"/>
      <c r="UHX8" s="5" t="s">
        <v>4</v>
      </c>
      <c r="UHY8" s="5" t="s">
        <v>0</v>
      </c>
      <c r="UHZ8" s="1181" t="s">
        <v>15</v>
      </c>
      <c r="UIA8" s="1181"/>
      <c r="UIB8" s="4" t="s">
        <v>4</v>
      </c>
      <c r="UIC8" s="5" t="s">
        <v>5</v>
      </c>
      <c r="UID8" s="1181" t="s">
        <v>15</v>
      </c>
      <c r="UIE8" s="1181"/>
      <c r="UIF8" s="5" t="s">
        <v>4</v>
      </c>
      <c r="UIG8" s="5" t="s">
        <v>0</v>
      </c>
      <c r="UIH8" s="1181" t="s">
        <v>15</v>
      </c>
      <c r="UII8" s="1181"/>
      <c r="UIJ8" s="4" t="s">
        <v>4</v>
      </c>
      <c r="UIK8" s="5" t="s">
        <v>5</v>
      </c>
      <c r="UIL8" s="1181" t="s">
        <v>15</v>
      </c>
      <c r="UIM8" s="1181"/>
      <c r="UIN8" s="5" t="s">
        <v>4</v>
      </c>
      <c r="UIO8" s="5" t="s">
        <v>0</v>
      </c>
      <c r="UIP8" s="1181" t="s">
        <v>15</v>
      </c>
      <c r="UIQ8" s="1181"/>
      <c r="UIR8" s="4" t="s">
        <v>4</v>
      </c>
      <c r="UIS8" s="5" t="s">
        <v>5</v>
      </c>
      <c r="UIT8" s="1181" t="s">
        <v>15</v>
      </c>
      <c r="UIU8" s="1181"/>
      <c r="UIV8" s="5" t="s">
        <v>4</v>
      </c>
      <c r="UIW8" s="5" t="s">
        <v>0</v>
      </c>
      <c r="UIX8" s="1181" t="s">
        <v>15</v>
      </c>
      <c r="UIY8" s="1181"/>
      <c r="UIZ8" s="4" t="s">
        <v>4</v>
      </c>
      <c r="UJA8" s="5" t="s">
        <v>5</v>
      </c>
      <c r="UJB8" s="1181" t="s">
        <v>15</v>
      </c>
      <c r="UJC8" s="1181"/>
      <c r="UJD8" s="5" t="s">
        <v>4</v>
      </c>
      <c r="UJE8" s="5" t="s">
        <v>0</v>
      </c>
      <c r="UJF8" s="1181" t="s">
        <v>15</v>
      </c>
      <c r="UJG8" s="1181"/>
      <c r="UJH8" s="4" t="s">
        <v>4</v>
      </c>
      <c r="UJI8" s="5" t="s">
        <v>5</v>
      </c>
      <c r="UJJ8" s="1181" t="s">
        <v>15</v>
      </c>
      <c r="UJK8" s="1181"/>
      <c r="UJL8" s="5" t="s">
        <v>4</v>
      </c>
      <c r="UJM8" s="5" t="s">
        <v>0</v>
      </c>
      <c r="UJN8" s="1181" t="s">
        <v>15</v>
      </c>
      <c r="UJO8" s="1181"/>
      <c r="UJP8" s="4" t="s">
        <v>4</v>
      </c>
      <c r="UJQ8" s="5" t="s">
        <v>5</v>
      </c>
      <c r="UJR8" s="1181" t="s">
        <v>15</v>
      </c>
      <c r="UJS8" s="1181"/>
      <c r="UJT8" s="5" t="s">
        <v>4</v>
      </c>
      <c r="UJU8" s="5" t="s">
        <v>0</v>
      </c>
      <c r="UJV8" s="1181" t="s">
        <v>15</v>
      </c>
      <c r="UJW8" s="1181"/>
      <c r="UJX8" s="4" t="s">
        <v>4</v>
      </c>
      <c r="UJY8" s="5" t="s">
        <v>5</v>
      </c>
      <c r="UJZ8" s="1181" t="s">
        <v>15</v>
      </c>
      <c r="UKA8" s="1181"/>
      <c r="UKB8" s="5" t="s">
        <v>4</v>
      </c>
      <c r="UKC8" s="5" t="s">
        <v>0</v>
      </c>
      <c r="UKD8" s="1181" t="s">
        <v>15</v>
      </c>
      <c r="UKE8" s="1181"/>
      <c r="UKF8" s="4" t="s">
        <v>4</v>
      </c>
      <c r="UKG8" s="5" t="s">
        <v>5</v>
      </c>
      <c r="UKH8" s="1181" t="s">
        <v>15</v>
      </c>
      <c r="UKI8" s="1181"/>
      <c r="UKJ8" s="5" t="s">
        <v>4</v>
      </c>
      <c r="UKK8" s="5" t="s">
        <v>0</v>
      </c>
      <c r="UKL8" s="1181" t="s">
        <v>15</v>
      </c>
      <c r="UKM8" s="1181"/>
      <c r="UKN8" s="4" t="s">
        <v>4</v>
      </c>
      <c r="UKO8" s="5" t="s">
        <v>5</v>
      </c>
      <c r="UKP8" s="1181" t="s">
        <v>15</v>
      </c>
      <c r="UKQ8" s="1181"/>
      <c r="UKR8" s="5" t="s">
        <v>4</v>
      </c>
      <c r="UKS8" s="5" t="s">
        <v>0</v>
      </c>
      <c r="UKT8" s="1181" t="s">
        <v>15</v>
      </c>
      <c r="UKU8" s="1181"/>
      <c r="UKV8" s="4" t="s">
        <v>4</v>
      </c>
      <c r="UKW8" s="5" t="s">
        <v>5</v>
      </c>
      <c r="UKX8" s="1181" t="s">
        <v>15</v>
      </c>
      <c r="UKY8" s="1181"/>
      <c r="UKZ8" s="5" t="s">
        <v>4</v>
      </c>
      <c r="ULA8" s="5" t="s">
        <v>0</v>
      </c>
      <c r="ULB8" s="1181" t="s">
        <v>15</v>
      </c>
      <c r="ULC8" s="1181"/>
      <c r="ULD8" s="4" t="s">
        <v>4</v>
      </c>
      <c r="ULE8" s="5" t="s">
        <v>5</v>
      </c>
      <c r="ULF8" s="1181" t="s">
        <v>15</v>
      </c>
      <c r="ULG8" s="1181"/>
      <c r="ULH8" s="5" t="s">
        <v>4</v>
      </c>
      <c r="ULI8" s="5" t="s">
        <v>0</v>
      </c>
      <c r="ULJ8" s="1181" t="s">
        <v>15</v>
      </c>
      <c r="ULK8" s="1181"/>
      <c r="ULL8" s="4" t="s">
        <v>4</v>
      </c>
      <c r="ULM8" s="5" t="s">
        <v>5</v>
      </c>
      <c r="ULN8" s="1181" t="s">
        <v>15</v>
      </c>
      <c r="ULO8" s="1181"/>
      <c r="ULP8" s="5" t="s">
        <v>4</v>
      </c>
      <c r="ULQ8" s="5" t="s">
        <v>0</v>
      </c>
      <c r="ULR8" s="1181" t="s">
        <v>15</v>
      </c>
      <c r="ULS8" s="1181"/>
      <c r="ULT8" s="4" t="s">
        <v>4</v>
      </c>
      <c r="ULU8" s="5" t="s">
        <v>5</v>
      </c>
      <c r="ULV8" s="1181" t="s">
        <v>15</v>
      </c>
      <c r="ULW8" s="1181"/>
      <c r="ULX8" s="5" t="s">
        <v>4</v>
      </c>
      <c r="ULY8" s="5" t="s">
        <v>0</v>
      </c>
      <c r="ULZ8" s="1181" t="s">
        <v>15</v>
      </c>
      <c r="UMA8" s="1181"/>
      <c r="UMB8" s="4" t="s">
        <v>4</v>
      </c>
      <c r="UMC8" s="5" t="s">
        <v>5</v>
      </c>
      <c r="UMD8" s="1181" t="s">
        <v>15</v>
      </c>
      <c r="UME8" s="1181"/>
      <c r="UMF8" s="5" t="s">
        <v>4</v>
      </c>
      <c r="UMG8" s="5" t="s">
        <v>0</v>
      </c>
      <c r="UMH8" s="1181" t="s">
        <v>15</v>
      </c>
      <c r="UMI8" s="1181"/>
      <c r="UMJ8" s="4" t="s">
        <v>4</v>
      </c>
      <c r="UMK8" s="5" t="s">
        <v>5</v>
      </c>
      <c r="UML8" s="1181" t="s">
        <v>15</v>
      </c>
      <c r="UMM8" s="1181"/>
      <c r="UMN8" s="5" t="s">
        <v>4</v>
      </c>
      <c r="UMO8" s="5" t="s">
        <v>0</v>
      </c>
      <c r="UMP8" s="1181" t="s">
        <v>15</v>
      </c>
      <c r="UMQ8" s="1181"/>
      <c r="UMR8" s="4" t="s">
        <v>4</v>
      </c>
      <c r="UMS8" s="5" t="s">
        <v>5</v>
      </c>
      <c r="UMT8" s="1181" t="s">
        <v>15</v>
      </c>
      <c r="UMU8" s="1181"/>
      <c r="UMV8" s="5" t="s">
        <v>4</v>
      </c>
      <c r="UMW8" s="5" t="s">
        <v>0</v>
      </c>
      <c r="UMX8" s="1181" t="s">
        <v>15</v>
      </c>
      <c r="UMY8" s="1181"/>
      <c r="UMZ8" s="4" t="s">
        <v>4</v>
      </c>
      <c r="UNA8" s="5" t="s">
        <v>5</v>
      </c>
      <c r="UNB8" s="1181" t="s">
        <v>15</v>
      </c>
      <c r="UNC8" s="1181"/>
      <c r="UND8" s="5" t="s">
        <v>4</v>
      </c>
      <c r="UNE8" s="5" t="s">
        <v>0</v>
      </c>
      <c r="UNF8" s="1181" t="s">
        <v>15</v>
      </c>
      <c r="UNG8" s="1181"/>
      <c r="UNH8" s="4" t="s">
        <v>4</v>
      </c>
      <c r="UNI8" s="5" t="s">
        <v>5</v>
      </c>
      <c r="UNJ8" s="1181" t="s">
        <v>15</v>
      </c>
      <c r="UNK8" s="1181"/>
      <c r="UNL8" s="5" t="s">
        <v>4</v>
      </c>
      <c r="UNM8" s="5" t="s">
        <v>0</v>
      </c>
      <c r="UNN8" s="1181" t="s">
        <v>15</v>
      </c>
      <c r="UNO8" s="1181"/>
      <c r="UNP8" s="4" t="s">
        <v>4</v>
      </c>
      <c r="UNQ8" s="5" t="s">
        <v>5</v>
      </c>
      <c r="UNR8" s="1181" t="s">
        <v>15</v>
      </c>
      <c r="UNS8" s="1181"/>
      <c r="UNT8" s="5" t="s">
        <v>4</v>
      </c>
      <c r="UNU8" s="5" t="s">
        <v>0</v>
      </c>
      <c r="UNV8" s="1181" t="s">
        <v>15</v>
      </c>
      <c r="UNW8" s="1181"/>
      <c r="UNX8" s="4" t="s">
        <v>4</v>
      </c>
      <c r="UNY8" s="5" t="s">
        <v>5</v>
      </c>
      <c r="UNZ8" s="1181" t="s">
        <v>15</v>
      </c>
      <c r="UOA8" s="1181"/>
      <c r="UOB8" s="5" t="s">
        <v>4</v>
      </c>
      <c r="UOC8" s="5" t="s">
        <v>0</v>
      </c>
      <c r="UOD8" s="1181" t="s">
        <v>15</v>
      </c>
      <c r="UOE8" s="1181"/>
      <c r="UOF8" s="4" t="s">
        <v>4</v>
      </c>
      <c r="UOG8" s="5" t="s">
        <v>5</v>
      </c>
      <c r="UOH8" s="1181" t="s">
        <v>15</v>
      </c>
      <c r="UOI8" s="1181"/>
      <c r="UOJ8" s="5" t="s">
        <v>4</v>
      </c>
      <c r="UOK8" s="5" t="s">
        <v>0</v>
      </c>
      <c r="UOL8" s="1181" t="s">
        <v>15</v>
      </c>
      <c r="UOM8" s="1181"/>
      <c r="UON8" s="4" t="s">
        <v>4</v>
      </c>
      <c r="UOO8" s="5" t="s">
        <v>5</v>
      </c>
      <c r="UOP8" s="1181" t="s">
        <v>15</v>
      </c>
      <c r="UOQ8" s="1181"/>
      <c r="UOR8" s="5" t="s">
        <v>4</v>
      </c>
      <c r="UOS8" s="5" t="s">
        <v>0</v>
      </c>
      <c r="UOT8" s="1181" t="s">
        <v>15</v>
      </c>
      <c r="UOU8" s="1181"/>
      <c r="UOV8" s="4" t="s">
        <v>4</v>
      </c>
      <c r="UOW8" s="5" t="s">
        <v>5</v>
      </c>
      <c r="UOX8" s="1181" t="s">
        <v>15</v>
      </c>
      <c r="UOY8" s="1181"/>
      <c r="UOZ8" s="5" t="s">
        <v>4</v>
      </c>
      <c r="UPA8" s="5" t="s">
        <v>0</v>
      </c>
      <c r="UPB8" s="1181" t="s">
        <v>15</v>
      </c>
      <c r="UPC8" s="1181"/>
      <c r="UPD8" s="4" t="s">
        <v>4</v>
      </c>
      <c r="UPE8" s="5" t="s">
        <v>5</v>
      </c>
      <c r="UPF8" s="1181" t="s">
        <v>15</v>
      </c>
      <c r="UPG8" s="1181"/>
      <c r="UPH8" s="5" t="s">
        <v>4</v>
      </c>
      <c r="UPI8" s="5" t="s">
        <v>0</v>
      </c>
      <c r="UPJ8" s="1181" t="s">
        <v>15</v>
      </c>
      <c r="UPK8" s="1181"/>
      <c r="UPL8" s="4" t="s">
        <v>4</v>
      </c>
      <c r="UPM8" s="5" t="s">
        <v>5</v>
      </c>
      <c r="UPN8" s="1181" t="s">
        <v>15</v>
      </c>
      <c r="UPO8" s="1181"/>
      <c r="UPP8" s="5" t="s">
        <v>4</v>
      </c>
      <c r="UPQ8" s="5" t="s">
        <v>0</v>
      </c>
      <c r="UPR8" s="1181" t="s">
        <v>15</v>
      </c>
      <c r="UPS8" s="1181"/>
      <c r="UPT8" s="4" t="s">
        <v>4</v>
      </c>
      <c r="UPU8" s="5" t="s">
        <v>5</v>
      </c>
      <c r="UPV8" s="1181" t="s">
        <v>15</v>
      </c>
      <c r="UPW8" s="1181"/>
      <c r="UPX8" s="5" t="s">
        <v>4</v>
      </c>
      <c r="UPY8" s="5" t="s">
        <v>0</v>
      </c>
      <c r="UPZ8" s="1181" t="s">
        <v>15</v>
      </c>
      <c r="UQA8" s="1181"/>
      <c r="UQB8" s="4" t="s">
        <v>4</v>
      </c>
      <c r="UQC8" s="5" t="s">
        <v>5</v>
      </c>
      <c r="UQD8" s="1181" t="s">
        <v>15</v>
      </c>
      <c r="UQE8" s="1181"/>
      <c r="UQF8" s="5" t="s">
        <v>4</v>
      </c>
      <c r="UQG8" s="5" t="s">
        <v>0</v>
      </c>
      <c r="UQH8" s="1181" t="s">
        <v>15</v>
      </c>
      <c r="UQI8" s="1181"/>
      <c r="UQJ8" s="4" t="s">
        <v>4</v>
      </c>
      <c r="UQK8" s="5" t="s">
        <v>5</v>
      </c>
      <c r="UQL8" s="1181" t="s">
        <v>15</v>
      </c>
      <c r="UQM8" s="1181"/>
      <c r="UQN8" s="5" t="s">
        <v>4</v>
      </c>
      <c r="UQO8" s="5" t="s">
        <v>0</v>
      </c>
      <c r="UQP8" s="1181" t="s">
        <v>15</v>
      </c>
      <c r="UQQ8" s="1181"/>
      <c r="UQR8" s="4" t="s">
        <v>4</v>
      </c>
      <c r="UQS8" s="5" t="s">
        <v>5</v>
      </c>
      <c r="UQT8" s="1181" t="s">
        <v>15</v>
      </c>
      <c r="UQU8" s="1181"/>
      <c r="UQV8" s="5" t="s">
        <v>4</v>
      </c>
      <c r="UQW8" s="5" t="s">
        <v>0</v>
      </c>
      <c r="UQX8" s="1181" t="s">
        <v>15</v>
      </c>
      <c r="UQY8" s="1181"/>
      <c r="UQZ8" s="4" t="s">
        <v>4</v>
      </c>
      <c r="URA8" s="5" t="s">
        <v>5</v>
      </c>
      <c r="URB8" s="1181" t="s">
        <v>15</v>
      </c>
      <c r="URC8" s="1181"/>
      <c r="URD8" s="5" t="s">
        <v>4</v>
      </c>
      <c r="URE8" s="5" t="s">
        <v>0</v>
      </c>
      <c r="URF8" s="1181" t="s">
        <v>15</v>
      </c>
      <c r="URG8" s="1181"/>
      <c r="URH8" s="4" t="s">
        <v>4</v>
      </c>
      <c r="URI8" s="5" t="s">
        <v>5</v>
      </c>
      <c r="URJ8" s="1181" t="s">
        <v>15</v>
      </c>
      <c r="URK8" s="1181"/>
      <c r="URL8" s="5" t="s">
        <v>4</v>
      </c>
      <c r="URM8" s="5" t="s">
        <v>0</v>
      </c>
      <c r="URN8" s="1181" t="s">
        <v>15</v>
      </c>
      <c r="URO8" s="1181"/>
      <c r="URP8" s="4" t="s">
        <v>4</v>
      </c>
      <c r="URQ8" s="5" t="s">
        <v>5</v>
      </c>
      <c r="URR8" s="1181" t="s">
        <v>15</v>
      </c>
      <c r="URS8" s="1181"/>
      <c r="URT8" s="5" t="s">
        <v>4</v>
      </c>
      <c r="URU8" s="5" t="s">
        <v>0</v>
      </c>
      <c r="URV8" s="1181" t="s">
        <v>15</v>
      </c>
      <c r="URW8" s="1181"/>
      <c r="URX8" s="4" t="s">
        <v>4</v>
      </c>
      <c r="URY8" s="5" t="s">
        <v>5</v>
      </c>
      <c r="URZ8" s="1181" t="s">
        <v>15</v>
      </c>
      <c r="USA8" s="1181"/>
      <c r="USB8" s="5" t="s">
        <v>4</v>
      </c>
      <c r="USC8" s="5" t="s">
        <v>0</v>
      </c>
      <c r="USD8" s="1181" t="s">
        <v>15</v>
      </c>
      <c r="USE8" s="1181"/>
      <c r="USF8" s="4" t="s">
        <v>4</v>
      </c>
      <c r="USG8" s="5" t="s">
        <v>5</v>
      </c>
      <c r="USH8" s="1181" t="s">
        <v>15</v>
      </c>
      <c r="USI8" s="1181"/>
      <c r="USJ8" s="5" t="s">
        <v>4</v>
      </c>
      <c r="USK8" s="5" t="s">
        <v>0</v>
      </c>
      <c r="USL8" s="1181" t="s">
        <v>15</v>
      </c>
      <c r="USM8" s="1181"/>
      <c r="USN8" s="4" t="s">
        <v>4</v>
      </c>
      <c r="USO8" s="5" t="s">
        <v>5</v>
      </c>
      <c r="USP8" s="1181" t="s">
        <v>15</v>
      </c>
      <c r="USQ8" s="1181"/>
      <c r="USR8" s="5" t="s">
        <v>4</v>
      </c>
      <c r="USS8" s="5" t="s">
        <v>0</v>
      </c>
      <c r="UST8" s="1181" t="s">
        <v>15</v>
      </c>
      <c r="USU8" s="1181"/>
      <c r="USV8" s="4" t="s">
        <v>4</v>
      </c>
      <c r="USW8" s="5" t="s">
        <v>5</v>
      </c>
      <c r="USX8" s="1181" t="s">
        <v>15</v>
      </c>
      <c r="USY8" s="1181"/>
      <c r="USZ8" s="5" t="s">
        <v>4</v>
      </c>
      <c r="UTA8" s="5" t="s">
        <v>0</v>
      </c>
      <c r="UTB8" s="1181" t="s">
        <v>15</v>
      </c>
      <c r="UTC8" s="1181"/>
      <c r="UTD8" s="4" t="s">
        <v>4</v>
      </c>
      <c r="UTE8" s="5" t="s">
        <v>5</v>
      </c>
      <c r="UTF8" s="1181" t="s">
        <v>15</v>
      </c>
      <c r="UTG8" s="1181"/>
      <c r="UTH8" s="5" t="s">
        <v>4</v>
      </c>
      <c r="UTI8" s="5" t="s">
        <v>0</v>
      </c>
      <c r="UTJ8" s="1181" t="s">
        <v>15</v>
      </c>
      <c r="UTK8" s="1181"/>
      <c r="UTL8" s="4" t="s">
        <v>4</v>
      </c>
      <c r="UTM8" s="5" t="s">
        <v>5</v>
      </c>
      <c r="UTN8" s="1181" t="s">
        <v>15</v>
      </c>
      <c r="UTO8" s="1181"/>
      <c r="UTP8" s="5" t="s">
        <v>4</v>
      </c>
      <c r="UTQ8" s="5" t="s">
        <v>0</v>
      </c>
      <c r="UTR8" s="1181" t="s">
        <v>15</v>
      </c>
      <c r="UTS8" s="1181"/>
      <c r="UTT8" s="4" t="s">
        <v>4</v>
      </c>
      <c r="UTU8" s="5" t="s">
        <v>5</v>
      </c>
      <c r="UTV8" s="1181" t="s">
        <v>15</v>
      </c>
      <c r="UTW8" s="1181"/>
      <c r="UTX8" s="5" t="s">
        <v>4</v>
      </c>
      <c r="UTY8" s="5" t="s">
        <v>0</v>
      </c>
      <c r="UTZ8" s="1181" t="s">
        <v>15</v>
      </c>
      <c r="UUA8" s="1181"/>
      <c r="UUB8" s="4" t="s">
        <v>4</v>
      </c>
      <c r="UUC8" s="5" t="s">
        <v>5</v>
      </c>
      <c r="UUD8" s="1181" t="s">
        <v>15</v>
      </c>
      <c r="UUE8" s="1181"/>
      <c r="UUF8" s="5" t="s">
        <v>4</v>
      </c>
      <c r="UUG8" s="5" t="s">
        <v>0</v>
      </c>
      <c r="UUH8" s="1181" t="s">
        <v>15</v>
      </c>
      <c r="UUI8" s="1181"/>
      <c r="UUJ8" s="4" t="s">
        <v>4</v>
      </c>
      <c r="UUK8" s="5" t="s">
        <v>5</v>
      </c>
      <c r="UUL8" s="1181" t="s">
        <v>15</v>
      </c>
      <c r="UUM8" s="1181"/>
      <c r="UUN8" s="5" t="s">
        <v>4</v>
      </c>
      <c r="UUO8" s="5" t="s">
        <v>0</v>
      </c>
      <c r="UUP8" s="1181" t="s">
        <v>15</v>
      </c>
      <c r="UUQ8" s="1181"/>
      <c r="UUR8" s="4" t="s">
        <v>4</v>
      </c>
      <c r="UUS8" s="5" t="s">
        <v>5</v>
      </c>
      <c r="UUT8" s="1181" t="s">
        <v>15</v>
      </c>
      <c r="UUU8" s="1181"/>
      <c r="UUV8" s="5" t="s">
        <v>4</v>
      </c>
      <c r="UUW8" s="5" t="s">
        <v>0</v>
      </c>
      <c r="UUX8" s="1181" t="s">
        <v>15</v>
      </c>
      <c r="UUY8" s="1181"/>
      <c r="UUZ8" s="4" t="s">
        <v>4</v>
      </c>
      <c r="UVA8" s="5" t="s">
        <v>5</v>
      </c>
      <c r="UVB8" s="1181" t="s">
        <v>15</v>
      </c>
      <c r="UVC8" s="1181"/>
      <c r="UVD8" s="5" t="s">
        <v>4</v>
      </c>
      <c r="UVE8" s="5" t="s">
        <v>0</v>
      </c>
      <c r="UVF8" s="1181" t="s">
        <v>15</v>
      </c>
      <c r="UVG8" s="1181"/>
      <c r="UVH8" s="4" t="s">
        <v>4</v>
      </c>
      <c r="UVI8" s="5" t="s">
        <v>5</v>
      </c>
      <c r="UVJ8" s="1181" t="s">
        <v>15</v>
      </c>
      <c r="UVK8" s="1181"/>
      <c r="UVL8" s="5" t="s">
        <v>4</v>
      </c>
      <c r="UVM8" s="5" t="s">
        <v>0</v>
      </c>
      <c r="UVN8" s="1181" t="s">
        <v>15</v>
      </c>
      <c r="UVO8" s="1181"/>
      <c r="UVP8" s="4" t="s">
        <v>4</v>
      </c>
      <c r="UVQ8" s="5" t="s">
        <v>5</v>
      </c>
      <c r="UVR8" s="1181" t="s">
        <v>15</v>
      </c>
      <c r="UVS8" s="1181"/>
      <c r="UVT8" s="5" t="s">
        <v>4</v>
      </c>
      <c r="UVU8" s="5" t="s">
        <v>0</v>
      </c>
      <c r="UVV8" s="1181" t="s">
        <v>15</v>
      </c>
      <c r="UVW8" s="1181"/>
      <c r="UVX8" s="4" t="s">
        <v>4</v>
      </c>
      <c r="UVY8" s="5" t="s">
        <v>5</v>
      </c>
      <c r="UVZ8" s="1181" t="s">
        <v>15</v>
      </c>
      <c r="UWA8" s="1181"/>
      <c r="UWB8" s="5" t="s">
        <v>4</v>
      </c>
      <c r="UWC8" s="5" t="s">
        <v>0</v>
      </c>
      <c r="UWD8" s="1181" t="s">
        <v>15</v>
      </c>
      <c r="UWE8" s="1181"/>
      <c r="UWF8" s="4" t="s">
        <v>4</v>
      </c>
      <c r="UWG8" s="5" t="s">
        <v>5</v>
      </c>
      <c r="UWH8" s="1181" t="s">
        <v>15</v>
      </c>
      <c r="UWI8" s="1181"/>
      <c r="UWJ8" s="5" t="s">
        <v>4</v>
      </c>
      <c r="UWK8" s="5" t="s">
        <v>0</v>
      </c>
      <c r="UWL8" s="1181" t="s">
        <v>15</v>
      </c>
      <c r="UWM8" s="1181"/>
      <c r="UWN8" s="4" t="s">
        <v>4</v>
      </c>
      <c r="UWO8" s="5" t="s">
        <v>5</v>
      </c>
      <c r="UWP8" s="1181" t="s">
        <v>15</v>
      </c>
      <c r="UWQ8" s="1181"/>
      <c r="UWR8" s="5" t="s">
        <v>4</v>
      </c>
      <c r="UWS8" s="5" t="s">
        <v>0</v>
      </c>
      <c r="UWT8" s="1181" t="s">
        <v>15</v>
      </c>
      <c r="UWU8" s="1181"/>
      <c r="UWV8" s="4" t="s">
        <v>4</v>
      </c>
      <c r="UWW8" s="5" t="s">
        <v>5</v>
      </c>
      <c r="UWX8" s="1181" t="s">
        <v>15</v>
      </c>
      <c r="UWY8" s="1181"/>
      <c r="UWZ8" s="5" t="s">
        <v>4</v>
      </c>
      <c r="UXA8" s="5" t="s">
        <v>0</v>
      </c>
      <c r="UXB8" s="1181" t="s">
        <v>15</v>
      </c>
      <c r="UXC8" s="1181"/>
      <c r="UXD8" s="4" t="s">
        <v>4</v>
      </c>
      <c r="UXE8" s="5" t="s">
        <v>5</v>
      </c>
      <c r="UXF8" s="1181" t="s">
        <v>15</v>
      </c>
      <c r="UXG8" s="1181"/>
      <c r="UXH8" s="5" t="s">
        <v>4</v>
      </c>
      <c r="UXI8" s="5" t="s">
        <v>0</v>
      </c>
      <c r="UXJ8" s="1181" t="s">
        <v>15</v>
      </c>
      <c r="UXK8" s="1181"/>
      <c r="UXL8" s="4" t="s">
        <v>4</v>
      </c>
      <c r="UXM8" s="5" t="s">
        <v>5</v>
      </c>
      <c r="UXN8" s="1181" t="s">
        <v>15</v>
      </c>
      <c r="UXO8" s="1181"/>
      <c r="UXP8" s="5" t="s">
        <v>4</v>
      </c>
      <c r="UXQ8" s="5" t="s">
        <v>0</v>
      </c>
      <c r="UXR8" s="1181" t="s">
        <v>15</v>
      </c>
      <c r="UXS8" s="1181"/>
      <c r="UXT8" s="4" t="s">
        <v>4</v>
      </c>
      <c r="UXU8" s="5" t="s">
        <v>5</v>
      </c>
      <c r="UXV8" s="1181" t="s">
        <v>15</v>
      </c>
      <c r="UXW8" s="1181"/>
      <c r="UXX8" s="5" t="s">
        <v>4</v>
      </c>
      <c r="UXY8" s="5" t="s">
        <v>0</v>
      </c>
      <c r="UXZ8" s="1181" t="s">
        <v>15</v>
      </c>
      <c r="UYA8" s="1181"/>
      <c r="UYB8" s="4" t="s">
        <v>4</v>
      </c>
      <c r="UYC8" s="5" t="s">
        <v>5</v>
      </c>
      <c r="UYD8" s="1181" t="s">
        <v>15</v>
      </c>
      <c r="UYE8" s="1181"/>
      <c r="UYF8" s="5" t="s">
        <v>4</v>
      </c>
      <c r="UYG8" s="5" t="s">
        <v>0</v>
      </c>
      <c r="UYH8" s="1181" t="s">
        <v>15</v>
      </c>
      <c r="UYI8" s="1181"/>
      <c r="UYJ8" s="4" t="s">
        <v>4</v>
      </c>
      <c r="UYK8" s="5" t="s">
        <v>5</v>
      </c>
      <c r="UYL8" s="1181" t="s">
        <v>15</v>
      </c>
      <c r="UYM8" s="1181"/>
      <c r="UYN8" s="5" t="s">
        <v>4</v>
      </c>
      <c r="UYO8" s="5" t="s">
        <v>0</v>
      </c>
      <c r="UYP8" s="1181" t="s">
        <v>15</v>
      </c>
      <c r="UYQ8" s="1181"/>
      <c r="UYR8" s="4" t="s">
        <v>4</v>
      </c>
      <c r="UYS8" s="5" t="s">
        <v>5</v>
      </c>
      <c r="UYT8" s="1181" t="s">
        <v>15</v>
      </c>
      <c r="UYU8" s="1181"/>
      <c r="UYV8" s="5" t="s">
        <v>4</v>
      </c>
      <c r="UYW8" s="5" t="s">
        <v>0</v>
      </c>
      <c r="UYX8" s="1181" t="s">
        <v>15</v>
      </c>
      <c r="UYY8" s="1181"/>
      <c r="UYZ8" s="4" t="s">
        <v>4</v>
      </c>
      <c r="UZA8" s="5" t="s">
        <v>5</v>
      </c>
      <c r="UZB8" s="1181" t="s">
        <v>15</v>
      </c>
      <c r="UZC8" s="1181"/>
      <c r="UZD8" s="5" t="s">
        <v>4</v>
      </c>
      <c r="UZE8" s="5" t="s">
        <v>0</v>
      </c>
      <c r="UZF8" s="1181" t="s">
        <v>15</v>
      </c>
      <c r="UZG8" s="1181"/>
      <c r="UZH8" s="4" t="s">
        <v>4</v>
      </c>
      <c r="UZI8" s="5" t="s">
        <v>5</v>
      </c>
      <c r="UZJ8" s="1181" t="s">
        <v>15</v>
      </c>
      <c r="UZK8" s="1181"/>
      <c r="UZL8" s="5" t="s">
        <v>4</v>
      </c>
      <c r="UZM8" s="5" t="s">
        <v>0</v>
      </c>
      <c r="UZN8" s="1181" t="s">
        <v>15</v>
      </c>
      <c r="UZO8" s="1181"/>
      <c r="UZP8" s="4" t="s">
        <v>4</v>
      </c>
      <c r="UZQ8" s="5" t="s">
        <v>5</v>
      </c>
      <c r="UZR8" s="1181" t="s">
        <v>15</v>
      </c>
      <c r="UZS8" s="1181"/>
      <c r="UZT8" s="5" t="s">
        <v>4</v>
      </c>
      <c r="UZU8" s="5" t="s">
        <v>0</v>
      </c>
      <c r="UZV8" s="1181" t="s">
        <v>15</v>
      </c>
      <c r="UZW8" s="1181"/>
      <c r="UZX8" s="4" t="s">
        <v>4</v>
      </c>
      <c r="UZY8" s="5" t="s">
        <v>5</v>
      </c>
      <c r="UZZ8" s="1181" t="s">
        <v>15</v>
      </c>
      <c r="VAA8" s="1181"/>
      <c r="VAB8" s="5" t="s">
        <v>4</v>
      </c>
      <c r="VAC8" s="5" t="s">
        <v>0</v>
      </c>
      <c r="VAD8" s="1181" t="s">
        <v>15</v>
      </c>
      <c r="VAE8" s="1181"/>
      <c r="VAF8" s="4" t="s">
        <v>4</v>
      </c>
      <c r="VAG8" s="5" t="s">
        <v>5</v>
      </c>
      <c r="VAH8" s="1181" t="s">
        <v>15</v>
      </c>
      <c r="VAI8" s="1181"/>
      <c r="VAJ8" s="5" t="s">
        <v>4</v>
      </c>
      <c r="VAK8" s="5" t="s">
        <v>0</v>
      </c>
      <c r="VAL8" s="1181" t="s">
        <v>15</v>
      </c>
      <c r="VAM8" s="1181"/>
      <c r="VAN8" s="4" t="s">
        <v>4</v>
      </c>
      <c r="VAO8" s="5" t="s">
        <v>5</v>
      </c>
      <c r="VAP8" s="1181" t="s">
        <v>15</v>
      </c>
      <c r="VAQ8" s="1181"/>
      <c r="VAR8" s="5" t="s">
        <v>4</v>
      </c>
      <c r="VAS8" s="5" t="s">
        <v>0</v>
      </c>
      <c r="VAT8" s="1181" t="s">
        <v>15</v>
      </c>
      <c r="VAU8" s="1181"/>
      <c r="VAV8" s="4" t="s">
        <v>4</v>
      </c>
      <c r="VAW8" s="5" t="s">
        <v>5</v>
      </c>
      <c r="VAX8" s="1181" t="s">
        <v>15</v>
      </c>
      <c r="VAY8" s="1181"/>
      <c r="VAZ8" s="5" t="s">
        <v>4</v>
      </c>
      <c r="VBA8" s="5" t="s">
        <v>0</v>
      </c>
      <c r="VBB8" s="1181" t="s">
        <v>15</v>
      </c>
      <c r="VBC8" s="1181"/>
      <c r="VBD8" s="4" t="s">
        <v>4</v>
      </c>
      <c r="VBE8" s="5" t="s">
        <v>5</v>
      </c>
      <c r="VBF8" s="1181" t="s">
        <v>15</v>
      </c>
      <c r="VBG8" s="1181"/>
      <c r="VBH8" s="5" t="s">
        <v>4</v>
      </c>
      <c r="VBI8" s="5" t="s">
        <v>0</v>
      </c>
      <c r="VBJ8" s="1181" t="s">
        <v>15</v>
      </c>
      <c r="VBK8" s="1181"/>
      <c r="VBL8" s="4" t="s">
        <v>4</v>
      </c>
      <c r="VBM8" s="5" t="s">
        <v>5</v>
      </c>
      <c r="VBN8" s="1181" t="s">
        <v>15</v>
      </c>
      <c r="VBO8" s="1181"/>
      <c r="VBP8" s="5" t="s">
        <v>4</v>
      </c>
      <c r="VBQ8" s="5" t="s">
        <v>0</v>
      </c>
      <c r="VBR8" s="1181" t="s">
        <v>15</v>
      </c>
      <c r="VBS8" s="1181"/>
      <c r="VBT8" s="4" t="s">
        <v>4</v>
      </c>
      <c r="VBU8" s="5" t="s">
        <v>5</v>
      </c>
      <c r="VBV8" s="1181" t="s">
        <v>15</v>
      </c>
      <c r="VBW8" s="1181"/>
      <c r="VBX8" s="5" t="s">
        <v>4</v>
      </c>
      <c r="VBY8" s="5" t="s">
        <v>0</v>
      </c>
      <c r="VBZ8" s="1181" t="s">
        <v>15</v>
      </c>
      <c r="VCA8" s="1181"/>
      <c r="VCB8" s="4" t="s">
        <v>4</v>
      </c>
      <c r="VCC8" s="5" t="s">
        <v>5</v>
      </c>
      <c r="VCD8" s="1181" t="s">
        <v>15</v>
      </c>
      <c r="VCE8" s="1181"/>
      <c r="VCF8" s="5" t="s">
        <v>4</v>
      </c>
      <c r="VCG8" s="5" t="s">
        <v>0</v>
      </c>
      <c r="VCH8" s="1181" t="s">
        <v>15</v>
      </c>
      <c r="VCI8" s="1181"/>
      <c r="VCJ8" s="4" t="s">
        <v>4</v>
      </c>
      <c r="VCK8" s="5" t="s">
        <v>5</v>
      </c>
      <c r="VCL8" s="1181" t="s">
        <v>15</v>
      </c>
      <c r="VCM8" s="1181"/>
      <c r="VCN8" s="5" t="s">
        <v>4</v>
      </c>
      <c r="VCO8" s="5" t="s">
        <v>0</v>
      </c>
      <c r="VCP8" s="1181" t="s">
        <v>15</v>
      </c>
      <c r="VCQ8" s="1181"/>
      <c r="VCR8" s="4" t="s">
        <v>4</v>
      </c>
      <c r="VCS8" s="5" t="s">
        <v>5</v>
      </c>
      <c r="VCT8" s="1181" t="s">
        <v>15</v>
      </c>
      <c r="VCU8" s="1181"/>
      <c r="VCV8" s="5" t="s">
        <v>4</v>
      </c>
      <c r="VCW8" s="5" t="s">
        <v>0</v>
      </c>
      <c r="VCX8" s="1181" t="s">
        <v>15</v>
      </c>
      <c r="VCY8" s="1181"/>
      <c r="VCZ8" s="4" t="s">
        <v>4</v>
      </c>
      <c r="VDA8" s="5" t="s">
        <v>5</v>
      </c>
      <c r="VDB8" s="1181" t="s">
        <v>15</v>
      </c>
      <c r="VDC8" s="1181"/>
      <c r="VDD8" s="5" t="s">
        <v>4</v>
      </c>
      <c r="VDE8" s="5" t="s">
        <v>0</v>
      </c>
      <c r="VDF8" s="1181" t="s">
        <v>15</v>
      </c>
      <c r="VDG8" s="1181"/>
      <c r="VDH8" s="4" t="s">
        <v>4</v>
      </c>
      <c r="VDI8" s="5" t="s">
        <v>5</v>
      </c>
      <c r="VDJ8" s="1181" t="s">
        <v>15</v>
      </c>
      <c r="VDK8" s="1181"/>
      <c r="VDL8" s="5" t="s">
        <v>4</v>
      </c>
      <c r="VDM8" s="5" t="s">
        <v>0</v>
      </c>
      <c r="VDN8" s="1181" t="s">
        <v>15</v>
      </c>
      <c r="VDO8" s="1181"/>
      <c r="VDP8" s="4" t="s">
        <v>4</v>
      </c>
      <c r="VDQ8" s="5" t="s">
        <v>5</v>
      </c>
      <c r="VDR8" s="1181" t="s">
        <v>15</v>
      </c>
      <c r="VDS8" s="1181"/>
      <c r="VDT8" s="5" t="s">
        <v>4</v>
      </c>
      <c r="VDU8" s="5" t="s">
        <v>0</v>
      </c>
      <c r="VDV8" s="1181" t="s">
        <v>15</v>
      </c>
      <c r="VDW8" s="1181"/>
      <c r="VDX8" s="4" t="s">
        <v>4</v>
      </c>
      <c r="VDY8" s="5" t="s">
        <v>5</v>
      </c>
      <c r="VDZ8" s="1181" t="s">
        <v>15</v>
      </c>
      <c r="VEA8" s="1181"/>
      <c r="VEB8" s="5" t="s">
        <v>4</v>
      </c>
      <c r="VEC8" s="5" t="s">
        <v>0</v>
      </c>
      <c r="VED8" s="1181" t="s">
        <v>15</v>
      </c>
      <c r="VEE8" s="1181"/>
      <c r="VEF8" s="4" t="s">
        <v>4</v>
      </c>
      <c r="VEG8" s="5" t="s">
        <v>5</v>
      </c>
      <c r="VEH8" s="1181" t="s">
        <v>15</v>
      </c>
      <c r="VEI8" s="1181"/>
      <c r="VEJ8" s="5" t="s">
        <v>4</v>
      </c>
      <c r="VEK8" s="5" t="s">
        <v>0</v>
      </c>
      <c r="VEL8" s="1181" t="s">
        <v>15</v>
      </c>
      <c r="VEM8" s="1181"/>
      <c r="VEN8" s="4" t="s">
        <v>4</v>
      </c>
      <c r="VEO8" s="5" t="s">
        <v>5</v>
      </c>
      <c r="VEP8" s="1181" t="s">
        <v>15</v>
      </c>
      <c r="VEQ8" s="1181"/>
      <c r="VER8" s="5" t="s">
        <v>4</v>
      </c>
      <c r="VES8" s="5" t="s">
        <v>0</v>
      </c>
      <c r="VET8" s="1181" t="s">
        <v>15</v>
      </c>
      <c r="VEU8" s="1181"/>
      <c r="VEV8" s="4" t="s">
        <v>4</v>
      </c>
      <c r="VEW8" s="5" t="s">
        <v>5</v>
      </c>
      <c r="VEX8" s="1181" t="s">
        <v>15</v>
      </c>
      <c r="VEY8" s="1181"/>
      <c r="VEZ8" s="5" t="s">
        <v>4</v>
      </c>
      <c r="VFA8" s="5" t="s">
        <v>0</v>
      </c>
      <c r="VFB8" s="1181" t="s">
        <v>15</v>
      </c>
      <c r="VFC8" s="1181"/>
      <c r="VFD8" s="4" t="s">
        <v>4</v>
      </c>
      <c r="VFE8" s="5" t="s">
        <v>5</v>
      </c>
      <c r="VFF8" s="1181" t="s">
        <v>15</v>
      </c>
      <c r="VFG8" s="1181"/>
      <c r="VFH8" s="5" t="s">
        <v>4</v>
      </c>
      <c r="VFI8" s="5" t="s">
        <v>0</v>
      </c>
      <c r="VFJ8" s="1181" t="s">
        <v>15</v>
      </c>
      <c r="VFK8" s="1181"/>
      <c r="VFL8" s="4" t="s">
        <v>4</v>
      </c>
      <c r="VFM8" s="5" t="s">
        <v>5</v>
      </c>
      <c r="VFN8" s="1181" t="s">
        <v>15</v>
      </c>
      <c r="VFO8" s="1181"/>
      <c r="VFP8" s="5" t="s">
        <v>4</v>
      </c>
      <c r="VFQ8" s="5" t="s">
        <v>0</v>
      </c>
      <c r="VFR8" s="1181" t="s">
        <v>15</v>
      </c>
      <c r="VFS8" s="1181"/>
      <c r="VFT8" s="4" t="s">
        <v>4</v>
      </c>
      <c r="VFU8" s="5" t="s">
        <v>5</v>
      </c>
      <c r="VFV8" s="1181" t="s">
        <v>15</v>
      </c>
      <c r="VFW8" s="1181"/>
      <c r="VFX8" s="5" t="s">
        <v>4</v>
      </c>
      <c r="VFY8" s="5" t="s">
        <v>0</v>
      </c>
      <c r="VFZ8" s="1181" t="s">
        <v>15</v>
      </c>
      <c r="VGA8" s="1181"/>
      <c r="VGB8" s="4" t="s">
        <v>4</v>
      </c>
      <c r="VGC8" s="5" t="s">
        <v>5</v>
      </c>
      <c r="VGD8" s="1181" t="s">
        <v>15</v>
      </c>
      <c r="VGE8" s="1181"/>
      <c r="VGF8" s="5" t="s">
        <v>4</v>
      </c>
      <c r="VGG8" s="5" t="s">
        <v>0</v>
      </c>
      <c r="VGH8" s="1181" t="s">
        <v>15</v>
      </c>
      <c r="VGI8" s="1181"/>
      <c r="VGJ8" s="4" t="s">
        <v>4</v>
      </c>
      <c r="VGK8" s="5" t="s">
        <v>5</v>
      </c>
      <c r="VGL8" s="1181" t="s">
        <v>15</v>
      </c>
      <c r="VGM8" s="1181"/>
      <c r="VGN8" s="5" t="s">
        <v>4</v>
      </c>
      <c r="VGO8" s="5" t="s">
        <v>0</v>
      </c>
      <c r="VGP8" s="1181" t="s">
        <v>15</v>
      </c>
      <c r="VGQ8" s="1181"/>
      <c r="VGR8" s="4" t="s">
        <v>4</v>
      </c>
      <c r="VGS8" s="5" t="s">
        <v>5</v>
      </c>
      <c r="VGT8" s="1181" t="s">
        <v>15</v>
      </c>
      <c r="VGU8" s="1181"/>
      <c r="VGV8" s="5" t="s">
        <v>4</v>
      </c>
      <c r="VGW8" s="5" t="s">
        <v>0</v>
      </c>
      <c r="VGX8" s="1181" t="s">
        <v>15</v>
      </c>
      <c r="VGY8" s="1181"/>
      <c r="VGZ8" s="4" t="s">
        <v>4</v>
      </c>
      <c r="VHA8" s="5" t="s">
        <v>5</v>
      </c>
      <c r="VHB8" s="1181" t="s">
        <v>15</v>
      </c>
      <c r="VHC8" s="1181"/>
      <c r="VHD8" s="5" t="s">
        <v>4</v>
      </c>
      <c r="VHE8" s="5" t="s">
        <v>0</v>
      </c>
      <c r="VHF8" s="1181" t="s">
        <v>15</v>
      </c>
      <c r="VHG8" s="1181"/>
      <c r="VHH8" s="4" t="s">
        <v>4</v>
      </c>
      <c r="VHI8" s="5" t="s">
        <v>5</v>
      </c>
      <c r="VHJ8" s="1181" t="s">
        <v>15</v>
      </c>
      <c r="VHK8" s="1181"/>
      <c r="VHL8" s="5" t="s">
        <v>4</v>
      </c>
      <c r="VHM8" s="5" t="s">
        <v>0</v>
      </c>
      <c r="VHN8" s="1181" t="s">
        <v>15</v>
      </c>
      <c r="VHO8" s="1181"/>
      <c r="VHP8" s="4" t="s">
        <v>4</v>
      </c>
      <c r="VHQ8" s="5" t="s">
        <v>5</v>
      </c>
      <c r="VHR8" s="1181" t="s">
        <v>15</v>
      </c>
      <c r="VHS8" s="1181"/>
      <c r="VHT8" s="5" t="s">
        <v>4</v>
      </c>
      <c r="VHU8" s="5" t="s">
        <v>0</v>
      </c>
      <c r="VHV8" s="1181" t="s">
        <v>15</v>
      </c>
      <c r="VHW8" s="1181"/>
      <c r="VHX8" s="4" t="s">
        <v>4</v>
      </c>
      <c r="VHY8" s="5" t="s">
        <v>5</v>
      </c>
      <c r="VHZ8" s="1181" t="s">
        <v>15</v>
      </c>
      <c r="VIA8" s="1181"/>
      <c r="VIB8" s="5" t="s">
        <v>4</v>
      </c>
      <c r="VIC8" s="5" t="s">
        <v>0</v>
      </c>
      <c r="VID8" s="1181" t="s">
        <v>15</v>
      </c>
      <c r="VIE8" s="1181"/>
      <c r="VIF8" s="4" t="s">
        <v>4</v>
      </c>
      <c r="VIG8" s="5" t="s">
        <v>5</v>
      </c>
      <c r="VIH8" s="1181" t="s">
        <v>15</v>
      </c>
      <c r="VII8" s="1181"/>
      <c r="VIJ8" s="5" t="s">
        <v>4</v>
      </c>
      <c r="VIK8" s="5" t="s">
        <v>0</v>
      </c>
      <c r="VIL8" s="1181" t="s">
        <v>15</v>
      </c>
      <c r="VIM8" s="1181"/>
      <c r="VIN8" s="4" t="s">
        <v>4</v>
      </c>
      <c r="VIO8" s="5" t="s">
        <v>5</v>
      </c>
      <c r="VIP8" s="1181" t="s">
        <v>15</v>
      </c>
      <c r="VIQ8" s="1181"/>
      <c r="VIR8" s="5" t="s">
        <v>4</v>
      </c>
      <c r="VIS8" s="5" t="s">
        <v>0</v>
      </c>
      <c r="VIT8" s="1181" t="s">
        <v>15</v>
      </c>
      <c r="VIU8" s="1181"/>
      <c r="VIV8" s="4" t="s">
        <v>4</v>
      </c>
      <c r="VIW8" s="5" t="s">
        <v>5</v>
      </c>
      <c r="VIX8" s="1181" t="s">
        <v>15</v>
      </c>
      <c r="VIY8" s="1181"/>
      <c r="VIZ8" s="5" t="s">
        <v>4</v>
      </c>
      <c r="VJA8" s="5" t="s">
        <v>0</v>
      </c>
      <c r="VJB8" s="1181" t="s">
        <v>15</v>
      </c>
      <c r="VJC8" s="1181"/>
      <c r="VJD8" s="4" t="s">
        <v>4</v>
      </c>
      <c r="VJE8" s="5" t="s">
        <v>5</v>
      </c>
      <c r="VJF8" s="1181" t="s">
        <v>15</v>
      </c>
      <c r="VJG8" s="1181"/>
      <c r="VJH8" s="5" t="s">
        <v>4</v>
      </c>
      <c r="VJI8" s="5" t="s">
        <v>0</v>
      </c>
      <c r="VJJ8" s="1181" t="s">
        <v>15</v>
      </c>
      <c r="VJK8" s="1181"/>
      <c r="VJL8" s="4" t="s">
        <v>4</v>
      </c>
      <c r="VJM8" s="5" t="s">
        <v>5</v>
      </c>
      <c r="VJN8" s="1181" t="s">
        <v>15</v>
      </c>
      <c r="VJO8" s="1181"/>
      <c r="VJP8" s="5" t="s">
        <v>4</v>
      </c>
      <c r="VJQ8" s="5" t="s">
        <v>0</v>
      </c>
      <c r="VJR8" s="1181" t="s">
        <v>15</v>
      </c>
      <c r="VJS8" s="1181"/>
      <c r="VJT8" s="4" t="s">
        <v>4</v>
      </c>
      <c r="VJU8" s="5" t="s">
        <v>5</v>
      </c>
      <c r="VJV8" s="1181" t="s">
        <v>15</v>
      </c>
      <c r="VJW8" s="1181"/>
      <c r="VJX8" s="5" t="s">
        <v>4</v>
      </c>
      <c r="VJY8" s="5" t="s">
        <v>0</v>
      </c>
      <c r="VJZ8" s="1181" t="s">
        <v>15</v>
      </c>
      <c r="VKA8" s="1181"/>
      <c r="VKB8" s="4" t="s">
        <v>4</v>
      </c>
      <c r="VKC8" s="5" t="s">
        <v>5</v>
      </c>
      <c r="VKD8" s="1181" t="s">
        <v>15</v>
      </c>
      <c r="VKE8" s="1181"/>
      <c r="VKF8" s="5" t="s">
        <v>4</v>
      </c>
      <c r="VKG8" s="5" t="s">
        <v>0</v>
      </c>
      <c r="VKH8" s="1181" t="s">
        <v>15</v>
      </c>
      <c r="VKI8" s="1181"/>
      <c r="VKJ8" s="4" t="s">
        <v>4</v>
      </c>
      <c r="VKK8" s="5" t="s">
        <v>5</v>
      </c>
      <c r="VKL8" s="1181" t="s">
        <v>15</v>
      </c>
      <c r="VKM8" s="1181"/>
      <c r="VKN8" s="5" t="s">
        <v>4</v>
      </c>
      <c r="VKO8" s="5" t="s">
        <v>0</v>
      </c>
      <c r="VKP8" s="1181" t="s">
        <v>15</v>
      </c>
      <c r="VKQ8" s="1181"/>
      <c r="VKR8" s="4" t="s">
        <v>4</v>
      </c>
      <c r="VKS8" s="5" t="s">
        <v>5</v>
      </c>
      <c r="VKT8" s="1181" t="s">
        <v>15</v>
      </c>
      <c r="VKU8" s="1181"/>
      <c r="VKV8" s="5" t="s">
        <v>4</v>
      </c>
      <c r="VKW8" s="5" t="s">
        <v>0</v>
      </c>
      <c r="VKX8" s="1181" t="s">
        <v>15</v>
      </c>
      <c r="VKY8" s="1181"/>
      <c r="VKZ8" s="4" t="s">
        <v>4</v>
      </c>
      <c r="VLA8" s="5" t="s">
        <v>5</v>
      </c>
      <c r="VLB8" s="1181" t="s">
        <v>15</v>
      </c>
      <c r="VLC8" s="1181"/>
      <c r="VLD8" s="5" t="s">
        <v>4</v>
      </c>
      <c r="VLE8" s="5" t="s">
        <v>0</v>
      </c>
      <c r="VLF8" s="1181" t="s">
        <v>15</v>
      </c>
      <c r="VLG8" s="1181"/>
      <c r="VLH8" s="4" t="s">
        <v>4</v>
      </c>
      <c r="VLI8" s="5" t="s">
        <v>5</v>
      </c>
      <c r="VLJ8" s="1181" t="s">
        <v>15</v>
      </c>
      <c r="VLK8" s="1181"/>
      <c r="VLL8" s="5" t="s">
        <v>4</v>
      </c>
      <c r="VLM8" s="5" t="s">
        <v>0</v>
      </c>
      <c r="VLN8" s="1181" t="s">
        <v>15</v>
      </c>
      <c r="VLO8" s="1181"/>
      <c r="VLP8" s="4" t="s">
        <v>4</v>
      </c>
      <c r="VLQ8" s="5" t="s">
        <v>5</v>
      </c>
      <c r="VLR8" s="1181" t="s">
        <v>15</v>
      </c>
      <c r="VLS8" s="1181"/>
      <c r="VLT8" s="5" t="s">
        <v>4</v>
      </c>
      <c r="VLU8" s="5" t="s">
        <v>0</v>
      </c>
      <c r="VLV8" s="1181" t="s">
        <v>15</v>
      </c>
      <c r="VLW8" s="1181"/>
      <c r="VLX8" s="4" t="s">
        <v>4</v>
      </c>
      <c r="VLY8" s="5" t="s">
        <v>5</v>
      </c>
      <c r="VLZ8" s="1181" t="s">
        <v>15</v>
      </c>
      <c r="VMA8" s="1181"/>
      <c r="VMB8" s="5" t="s">
        <v>4</v>
      </c>
      <c r="VMC8" s="5" t="s">
        <v>0</v>
      </c>
      <c r="VMD8" s="1181" t="s">
        <v>15</v>
      </c>
      <c r="VME8" s="1181"/>
      <c r="VMF8" s="4" t="s">
        <v>4</v>
      </c>
      <c r="VMG8" s="5" t="s">
        <v>5</v>
      </c>
      <c r="VMH8" s="1181" t="s">
        <v>15</v>
      </c>
      <c r="VMI8" s="1181"/>
      <c r="VMJ8" s="5" t="s">
        <v>4</v>
      </c>
      <c r="VMK8" s="5" t="s">
        <v>0</v>
      </c>
      <c r="VML8" s="1181" t="s">
        <v>15</v>
      </c>
      <c r="VMM8" s="1181"/>
      <c r="VMN8" s="4" t="s">
        <v>4</v>
      </c>
      <c r="VMO8" s="5" t="s">
        <v>5</v>
      </c>
      <c r="VMP8" s="1181" t="s">
        <v>15</v>
      </c>
      <c r="VMQ8" s="1181"/>
      <c r="VMR8" s="5" t="s">
        <v>4</v>
      </c>
      <c r="VMS8" s="5" t="s">
        <v>0</v>
      </c>
      <c r="VMT8" s="1181" t="s">
        <v>15</v>
      </c>
      <c r="VMU8" s="1181"/>
      <c r="VMV8" s="4" t="s">
        <v>4</v>
      </c>
      <c r="VMW8" s="5" t="s">
        <v>5</v>
      </c>
      <c r="VMX8" s="1181" t="s">
        <v>15</v>
      </c>
      <c r="VMY8" s="1181"/>
      <c r="VMZ8" s="5" t="s">
        <v>4</v>
      </c>
      <c r="VNA8" s="5" t="s">
        <v>0</v>
      </c>
      <c r="VNB8" s="1181" t="s">
        <v>15</v>
      </c>
      <c r="VNC8" s="1181"/>
      <c r="VND8" s="4" t="s">
        <v>4</v>
      </c>
      <c r="VNE8" s="5" t="s">
        <v>5</v>
      </c>
      <c r="VNF8" s="1181" t="s">
        <v>15</v>
      </c>
      <c r="VNG8" s="1181"/>
      <c r="VNH8" s="5" t="s">
        <v>4</v>
      </c>
      <c r="VNI8" s="5" t="s">
        <v>0</v>
      </c>
      <c r="VNJ8" s="1181" t="s">
        <v>15</v>
      </c>
      <c r="VNK8" s="1181"/>
      <c r="VNL8" s="4" t="s">
        <v>4</v>
      </c>
      <c r="VNM8" s="5" t="s">
        <v>5</v>
      </c>
      <c r="VNN8" s="1181" t="s">
        <v>15</v>
      </c>
      <c r="VNO8" s="1181"/>
      <c r="VNP8" s="5" t="s">
        <v>4</v>
      </c>
      <c r="VNQ8" s="5" t="s">
        <v>0</v>
      </c>
      <c r="VNR8" s="1181" t="s">
        <v>15</v>
      </c>
      <c r="VNS8" s="1181"/>
      <c r="VNT8" s="4" t="s">
        <v>4</v>
      </c>
      <c r="VNU8" s="5" t="s">
        <v>5</v>
      </c>
      <c r="VNV8" s="1181" t="s">
        <v>15</v>
      </c>
      <c r="VNW8" s="1181"/>
      <c r="VNX8" s="5" t="s">
        <v>4</v>
      </c>
      <c r="VNY8" s="5" t="s">
        <v>0</v>
      </c>
      <c r="VNZ8" s="1181" t="s">
        <v>15</v>
      </c>
      <c r="VOA8" s="1181"/>
      <c r="VOB8" s="4" t="s">
        <v>4</v>
      </c>
      <c r="VOC8" s="5" t="s">
        <v>5</v>
      </c>
      <c r="VOD8" s="1181" t="s">
        <v>15</v>
      </c>
      <c r="VOE8" s="1181"/>
      <c r="VOF8" s="5" t="s">
        <v>4</v>
      </c>
      <c r="VOG8" s="5" t="s">
        <v>0</v>
      </c>
      <c r="VOH8" s="1181" t="s">
        <v>15</v>
      </c>
      <c r="VOI8" s="1181"/>
      <c r="VOJ8" s="4" t="s">
        <v>4</v>
      </c>
      <c r="VOK8" s="5" t="s">
        <v>5</v>
      </c>
      <c r="VOL8" s="1181" t="s">
        <v>15</v>
      </c>
      <c r="VOM8" s="1181"/>
      <c r="VON8" s="5" t="s">
        <v>4</v>
      </c>
      <c r="VOO8" s="5" t="s">
        <v>0</v>
      </c>
      <c r="VOP8" s="1181" t="s">
        <v>15</v>
      </c>
      <c r="VOQ8" s="1181"/>
      <c r="VOR8" s="4" t="s">
        <v>4</v>
      </c>
      <c r="VOS8" s="5" t="s">
        <v>5</v>
      </c>
      <c r="VOT8" s="1181" t="s">
        <v>15</v>
      </c>
      <c r="VOU8" s="1181"/>
      <c r="VOV8" s="5" t="s">
        <v>4</v>
      </c>
      <c r="VOW8" s="5" t="s">
        <v>0</v>
      </c>
      <c r="VOX8" s="1181" t="s">
        <v>15</v>
      </c>
      <c r="VOY8" s="1181"/>
      <c r="VOZ8" s="4" t="s">
        <v>4</v>
      </c>
      <c r="VPA8" s="5" t="s">
        <v>5</v>
      </c>
      <c r="VPB8" s="1181" t="s">
        <v>15</v>
      </c>
      <c r="VPC8" s="1181"/>
      <c r="VPD8" s="5" t="s">
        <v>4</v>
      </c>
      <c r="VPE8" s="5" t="s">
        <v>0</v>
      </c>
      <c r="VPF8" s="1181" t="s">
        <v>15</v>
      </c>
      <c r="VPG8" s="1181"/>
      <c r="VPH8" s="4" t="s">
        <v>4</v>
      </c>
      <c r="VPI8" s="5" t="s">
        <v>5</v>
      </c>
      <c r="VPJ8" s="1181" t="s">
        <v>15</v>
      </c>
      <c r="VPK8" s="1181"/>
      <c r="VPL8" s="5" t="s">
        <v>4</v>
      </c>
      <c r="VPM8" s="5" t="s">
        <v>0</v>
      </c>
      <c r="VPN8" s="1181" t="s">
        <v>15</v>
      </c>
      <c r="VPO8" s="1181"/>
      <c r="VPP8" s="4" t="s">
        <v>4</v>
      </c>
      <c r="VPQ8" s="5" t="s">
        <v>5</v>
      </c>
      <c r="VPR8" s="1181" t="s">
        <v>15</v>
      </c>
      <c r="VPS8" s="1181"/>
      <c r="VPT8" s="5" t="s">
        <v>4</v>
      </c>
      <c r="VPU8" s="5" t="s">
        <v>0</v>
      </c>
      <c r="VPV8" s="1181" t="s">
        <v>15</v>
      </c>
      <c r="VPW8" s="1181"/>
      <c r="VPX8" s="4" t="s">
        <v>4</v>
      </c>
      <c r="VPY8" s="5" t="s">
        <v>5</v>
      </c>
      <c r="VPZ8" s="1181" t="s">
        <v>15</v>
      </c>
      <c r="VQA8" s="1181"/>
      <c r="VQB8" s="5" t="s">
        <v>4</v>
      </c>
      <c r="VQC8" s="5" t="s">
        <v>0</v>
      </c>
      <c r="VQD8" s="1181" t="s">
        <v>15</v>
      </c>
      <c r="VQE8" s="1181"/>
      <c r="VQF8" s="4" t="s">
        <v>4</v>
      </c>
      <c r="VQG8" s="5" t="s">
        <v>5</v>
      </c>
      <c r="VQH8" s="1181" t="s">
        <v>15</v>
      </c>
      <c r="VQI8" s="1181"/>
      <c r="VQJ8" s="5" t="s">
        <v>4</v>
      </c>
      <c r="VQK8" s="5" t="s">
        <v>0</v>
      </c>
      <c r="VQL8" s="1181" t="s">
        <v>15</v>
      </c>
      <c r="VQM8" s="1181"/>
      <c r="VQN8" s="4" t="s">
        <v>4</v>
      </c>
      <c r="VQO8" s="5" t="s">
        <v>5</v>
      </c>
      <c r="VQP8" s="1181" t="s">
        <v>15</v>
      </c>
      <c r="VQQ8" s="1181"/>
      <c r="VQR8" s="5" t="s">
        <v>4</v>
      </c>
      <c r="VQS8" s="5" t="s">
        <v>0</v>
      </c>
      <c r="VQT8" s="1181" t="s">
        <v>15</v>
      </c>
      <c r="VQU8" s="1181"/>
      <c r="VQV8" s="4" t="s">
        <v>4</v>
      </c>
      <c r="VQW8" s="5" t="s">
        <v>5</v>
      </c>
      <c r="VQX8" s="1181" t="s">
        <v>15</v>
      </c>
      <c r="VQY8" s="1181"/>
      <c r="VQZ8" s="5" t="s">
        <v>4</v>
      </c>
      <c r="VRA8" s="5" t="s">
        <v>0</v>
      </c>
      <c r="VRB8" s="1181" t="s">
        <v>15</v>
      </c>
      <c r="VRC8" s="1181"/>
      <c r="VRD8" s="4" t="s">
        <v>4</v>
      </c>
      <c r="VRE8" s="5" t="s">
        <v>5</v>
      </c>
      <c r="VRF8" s="1181" t="s">
        <v>15</v>
      </c>
      <c r="VRG8" s="1181"/>
      <c r="VRH8" s="5" t="s">
        <v>4</v>
      </c>
      <c r="VRI8" s="5" t="s">
        <v>0</v>
      </c>
      <c r="VRJ8" s="1181" t="s">
        <v>15</v>
      </c>
      <c r="VRK8" s="1181"/>
      <c r="VRL8" s="4" t="s">
        <v>4</v>
      </c>
      <c r="VRM8" s="5" t="s">
        <v>5</v>
      </c>
      <c r="VRN8" s="1181" t="s">
        <v>15</v>
      </c>
      <c r="VRO8" s="1181"/>
      <c r="VRP8" s="5" t="s">
        <v>4</v>
      </c>
      <c r="VRQ8" s="5" t="s">
        <v>0</v>
      </c>
      <c r="VRR8" s="1181" t="s">
        <v>15</v>
      </c>
      <c r="VRS8" s="1181"/>
      <c r="VRT8" s="4" t="s">
        <v>4</v>
      </c>
      <c r="VRU8" s="5" t="s">
        <v>5</v>
      </c>
      <c r="VRV8" s="1181" t="s">
        <v>15</v>
      </c>
      <c r="VRW8" s="1181"/>
      <c r="VRX8" s="5" t="s">
        <v>4</v>
      </c>
      <c r="VRY8" s="5" t="s">
        <v>0</v>
      </c>
      <c r="VRZ8" s="1181" t="s">
        <v>15</v>
      </c>
      <c r="VSA8" s="1181"/>
      <c r="VSB8" s="4" t="s">
        <v>4</v>
      </c>
      <c r="VSC8" s="5" t="s">
        <v>5</v>
      </c>
      <c r="VSD8" s="1181" t="s">
        <v>15</v>
      </c>
      <c r="VSE8" s="1181"/>
      <c r="VSF8" s="5" t="s">
        <v>4</v>
      </c>
      <c r="VSG8" s="5" t="s">
        <v>0</v>
      </c>
      <c r="VSH8" s="1181" t="s">
        <v>15</v>
      </c>
      <c r="VSI8" s="1181"/>
      <c r="VSJ8" s="4" t="s">
        <v>4</v>
      </c>
      <c r="VSK8" s="5" t="s">
        <v>5</v>
      </c>
      <c r="VSL8" s="1181" t="s">
        <v>15</v>
      </c>
      <c r="VSM8" s="1181"/>
      <c r="VSN8" s="5" t="s">
        <v>4</v>
      </c>
      <c r="VSO8" s="5" t="s">
        <v>0</v>
      </c>
      <c r="VSP8" s="1181" t="s">
        <v>15</v>
      </c>
      <c r="VSQ8" s="1181"/>
      <c r="VSR8" s="4" t="s">
        <v>4</v>
      </c>
      <c r="VSS8" s="5" t="s">
        <v>5</v>
      </c>
      <c r="VST8" s="1181" t="s">
        <v>15</v>
      </c>
      <c r="VSU8" s="1181"/>
      <c r="VSV8" s="5" t="s">
        <v>4</v>
      </c>
      <c r="VSW8" s="5" t="s">
        <v>0</v>
      </c>
      <c r="VSX8" s="1181" t="s">
        <v>15</v>
      </c>
      <c r="VSY8" s="1181"/>
      <c r="VSZ8" s="4" t="s">
        <v>4</v>
      </c>
      <c r="VTA8" s="5" t="s">
        <v>5</v>
      </c>
      <c r="VTB8" s="1181" t="s">
        <v>15</v>
      </c>
      <c r="VTC8" s="1181"/>
      <c r="VTD8" s="5" t="s">
        <v>4</v>
      </c>
      <c r="VTE8" s="5" t="s">
        <v>0</v>
      </c>
      <c r="VTF8" s="1181" t="s">
        <v>15</v>
      </c>
      <c r="VTG8" s="1181"/>
      <c r="VTH8" s="4" t="s">
        <v>4</v>
      </c>
      <c r="VTI8" s="5" t="s">
        <v>5</v>
      </c>
      <c r="VTJ8" s="1181" t="s">
        <v>15</v>
      </c>
      <c r="VTK8" s="1181"/>
      <c r="VTL8" s="5" t="s">
        <v>4</v>
      </c>
      <c r="VTM8" s="5" t="s">
        <v>0</v>
      </c>
      <c r="VTN8" s="1181" t="s">
        <v>15</v>
      </c>
      <c r="VTO8" s="1181"/>
      <c r="VTP8" s="4" t="s">
        <v>4</v>
      </c>
      <c r="VTQ8" s="5" t="s">
        <v>5</v>
      </c>
      <c r="VTR8" s="1181" t="s">
        <v>15</v>
      </c>
      <c r="VTS8" s="1181"/>
      <c r="VTT8" s="5" t="s">
        <v>4</v>
      </c>
      <c r="VTU8" s="5" t="s">
        <v>0</v>
      </c>
      <c r="VTV8" s="1181" t="s">
        <v>15</v>
      </c>
      <c r="VTW8" s="1181"/>
      <c r="VTX8" s="4" t="s">
        <v>4</v>
      </c>
      <c r="VTY8" s="5" t="s">
        <v>5</v>
      </c>
      <c r="VTZ8" s="1181" t="s">
        <v>15</v>
      </c>
      <c r="VUA8" s="1181"/>
      <c r="VUB8" s="5" t="s">
        <v>4</v>
      </c>
      <c r="VUC8" s="5" t="s">
        <v>0</v>
      </c>
      <c r="VUD8" s="1181" t="s">
        <v>15</v>
      </c>
      <c r="VUE8" s="1181"/>
      <c r="VUF8" s="4" t="s">
        <v>4</v>
      </c>
      <c r="VUG8" s="5" t="s">
        <v>5</v>
      </c>
      <c r="VUH8" s="1181" t="s">
        <v>15</v>
      </c>
      <c r="VUI8" s="1181"/>
      <c r="VUJ8" s="5" t="s">
        <v>4</v>
      </c>
      <c r="VUK8" s="5" t="s">
        <v>0</v>
      </c>
      <c r="VUL8" s="1181" t="s">
        <v>15</v>
      </c>
      <c r="VUM8" s="1181"/>
      <c r="VUN8" s="4" t="s">
        <v>4</v>
      </c>
      <c r="VUO8" s="5" t="s">
        <v>5</v>
      </c>
      <c r="VUP8" s="1181" t="s">
        <v>15</v>
      </c>
      <c r="VUQ8" s="1181"/>
      <c r="VUR8" s="5" t="s">
        <v>4</v>
      </c>
      <c r="VUS8" s="5" t="s">
        <v>0</v>
      </c>
      <c r="VUT8" s="1181" t="s">
        <v>15</v>
      </c>
      <c r="VUU8" s="1181"/>
      <c r="VUV8" s="4" t="s">
        <v>4</v>
      </c>
      <c r="VUW8" s="5" t="s">
        <v>5</v>
      </c>
      <c r="VUX8" s="1181" t="s">
        <v>15</v>
      </c>
      <c r="VUY8" s="1181"/>
      <c r="VUZ8" s="5" t="s">
        <v>4</v>
      </c>
      <c r="VVA8" s="5" t="s">
        <v>0</v>
      </c>
      <c r="VVB8" s="1181" t="s">
        <v>15</v>
      </c>
      <c r="VVC8" s="1181"/>
      <c r="VVD8" s="4" t="s">
        <v>4</v>
      </c>
      <c r="VVE8" s="5" t="s">
        <v>5</v>
      </c>
      <c r="VVF8" s="1181" t="s">
        <v>15</v>
      </c>
      <c r="VVG8" s="1181"/>
      <c r="VVH8" s="5" t="s">
        <v>4</v>
      </c>
      <c r="VVI8" s="5" t="s">
        <v>0</v>
      </c>
      <c r="VVJ8" s="1181" t="s">
        <v>15</v>
      </c>
      <c r="VVK8" s="1181"/>
      <c r="VVL8" s="4" t="s">
        <v>4</v>
      </c>
      <c r="VVM8" s="5" t="s">
        <v>5</v>
      </c>
      <c r="VVN8" s="1181" t="s">
        <v>15</v>
      </c>
      <c r="VVO8" s="1181"/>
      <c r="VVP8" s="5" t="s">
        <v>4</v>
      </c>
      <c r="VVQ8" s="5" t="s">
        <v>0</v>
      </c>
      <c r="VVR8" s="1181" t="s">
        <v>15</v>
      </c>
      <c r="VVS8" s="1181"/>
      <c r="VVT8" s="4" t="s">
        <v>4</v>
      </c>
      <c r="VVU8" s="5" t="s">
        <v>5</v>
      </c>
      <c r="VVV8" s="1181" t="s">
        <v>15</v>
      </c>
      <c r="VVW8" s="1181"/>
      <c r="VVX8" s="5" t="s">
        <v>4</v>
      </c>
      <c r="VVY8" s="5" t="s">
        <v>0</v>
      </c>
      <c r="VVZ8" s="1181" t="s">
        <v>15</v>
      </c>
      <c r="VWA8" s="1181"/>
      <c r="VWB8" s="4" t="s">
        <v>4</v>
      </c>
      <c r="VWC8" s="5" t="s">
        <v>5</v>
      </c>
      <c r="VWD8" s="1181" t="s">
        <v>15</v>
      </c>
      <c r="VWE8" s="1181"/>
      <c r="VWF8" s="5" t="s">
        <v>4</v>
      </c>
      <c r="VWG8" s="5" t="s">
        <v>0</v>
      </c>
      <c r="VWH8" s="1181" t="s">
        <v>15</v>
      </c>
      <c r="VWI8" s="1181"/>
      <c r="VWJ8" s="4" t="s">
        <v>4</v>
      </c>
      <c r="VWK8" s="5" t="s">
        <v>5</v>
      </c>
      <c r="VWL8" s="1181" t="s">
        <v>15</v>
      </c>
      <c r="VWM8" s="1181"/>
      <c r="VWN8" s="5" t="s">
        <v>4</v>
      </c>
      <c r="VWO8" s="5" t="s">
        <v>0</v>
      </c>
      <c r="VWP8" s="1181" t="s">
        <v>15</v>
      </c>
      <c r="VWQ8" s="1181"/>
      <c r="VWR8" s="4" t="s">
        <v>4</v>
      </c>
      <c r="VWS8" s="5" t="s">
        <v>5</v>
      </c>
      <c r="VWT8" s="1181" t="s">
        <v>15</v>
      </c>
      <c r="VWU8" s="1181"/>
      <c r="VWV8" s="5" t="s">
        <v>4</v>
      </c>
      <c r="VWW8" s="5" t="s">
        <v>0</v>
      </c>
      <c r="VWX8" s="1181" t="s">
        <v>15</v>
      </c>
      <c r="VWY8" s="1181"/>
      <c r="VWZ8" s="4" t="s">
        <v>4</v>
      </c>
      <c r="VXA8" s="5" t="s">
        <v>5</v>
      </c>
      <c r="VXB8" s="1181" t="s">
        <v>15</v>
      </c>
      <c r="VXC8" s="1181"/>
      <c r="VXD8" s="5" t="s">
        <v>4</v>
      </c>
      <c r="VXE8" s="5" t="s">
        <v>0</v>
      </c>
      <c r="VXF8" s="1181" t="s">
        <v>15</v>
      </c>
      <c r="VXG8" s="1181"/>
      <c r="VXH8" s="4" t="s">
        <v>4</v>
      </c>
      <c r="VXI8" s="5" t="s">
        <v>5</v>
      </c>
      <c r="VXJ8" s="1181" t="s">
        <v>15</v>
      </c>
      <c r="VXK8" s="1181"/>
      <c r="VXL8" s="5" t="s">
        <v>4</v>
      </c>
      <c r="VXM8" s="5" t="s">
        <v>0</v>
      </c>
      <c r="VXN8" s="1181" t="s">
        <v>15</v>
      </c>
      <c r="VXO8" s="1181"/>
      <c r="VXP8" s="4" t="s">
        <v>4</v>
      </c>
      <c r="VXQ8" s="5" t="s">
        <v>5</v>
      </c>
      <c r="VXR8" s="1181" t="s">
        <v>15</v>
      </c>
      <c r="VXS8" s="1181"/>
      <c r="VXT8" s="5" t="s">
        <v>4</v>
      </c>
      <c r="VXU8" s="5" t="s">
        <v>0</v>
      </c>
      <c r="VXV8" s="1181" t="s">
        <v>15</v>
      </c>
      <c r="VXW8" s="1181"/>
      <c r="VXX8" s="4" t="s">
        <v>4</v>
      </c>
      <c r="VXY8" s="5" t="s">
        <v>5</v>
      </c>
      <c r="VXZ8" s="1181" t="s">
        <v>15</v>
      </c>
      <c r="VYA8" s="1181"/>
      <c r="VYB8" s="5" t="s">
        <v>4</v>
      </c>
      <c r="VYC8" s="5" t="s">
        <v>0</v>
      </c>
      <c r="VYD8" s="1181" t="s">
        <v>15</v>
      </c>
      <c r="VYE8" s="1181"/>
      <c r="VYF8" s="4" t="s">
        <v>4</v>
      </c>
      <c r="VYG8" s="5" t="s">
        <v>5</v>
      </c>
      <c r="VYH8" s="1181" t="s">
        <v>15</v>
      </c>
      <c r="VYI8" s="1181"/>
      <c r="VYJ8" s="5" t="s">
        <v>4</v>
      </c>
      <c r="VYK8" s="5" t="s">
        <v>0</v>
      </c>
      <c r="VYL8" s="1181" t="s">
        <v>15</v>
      </c>
      <c r="VYM8" s="1181"/>
      <c r="VYN8" s="4" t="s">
        <v>4</v>
      </c>
      <c r="VYO8" s="5" t="s">
        <v>5</v>
      </c>
      <c r="VYP8" s="1181" t="s">
        <v>15</v>
      </c>
      <c r="VYQ8" s="1181"/>
      <c r="VYR8" s="5" t="s">
        <v>4</v>
      </c>
      <c r="VYS8" s="5" t="s">
        <v>0</v>
      </c>
      <c r="VYT8" s="1181" t="s">
        <v>15</v>
      </c>
      <c r="VYU8" s="1181"/>
      <c r="VYV8" s="4" t="s">
        <v>4</v>
      </c>
      <c r="VYW8" s="5" t="s">
        <v>5</v>
      </c>
      <c r="VYX8" s="1181" t="s">
        <v>15</v>
      </c>
      <c r="VYY8" s="1181"/>
      <c r="VYZ8" s="5" t="s">
        <v>4</v>
      </c>
      <c r="VZA8" s="5" t="s">
        <v>0</v>
      </c>
      <c r="VZB8" s="1181" t="s">
        <v>15</v>
      </c>
      <c r="VZC8" s="1181"/>
      <c r="VZD8" s="4" t="s">
        <v>4</v>
      </c>
      <c r="VZE8" s="5" t="s">
        <v>5</v>
      </c>
      <c r="VZF8" s="1181" t="s">
        <v>15</v>
      </c>
      <c r="VZG8" s="1181"/>
      <c r="VZH8" s="5" t="s">
        <v>4</v>
      </c>
      <c r="VZI8" s="5" t="s">
        <v>0</v>
      </c>
      <c r="VZJ8" s="1181" t="s">
        <v>15</v>
      </c>
      <c r="VZK8" s="1181"/>
      <c r="VZL8" s="4" t="s">
        <v>4</v>
      </c>
      <c r="VZM8" s="5" t="s">
        <v>5</v>
      </c>
      <c r="VZN8" s="1181" t="s">
        <v>15</v>
      </c>
      <c r="VZO8" s="1181"/>
      <c r="VZP8" s="5" t="s">
        <v>4</v>
      </c>
      <c r="VZQ8" s="5" t="s">
        <v>0</v>
      </c>
      <c r="VZR8" s="1181" t="s">
        <v>15</v>
      </c>
      <c r="VZS8" s="1181"/>
      <c r="VZT8" s="4" t="s">
        <v>4</v>
      </c>
      <c r="VZU8" s="5" t="s">
        <v>5</v>
      </c>
      <c r="VZV8" s="1181" t="s">
        <v>15</v>
      </c>
      <c r="VZW8" s="1181"/>
      <c r="VZX8" s="5" t="s">
        <v>4</v>
      </c>
      <c r="VZY8" s="5" t="s">
        <v>0</v>
      </c>
      <c r="VZZ8" s="1181" t="s">
        <v>15</v>
      </c>
      <c r="WAA8" s="1181"/>
      <c r="WAB8" s="4" t="s">
        <v>4</v>
      </c>
      <c r="WAC8" s="5" t="s">
        <v>5</v>
      </c>
      <c r="WAD8" s="1181" t="s">
        <v>15</v>
      </c>
      <c r="WAE8" s="1181"/>
      <c r="WAF8" s="5" t="s">
        <v>4</v>
      </c>
      <c r="WAG8" s="5" t="s">
        <v>0</v>
      </c>
      <c r="WAH8" s="1181" t="s">
        <v>15</v>
      </c>
      <c r="WAI8" s="1181"/>
      <c r="WAJ8" s="4" t="s">
        <v>4</v>
      </c>
      <c r="WAK8" s="5" t="s">
        <v>5</v>
      </c>
      <c r="WAL8" s="1181" t="s">
        <v>15</v>
      </c>
      <c r="WAM8" s="1181"/>
      <c r="WAN8" s="5" t="s">
        <v>4</v>
      </c>
      <c r="WAO8" s="5" t="s">
        <v>0</v>
      </c>
      <c r="WAP8" s="1181" t="s">
        <v>15</v>
      </c>
      <c r="WAQ8" s="1181"/>
      <c r="WAR8" s="4" t="s">
        <v>4</v>
      </c>
      <c r="WAS8" s="5" t="s">
        <v>5</v>
      </c>
      <c r="WAT8" s="1181" t="s">
        <v>15</v>
      </c>
      <c r="WAU8" s="1181"/>
      <c r="WAV8" s="5" t="s">
        <v>4</v>
      </c>
      <c r="WAW8" s="5" t="s">
        <v>0</v>
      </c>
      <c r="WAX8" s="1181" t="s">
        <v>15</v>
      </c>
      <c r="WAY8" s="1181"/>
      <c r="WAZ8" s="4" t="s">
        <v>4</v>
      </c>
      <c r="WBA8" s="5" t="s">
        <v>5</v>
      </c>
      <c r="WBB8" s="1181" t="s">
        <v>15</v>
      </c>
      <c r="WBC8" s="1181"/>
      <c r="WBD8" s="5" t="s">
        <v>4</v>
      </c>
      <c r="WBE8" s="5" t="s">
        <v>0</v>
      </c>
      <c r="WBF8" s="1181" t="s">
        <v>15</v>
      </c>
      <c r="WBG8" s="1181"/>
      <c r="WBH8" s="4" t="s">
        <v>4</v>
      </c>
      <c r="WBI8" s="5" t="s">
        <v>5</v>
      </c>
      <c r="WBJ8" s="1181" t="s">
        <v>15</v>
      </c>
      <c r="WBK8" s="1181"/>
      <c r="WBL8" s="5" t="s">
        <v>4</v>
      </c>
      <c r="WBM8" s="5" t="s">
        <v>0</v>
      </c>
      <c r="WBN8" s="1181" t="s">
        <v>15</v>
      </c>
      <c r="WBO8" s="1181"/>
      <c r="WBP8" s="4" t="s">
        <v>4</v>
      </c>
      <c r="WBQ8" s="5" t="s">
        <v>5</v>
      </c>
      <c r="WBR8" s="1181" t="s">
        <v>15</v>
      </c>
      <c r="WBS8" s="1181"/>
      <c r="WBT8" s="5" t="s">
        <v>4</v>
      </c>
      <c r="WBU8" s="5" t="s">
        <v>0</v>
      </c>
      <c r="WBV8" s="1181" t="s">
        <v>15</v>
      </c>
      <c r="WBW8" s="1181"/>
      <c r="WBX8" s="4" t="s">
        <v>4</v>
      </c>
      <c r="WBY8" s="5" t="s">
        <v>5</v>
      </c>
      <c r="WBZ8" s="1181" t="s">
        <v>15</v>
      </c>
      <c r="WCA8" s="1181"/>
      <c r="WCB8" s="5" t="s">
        <v>4</v>
      </c>
      <c r="WCC8" s="5" t="s">
        <v>0</v>
      </c>
      <c r="WCD8" s="1181" t="s">
        <v>15</v>
      </c>
      <c r="WCE8" s="1181"/>
      <c r="WCF8" s="4" t="s">
        <v>4</v>
      </c>
      <c r="WCG8" s="5" t="s">
        <v>5</v>
      </c>
      <c r="WCH8" s="1181" t="s">
        <v>15</v>
      </c>
      <c r="WCI8" s="1181"/>
      <c r="WCJ8" s="5" t="s">
        <v>4</v>
      </c>
      <c r="WCK8" s="5" t="s">
        <v>0</v>
      </c>
      <c r="WCL8" s="1181" t="s">
        <v>15</v>
      </c>
      <c r="WCM8" s="1181"/>
      <c r="WCN8" s="4" t="s">
        <v>4</v>
      </c>
      <c r="WCO8" s="5" t="s">
        <v>5</v>
      </c>
      <c r="WCP8" s="1181" t="s">
        <v>15</v>
      </c>
      <c r="WCQ8" s="1181"/>
      <c r="WCR8" s="5" t="s">
        <v>4</v>
      </c>
      <c r="WCS8" s="5" t="s">
        <v>0</v>
      </c>
      <c r="WCT8" s="1181" t="s">
        <v>15</v>
      </c>
      <c r="WCU8" s="1181"/>
      <c r="WCV8" s="4" t="s">
        <v>4</v>
      </c>
      <c r="WCW8" s="5" t="s">
        <v>5</v>
      </c>
      <c r="WCX8" s="1181" t="s">
        <v>15</v>
      </c>
      <c r="WCY8" s="1181"/>
      <c r="WCZ8" s="5" t="s">
        <v>4</v>
      </c>
      <c r="WDA8" s="5" t="s">
        <v>0</v>
      </c>
      <c r="WDB8" s="1181" t="s">
        <v>15</v>
      </c>
      <c r="WDC8" s="1181"/>
      <c r="WDD8" s="4" t="s">
        <v>4</v>
      </c>
      <c r="WDE8" s="5" t="s">
        <v>5</v>
      </c>
      <c r="WDF8" s="1181" t="s">
        <v>15</v>
      </c>
      <c r="WDG8" s="1181"/>
      <c r="WDH8" s="5" t="s">
        <v>4</v>
      </c>
      <c r="WDI8" s="5" t="s">
        <v>0</v>
      </c>
      <c r="WDJ8" s="1181" t="s">
        <v>15</v>
      </c>
      <c r="WDK8" s="1181"/>
      <c r="WDL8" s="4" t="s">
        <v>4</v>
      </c>
      <c r="WDM8" s="5" t="s">
        <v>5</v>
      </c>
      <c r="WDN8" s="1181" t="s">
        <v>15</v>
      </c>
      <c r="WDO8" s="1181"/>
      <c r="WDP8" s="5" t="s">
        <v>4</v>
      </c>
      <c r="WDQ8" s="5" t="s">
        <v>0</v>
      </c>
      <c r="WDR8" s="1181" t="s">
        <v>15</v>
      </c>
      <c r="WDS8" s="1181"/>
      <c r="WDT8" s="4" t="s">
        <v>4</v>
      </c>
      <c r="WDU8" s="5" t="s">
        <v>5</v>
      </c>
      <c r="WDV8" s="1181" t="s">
        <v>15</v>
      </c>
      <c r="WDW8" s="1181"/>
      <c r="WDX8" s="5" t="s">
        <v>4</v>
      </c>
      <c r="WDY8" s="5" t="s">
        <v>0</v>
      </c>
      <c r="WDZ8" s="1181" t="s">
        <v>15</v>
      </c>
      <c r="WEA8" s="1181"/>
      <c r="WEB8" s="4" t="s">
        <v>4</v>
      </c>
      <c r="WEC8" s="5" t="s">
        <v>5</v>
      </c>
      <c r="WED8" s="1181" t="s">
        <v>15</v>
      </c>
      <c r="WEE8" s="1181"/>
      <c r="WEF8" s="5" t="s">
        <v>4</v>
      </c>
      <c r="WEG8" s="5" t="s">
        <v>0</v>
      </c>
      <c r="WEH8" s="1181" t="s">
        <v>15</v>
      </c>
      <c r="WEI8" s="1181"/>
      <c r="WEJ8" s="4" t="s">
        <v>4</v>
      </c>
      <c r="WEK8" s="5" t="s">
        <v>5</v>
      </c>
      <c r="WEL8" s="1181" t="s">
        <v>15</v>
      </c>
      <c r="WEM8" s="1181"/>
      <c r="WEN8" s="5" t="s">
        <v>4</v>
      </c>
      <c r="WEO8" s="5" t="s">
        <v>0</v>
      </c>
      <c r="WEP8" s="1181" t="s">
        <v>15</v>
      </c>
      <c r="WEQ8" s="1181"/>
      <c r="WER8" s="4" t="s">
        <v>4</v>
      </c>
      <c r="WES8" s="5" t="s">
        <v>5</v>
      </c>
      <c r="WET8" s="1181" t="s">
        <v>15</v>
      </c>
      <c r="WEU8" s="1181"/>
      <c r="WEV8" s="5" t="s">
        <v>4</v>
      </c>
      <c r="WEW8" s="5" t="s">
        <v>0</v>
      </c>
      <c r="WEX8" s="1181" t="s">
        <v>15</v>
      </c>
      <c r="WEY8" s="1181"/>
      <c r="WEZ8" s="4" t="s">
        <v>4</v>
      </c>
      <c r="WFA8" s="5" t="s">
        <v>5</v>
      </c>
      <c r="WFB8" s="1181" t="s">
        <v>15</v>
      </c>
      <c r="WFC8" s="1181"/>
      <c r="WFD8" s="5" t="s">
        <v>4</v>
      </c>
      <c r="WFE8" s="5" t="s">
        <v>0</v>
      </c>
      <c r="WFF8" s="1181" t="s">
        <v>15</v>
      </c>
      <c r="WFG8" s="1181"/>
      <c r="WFH8" s="4" t="s">
        <v>4</v>
      </c>
      <c r="WFI8" s="5" t="s">
        <v>5</v>
      </c>
      <c r="WFJ8" s="1181" t="s">
        <v>15</v>
      </c>
      <c r="WFK8" s="1181"/>
      <c r="WFL8" s="5" t="s">
        <v>4</v>
      </c>
      <c r="WFM8" s="5" t="s">
        <v>0</v>
      </c>
      <c r="WFN8" s="1181" t="s">
        <v>15</v>
      </c>
      <c r="WFO8" s="1181"/>
      <c r="WFP8" s="4" t="s">
        <v>4</v>
      </c>
      <c r="WFQ8" s="5" t="s">
        <v>5</v>
      </c>
      <c r="WFR8" s="1181" t="s">
        <v>15</v>
      </c>
      <c r="WFS8" s="1181"/>
      <c r="WFT8" s="5" t="s">
        <v>4</v>
      </c>
      <c r="WFU8" s="5" t="s">
        <v>0</v>
      </c>
      <c r="WFV8" s="1181" t="s">
        <v>15</v>
      </c>
      <c r="WFW8" s="1181"/>
      <c r="WFX8" s="4" t="s">
        <v>4</v>
      </c>
      <c r="WFY8" s="5" t="s">
        <v>5</v>
      </c>
      <c r="WFZ8" s="1181" t="s">
        <v>15</v>
      </c>
      <c r="WGA8" s="1181"/>
      <c r="WGB8" s="5" t="s">
        <v>4</v>
      </c>
      <c r="WGC8" s="5" t="s">
        <v>0</v>
      </c>
      <c r="WGD8" s="1181" t="s">
        <v>15</v>
      </c>
      <c r="WGE8" s="1181"/>
      <c r="WGF8" s="4" t="s">
        <v>4</v>
      </c>
      <c r="WGG8" s="5" t="s">
        <v>5</v>
      </c>
      <c r="WGH8" s="1181" t="s">
        <v>15</v>
      </c>
      <c r="WGI8" s="1181"/>
      <c r="WGJ8" s="5" t="s">
        <v>4</v>
      </c>
      <c r="WGK8" s="5" t="s">
        <v>0</v>
      </c>
      <c r="WGL8" s="1181" t="s">
        <v>15</v>
      </c>
      <c r="WGM8" s="1181"/>
      <c r="WGN8" s="4" t="s">
        <v>4</v>
      </c>
      <c r="WGO8" s="5" t="s">
        <v>5</v>
      </c>
      <c r="WGP8" s="1181" t="s">
        <v>15</v>
      </c>
      <c r="WGQ8" s="1181"/>
      <c r="WGR8" s="5" t="s">
        <v>4</v>
      </c>
      <c r="WGS8" s="5" t="s">
        <v>0</v>
      </c>
      <c r="WGT8" s="1181" t="s">
        <v>15</v>
      </c>
      <c r="WGU8" s="1181"/>
      <c r="WGV8" s="4" t="s">
        <v>4</v>
      </c>
      <c r="WGW8" s="5" t="s">
        <v>5</v>
      </c>
      <c r="WGX8" s="1181" t="s">
        <v>15</v>
      </c>
      <c r="WGY8" s="1181"/>
      <c r="WGZ8" s="5" t="s">
        <v>4</v>
      </c>
      <c r="WHA8" s="5" t="s">
        <v>0</v>
      </c>
      <c r="WHB8" s="1181" t="s">
        <v>15</v>
      </c>
      <c r="WHC8" s="1181"/>
      <c r="WHD8" s="4" t="s">
        <v>4</v>
      </c>
      <c r="WHE8" s="5" t="s">
        <v>5</v>
      </c>
      <c r="WHF8" s="1181" t="s">
        <v>15</v>
      </c>
      <c r="WHG8" s="1181"/>
      <c r="WHH8" s="5" t="s">
        <v>4</v>
      </c>
      <c r="WHI8" s="5" t="s">
        <v>0</v>
      </c>
      <c r="WHJ8" s="1181" t="s">
        <v>15</v>
      </c>
      <c r="WHK8" s="1181"/>
      <c r="WHL8" s="4" t="s">
        <v>4</v>
      </c>
      <c r="WHM8" s="5" t="s">
        <v>5</v>
      </c>
      <c r="WHN8" s="1181" t="s">
        <v>15</v>
      </c>
      <c r="WHO8" s="1181"/>
      <c r="WHP8" s="5" t="s">
        <v>4</v>
      </c>
      <c r="WHQ8" s="5" t="s">
        <v>0</v>
      </c>
      <c r="WHR8" s="1181" t="s">
        <v>15</v>
      </c>
      <c r="WHS8" s="1181"/>
      <c r="WHT8" s="4" t="s">
        <v>4</v>
      </c>
      <c r="WHU8" s="5" t="s">
        <v>5</v>
      </c>
      <c r="WHV8" s="1181" t="s">
        <v>15</v>
      </c>
      <c r="WHW8" s="1181"/>
      <c r="WHX8" s="5" t="s">
        <v>4</v>
      </c>
      <c r="WHY8" s="5" t="s">
        <v>0</v>
      </c>
      <c r="WHZ8" s="1181" t="s">
        <v>15</v>
      </c>
      <c r="WIA8" s="1181"/>
      <c r="WIB8" s="4" t="s">
        <v>4</v>
      </c>
      <c r="WIC8" s="5" t="s">
        <v>5</v>
      </c>
      <c r="WID8" s="1181" t="s">
        <v>15</v>
      </c>
      <c r="WIE8" s="1181"/>
      <c r="WIF8" s="5" t="s">
        <v>4</v>
      </c>
      <c r="WIG8" s="5" t="s">
        <v>0</v>
      </c>
      <c r="WIH8" s="1181" t="s">
        <v>15</v>
      </c>
      <c r="WII8" s="1181"/>
      <c r="WIJ8" s="4" t="s">
        <v>4</v>
      </c>
      <c r="WIK8" s="5" t="s">
        <v>5</v>
      </c>
      <c r="WIL8" s="1181" t="s">
        <v>15</v>
      </c>
      <c r="WIM8" s="1181"/>
      <c r="WIN8" s="5" t="s">
        <v>4</v>
      </c>
      <c r="WIO8" s="5" t="s">
        <v>0</v>
      </c>
      <c r="WIP8" s="1181" t="s">
        <v>15</v>
      </c>
      <c r="WIQ8" s="1181"/>
      <c r="WIR8" s="4" t="s">
        <v>4</v>
      </c>
      <c r="WIS8" s="5" t="s">
        <v>5</v>
      </c>
      <c r="WIT8" s="1181" t="s">
        <v>15</v>
      </c>
      <c r="WIU8" s="1181"/>
      <c r="WIV8" s="5" t="s">
        <v>4</v>
      </c>
      <c r="WIW8" s="5" t="s">
        <v>0</v>
      </c>
      <c r="WIX8" s="1181" t="s">
        <v>15</v>
      </c>
      <c r="WIY8" s="1181"/>
      <c r="WIZ8" s="4" t="s">
        <v>4</v>
      </c>
      <c r="WJA8" s="5" t="s">
        <v>5</v>
      </c>
      <c r="WJB8" s="1181" t="s">
        <v>15</v>
      </c>
      <c r="WJC8" s="1181"/>
      <c r="WJD8" s="5" t="s">
        <v>4</v>
      </c>
      <c r="WJE8" s="5" t="s">
        <v>0</v>
      </c>
      <c r="WJF8" s="1181" t="s">
        <v>15</v>
      </c>
      <c r="WJG8" s="1181"/>
      <c r="WJH8" s="4" t="s">
        <v>4</v>
      </c>
      <c r="WJI8" s="5" t="s">
        <v>5</v>
      </c>
      <c r="WJJ8" s="1181" t="s">
        <v>15</v>
      </c>
      <c r="WJK8" s="1181"/>
      <c r="WJL8" s="5" t="s">
        <v>4</v>
      </c>
      <c r="WJM8" s="5" t="s">
        <v>0</v>
      </c>
      <c r="WJN8" s="1181" t="s">
        <v>15</v>
      </c>
      <c r="WJO8" s="1181"/>
      <c r="WJP8" s="4" t="s">
        <v>4</v>
      </c>
      <c r="WJQ8" s="5" t="s">
        <v>5</v>
      </c>
      <c r="WJR8" s="1181" t="s">
        <v>15</v>
      </c>
      <c r="WJS8" s="1181"/>
      <c r="WJT8" s="5" t="s">
        <v>4</v>
      </c>
      <c r="WJU8" s="5" t="s">
        <v>0</v>
      </c>
      <c r="WJV8" s="1181" t="s">
        <v>15</v>
      </c>
      <c r="WJW8" s="1181"/>
      <c r="WJX8" s="4" t="s">
        <v>4</v>
      </c>
      <c r="WJY8" s="5" t="s">
        <v>5</v>
      </c>
      <c r="WJZ8" s="1181" t="s">
        <v>15</v>
      </c>
      <c r="WKA8" s="1181"/>
      <c r="WKB8" s="5" t="s">
        <v>4</v>
      </c>
      <c r="WKC8" s="5" t="s">
        <v>0</v>
      </c>
      <c r="WKD8" s="1181" t="s">
        <v>15</v>
      </c>
      <c r="WKE8" s="1181"/>
      <c r="WKF8" s="4" t="s">
        <v>4</v>
      </c>
      <c r="WKG8" s="5" t="s">
        <v>5</v>
      </c>
      <c r="WKH8" s="1181" t="s">
        <v>15</v>
      </c>
      <c r="WKI8" s="1181"/>
      <c r="WKJ8" s="5" t="s">
        <v>4</v>
      </c>
      <c r="WKK8" s="5" t="s">
        <v>0</v>
      </c>
      <c r="WKL8" s="1181" t="s">
        <v>15</v>
      </c>
      <c r="WKM8" s="1181"/>
      <c r="WKN8" s="4" t="s">
        <v>4</v>
      </c>
      <c r="WKO8" s="5" t="s">
        <v>5</v>
      </c>
      <c r="WKP8" s="1181" t="s">
        <v>15</v>
      </c>
      <c r="WKQ8" s="1181"/>
      <c r="WKR8" s="5" t="s">
        <v>4</v>
      </c>
      <c r="WKS8" s="5" t="s">
        <v>0</v>
      </c>
      <c r="WKT8" s="1181" t="s">
        <v>15</v>
      </c>
      <c r="WKU8" s="1181"/>
      <c r="WKV8" s="4" t="s">
        <v>4</v>
      </c>
      <c r="WKW8" s="5" t="s">
        <v>5</v>
      </c>
      <c r="WKX8" s="1181" t="s">
        <v>15</v>
      </c>
      <c r="WKY8" s="1181"/>
      <c r="WKZ8" s="5" t="s">
        <v>4</v>
      </c>
      <c r="WLA8" s="5" t="s">
        <v>0</v>
      </c>
      <c r="WLB8" s="1181" t="s">
        <v>15</v>
      </c>
      <c r="WLC8" s="1181"/>
      <c r="WLD8" s="4" t="s">
        <v>4</v>
      </c>
      <c r="WLE8" s="5" t="s">
        <v>5</v>
      </c>
      <c r="WLF8" s="1181" t="s">
        <v>15</v>
      </c>
      <c r="WLG8" s="1181"/>
      <c r="WLH8" s="5" t="s">
        <v>4</v>
      </c>
      <c r="WLI8" s="5" t="s">
        <v>0</v>
      </c>
      <c r="WLJ8" s="1181" t="s">
        <v>15</v>
      </c>
      <c r="WLK8" s="1181"/>
      <c r="WLL8" s="4" t="s">
        <v>4</v>
      </c>
      <c r="WLM8" s="5" t="s">
        <v>5</v>
      </c>
      <c r="WLN8" s="1181" t="s">
        <v>15</v>
      </c>
      <c r="WLO8" s="1181"/>
      <c r="WLP8" s="5" t="s">
        <v>4</v>
      </c>
      <c r="WLQ8" s="5" t="s">
        <v>0</v>
      </c>
      <c r="WLR8" s="1181" t="s">
        <v>15</v>
      </c>
      <c r="WLS8" s="1181"/>
      <c r="WLT8" s="4" t="s">
        <v>4</v>
      </c>
      <c r="WLU8" s="5" t="s">
        <v>5</v>
      </c>
      <c r="WLV8" s="1181" t="s">
        <v>15</v>
      </c>
      <c r="WLW8" s="1181"/>
      <c r="WLX8" s="5" t="s">
        <v>4</v>
      </c>
      <c r="WLY8" s="5" t="s">
        <v>0</v>
      </c>
      <c r="WLZ8" s="1181" t="s">
        <v>15</v>
      </c>
      <c r="WMA8" s="1181"/>
      <c r="WMB8" s="4" t="s">
        <v>4</v>
      </c>
      <c r="WMC8" s="5" t="s">
        <v>5</v>
      </c>
      <c r="WMD8" s="1181" t="s">
        <v>15</v>
      </c>
      <c r="WME8" s="1181"/>
      <c r="WMF8" s="5" t="s">
        <v>4</v>
      </c>
      <c r="WMG8" s="5" t="s">
        <v>0</v>
      </c>
      <c r="WMH8" s="1181" t="s">
        <v>15</v>
      </c>
      <c r="WMI8" s="1181"/>
      <c r="WMJ8" s="4" t="s">
        <v>4</v>
      </c>
      <c r="WMK8" s="5" t="s">
        <v>5</v>
      </c>
      <c r="WML8" s="1181" t="s">
        <v>15</v>
      </c>
      <c r="WMM8" s="1181"/>
      <c r="WMN8" s="5" t="s">
        <v>4</v>
      </c>
      <c r="WMO8" s="5" t="s">
        <v>0</v>
      </c>
      <c r="WMP8" s="1181" t="s">
        <v>15</v>
      </c>
      <c r="WMQ8" s="1181"/>
      <c r="WMR8" s="4" t="s">
        <v>4</v>
      </c>
      <c r="WMS8" s="5" t="s">
        <v>5</v>
      </c>
      <c r="WMT8" s="1181" t="s">
        <v>15</v>
      </c>
      <c r="WMU8" s="1181"/>
      <c r="WMV8" s="5" t="s">
        <v>4</v>
      </c>
      <c r="WMW8" s="5" t="s">
        <v>0</v>
      </c>
      <c r="WMX8" s="1181" t="s">
        <v>15</v>
      </c>
      <c r="WMY8" s="1181"/>
      <c r="WMZ8" s="4" t="s">
        <v>4</v>
      </c>
      <c r="WNA8" s="5" t="s">
        <v>5</v>
      </c>
      <c r="WNB8" s="1181" t="s">
        <v>15</v>
      </c>
      <c r="WNC8" s="1181"/>
      <c r="WND8" s="5" t="s">
        <v>4</v>
      </c>
      <c r="WNE8" s="5" t="s">
        <v>0</v>
      </c>
      <c r="WNF8" s="1181" t="s">
        <v>15</v>
      </c>
      <c r="WNG8" s="1181"/>
      <c r="WNH8" s="4" t="s">
        <v>4</v>
      </c>
      <c r="WNI8" s="5" t="s">
        <v>5</v>
      </c>
      <c r="WNJ8" s="1181" t="s">
        <v>15</v>
      </c>
      <c r="WNK8" s="1181"/>
      <c r="WNL8" s="5" t="s">
        <v>4</v>
      </c>
      <c r="WNM8" s="5" t="s">
        <v>0</v>
      </c>
      <c r="WNN8" s="1181" t="s">
        <v>15</v>
      </c>
      <c r="WNO8" s="1181"/>
      <c r="WNP8" s="4" t="s">
        <v>4</v>
      </c>
      <c r="WNQ8" s="5" t="s">
        <v>5</v>
      </c>
      <c r="WNR8" s="1181" t="s">
        <v>15</v>
      </c>
      <c r="WNS8" s="1181"/>
      <c r="WNT8" s="5" t="s">
        <v>4</v>
      </c>
      <c r="WNU8" s="5" t="s">
        <v>0</v>
      </c>
      <c r="WNV8" s="1181" t="s">
        <v>15</v>
      </c>
      <c r="WNW8" s="1181"/>
      <c r="WNX8" s="4" t="s">
        <v>4</v>
      </c>
      <c r="WNY8" s="5" t="s">
        <v>5</v>
      </c>
      <c r="WNZ8" s="1181" t="s">
        <v>15</v>
      </c>
      <c r="WOA8" s="1181"/>
      <c r="WOB8" s="5" t="s">
        <v>4</v>
      </c>
      <c r="WOC8" s="5" t="s">
        <v>0</v>
      </c>
      <c r="WOD8" s="1181" t="s">
        <v>15</v>
      </c>
      <c r="WOE8" s="1181"/>
      <c r="WOF8" s="4" t="s">
        <v>4</v>
      </c>
      <c r="WOG8" s="5" t="s">
        <v>5</v>
      </c>
      <c r="WOH8" s="1181" t="s">
        <v>15</v>
      </c>
      <c r="WOI8" s="1181"/>
      <c r="WOJ8" s="5" t="s">
        <v>4</v>
      </c>
      <c r="WOK8" s="5" t="s">
        <v>0</v>
      </c>
      <c r="WOL8" s="1181" t="s">
        <v>15</v>
      </c>
      <c r="WOM8" s="1181"/>
      <c r="WON8" s="4" t="s">
        <v>4</v>
      </c>
      <c r="WOO8" s="5" t="s">
        <v>5</v>
      </c>
      <c r="WOP8" s="1181" t="s">
        <v>15</v>
      </c>
      <c r="WOQ8" s="1181"/>
      <c r="WOR8" s="5" t="s">
        <v>4</v>
      </c>
      <c r="WOS8" s="5" t="s">
        <v>0</v>
      </c>
      <c r="WOT8" s="1181" t="s">
        <v>15</v>
      </c>
      <c r="WOU8" s="1181"/>
      <c r="WOV8" s="4" t="s">
        <v>4</v>
      </c>
      <c r="WOW8" s="5" t="s">
        <v>5</v>
      </c>
      <c r="WOX8" s="1181" t="s">
        <v>15</v>
      </c>
      <c r="WOY8" s="1181"/>
      <c r="WOZ8" s="5" t="s">
        <v>4</v>
      </c>
      <c r="WPA8" s="5" t="s">
        <v>0</v>
      </c>
      <c r="WPB8" s="1181" t="s">
        <v>15</v>
      </c>
      <c r="WPC8" s="1181"/>
      <c r="WPD8" s="4" t="s">
        <v>4</v>
      </c>
      <c r="WPE8" s="5" t="s">
        <v>5</v>
      </c>
      <c r="WPF8" s="1181" t="s">
        <v>15</v>
      </c>
      <c r="WPG8" s="1181"/>
      <c r="WPH8" s="5" t="s">
        <v>4</v>
      </c>
      <c r="WPI8" s="5" t="s">
        <v>0</v>
      </c>
      <c r="WPJ8" s="1181" t="s">
        <v>15</v>
      </c>
      <c r="WPK8" s="1181"/>
      <c r="WPL8" s="4" t="s">
        <v>4</v>
      </c>
      <c r="WPM8" s="5" t="s">
        <v>5</v>
      </c>
      <c r="WPN8" s="1181" t="s">
        <v>15</v>
      </c>
      <c r="WPO8" s="1181"/>
      <c r="WPP8" s="5" t="s">
        <v>4</v>
      </c>
      <c r="WPQ8" s="5" t="s">
        <v>0</v>
      </c>
      <c r="WPR8" s="1181" t="s">
        <v>15</v>
      </c>
      <c r="WPS8" s="1181"/>
      <c r="WPT8" s="4" t="s">
        <v>4</v>
      </c>
      <c r="WPU8" s="5" t="s">
        <v>5</v>
      </c>
      <c r="WPV8" s="1181" t="s">
        <v>15</v>
      </c>
      <c r="WPW8" s="1181"/>
      <c r="WPX8" s="5" t="s">
        <v>4</v>
      </c>
      <c r="WPY8" s="5" t="s">
        <v>0</v>
      </c>
      <c r="WPZ8" s="1181" t="s">
        <v>15</v>
      </c>
      <c r="WQA8" s="1181"/>
      <c r="WQB8" s="4" t="s">
        <v>4</v>
      </c>
      <c r="WQC8" s="5" t="s">
        <v>5</v>
      </c>
      <c r="WQD8" s="1181" t="s">
        <v>15</v>
      </c>
      <c r="WQE8" s="1181"/>
      <c r="WQF8" s="5" t="s">
        <v>4</v>
      </c>
      <c r="WQG8" s="5" t="s">
        <v>0</v>
      </c>
      <c r="WQH8" s="1181" t="s">
        <v>15</v>
      </c>
      <c r="WQI8" s="1181"/>
      <c r="WQJ8" s="4" t="s">
        <v>4</v>
      </c>
      <c r="WQK8" s="5" t="s">
        <v>5</v>
      </c>
      <c r="WQL8" s="1181" t="s">
        <v>15</v>
      </c>
      <c r="WQM8" s="1181"/>
      <c r="WQN8" s="5" t="s">
        <v>4</v>
      </c>
      <c r="WQO8" s="5" t="s">
        <v>0</v>
      </c>
      <c r="WQP8" s="1181" t="s">
        <v>15</v>
      </c>
      <c r="WQQ8" s="1181"/>
      <c r="WQR8" s="4" t="s">
        <v>4</v>
      </c>
      <c r="WQS8" s="5" t="s">
        <v>5</v>
      </c>
      <c r="WQT8" s="1181" t="s">
        <v>15</v>
      </c>
      <c r="WQU8" s="1181"/>
      <c r="WQV8" s="5" t="s">
        <v>4</v>
      </c>
      <c r="WQW8" s="5" t="s">
        <v>0</v>
      </c>
      <c r="WQX8" s="1181" t="s">
        <v>15</v>
      </c>
      <c r="WQY8" s="1181"/>
      <c r="WQZ8" s="4" t="s">
        <v>4</v>
      </c>
      <c r="WRA8" s="5" t="s">
        <v>5</v>
      </c>
      <c r="WRB8" s="1181" t="s">
        <v>15</v>
      </c>
      <c r="WRC8" s="1181"/>
      <c r="WRD8" s="5" t="s">
        <v>4</v>
      </c>
      <c r="WRE8" s="5" t="s">
        <v>0</v>
      </c>
      <c r="WRF8" s="1181" t="s">
        <v>15</v>
      </c>
      <c r="WRG8" s="1181"/>
      <c r="WRH8" s="4" t="s">
        <v>4</v>
      </c>
      <c r="WRI8" s="5" t="s">
        <v>5</v>
      </c>
      <c r="WRJ8" s="1181" t="s">
        <v>15</v>
      </c>
      <c r="WRK8" s="1181"/>
      <c r="WRL8" s="5" t="s">
        <v>4</v>
      </c>
      <c r="WRM8" s="5" t="s">
        <v>0</v>
      </c>
      <c r="WRN8" s="1181" t="s">
        <v>15</v>
      </c>
      <c r="WRO8" s="1181"/>
      <c r="WRP8" s="4" t="s">
        <v>4</v>
      </c>
      <c r="WRQ8" s="5" t="s">
        <v>5</v>
      </c>
      <c r="WRR8" s="1181" t="s">
        <v>15</v>
      </c>
      <c r="WRS8" s="1181"/>
      <c r="WRT8" s="5" t="s">
        <v>4</v>
      </c>
      <c r="WRU8" s="5" t="s">
        <v>0</v>
      </c>
      <c r="WRV8" s="1181" t="s">
        <v>15</v>
      </c>
      <c r="WRW8" s="1181"/>
      <c r="WRX8" s="4" t="s">
        <v>4</v>
      </c>
      <c r="WRY8" s="5" t="s">
        <v>5</v>
      </c>
      <c r="WRZ8" s="1181" t="s">
        <v>15</v>
      </c>
      <c r="WSA8" s="1181"/>
      <c r="WSB8" s="5" t="s">
        <v>4</v>
      </c>
      <c r="WSC8" s="5" t="s">
        <v>0</v>
      </c>
      <c r="WSD8" s="1181" t="s">
        <v>15</v>
      </c>
      <c r="WSE8" s="1181"/>
      <c r="WSF8" s="4" t="s">
        <v>4</v>
      </c>
      <c r="WSG8" s="5" t="s">
        <v>5</v>
      </c>
      <c r="WSH8" s="1181" t="s">
        <v>15</v>
      </c>
      <c r="WSI8" s="1181"/>
      <c r="WSJ8" s="5" t="s">
        <v>4</v>
      </c>
      <c r="WSK8" s="5" t="s">
        <v>0</v>
      </c>
      <c r="WSL8" s="1181" t="s">
        <v>15</v>
      </c>
      <c r="WSM8" s="1181"/>
      <c r="WSN8" s="4" t="s">
        <v>4</v>
      </c>
      <c r="WSO8" s="5" t="s">
        <v>5</v>
      </c>
      <c r="WSP8" s="1181" t="s">
        <v>15</v>
      </c>
      <c r="WSQ8" s="1181"/>
      <c r="WSR8" s="5" t="s">
        <v>4</v>
      </c>
      <c r="WSS8" s="5" t="s">
        <v>0</v>
      </c>
      <c r="WST8" s="1181" t="s">
        <v>15</v>
      </c>
      <c r="WSU8" s="1181"/>
      <c r="WSV8" s="4" t="s">
        <v>4</v>
      </c>
      <c r="WSW8" s="5" t="s">
        <v>5</v>
      </c>
      <c r="WSX8" s="1181" t="s">
        <v>15</v>
      </c>
      <c r="WSY8" s="1181"/>
      <c r="WSZ8" s="5" t="s">
        <v>4</v>
      </c>
      <c r="WTA8" s="5" t="s">
        <v>0</v>
      </c>
      <c r="WTB8" s="1181" t="s">
        <v>15</v>
      </c>
      <c r="WTC8" s="1181"/>
      <c r="WTD8" s="4" t="s">
        <v>4</v>
      </c>
      <c r="WTE8" s="5" t="s">
        <v>5</v>
      </c>
      <c r="WTF8" s="1181" t="s">
        <v>15</v>
      </c>
      <c r="WTG8" s="1181"/>
      <c r="WTH8" s="5" t="s">
        <v>4</v>
      </c>
      <c r="WTI8" s="5" t="s">
        <v>0</v>
      </c>
      <c r="WTJ8" s="1181" t="s">
        <v>15</v>
      </c>
      <c r="WTK8" s="1181"/>
      <c r="WTL8" s="4" t="s">
        <v>4</v>
      </c>
      <c r="WTM8" s="5" t="s">
        <v>5</v>
      </c>
      <c r="WTN8" s="1181" t="s">
        <v>15</v>
      </c>
      <c r="WTO8" s="1181"/>
      <c r="WTP8" s="5" t="s">
        <v>4</v>
      </c>
      <c r="WTQ8" s="5" t="s">
        <v>0</v>
      </c>
      <c r="WTR8" s="1181" t="s">
        <v>15</v>
      </c>
      <c r="WTS8" s="1181"/>
      <c r="WTT8" s="4" t="s">
        <v>4</v>
      </c>
      <c r="WTU8" s="5" t="s">
        <v>5</v>
      </c>
      <c r="WTV8" s="1181" t="s">
        <v>15</v>
      </c>
      <c r="WTW8" s="1181"/>
      <c r="WTX8" s="5" t="s">
        <v>4</v>
      </c>
      <c r="WTY8" s="5" t="s">
        <v>0</v>
      </c>
      <c r="WTZ8" s="1181" t="s">
        <v>15</v>
      </c>
      <c r="WUA8" s="1181"/>
      <c r="WUB8" s="4" t="s">
        <v>4</v>
      </c>
      <c r="WUC8" s="5" t="s">
        <v>5</v>
      </c>
      <c r="WUD8" s="1181" t="s">
        <v>15</v>
      </c>
      <c r="WUE8" s="1181"/>
      <c r="WUF8" s="5" t="s">
        <v>4</v>
      </c>
      <c r="WUG8" s="5" t="s">
        <v>0</v>
      </c>
      <c r="WUH8" s="1181" t="s">
        <v>15</v>
      </c>
      <c r="WUI8" s="1181"/>
      <c r="WUJ8" s="4" t="s">
        <v>4</v>
      </c>
      <c r="WUK8" s="5" t="s">
        <v>5</v>
      </c>
      <c r="WUL8" s="1181" t="s">
        <v>15</v>
      </c>
      <c r="WUM8" s="1181"/>
      <c r="WUN8" s="5" t="s">
        <v>4</v>
      </c>
      <c r="WUO8" s="5" t="s">
        <v>0</v>
      </c>
      <c r="WUP8" s="1181" t="s">
        <v>15</v>
      </c>
      <c r="WUQ8" s="1181"/>
      <c r="WUR8" s="4" t="s">
        <v>4</v>
      </c>
      <c r="WUS8" s="5" t="s">
        <v>5</v>
      </c>
      <c r="WUT8" s="1181" t="s">
        <v>15</v>
      </c>
      <c r="WUU8" s="1181"/>
      <c r="WUV8" s="5" t="s">
        <v>4</v>
      </c>
      <c r="WUW8" s="5" t="s">
        <v>0</v>
      </c>
      <c r="WUX8" s="1181" t="s">
        <v>15</v>
      </c>
      <c r="WUY8" s="1181"/>
      <c r="WUZ8" s="4" t="s">
        <v>4</v>
      </c>
      <c r="WVA8" s="5" t="s">
        <v>5</v>
      </c>
      <c r="WVB8" s="1181" t="s">
        <v>15</v>
      </c>
      <c r="WVC8" s="1181"/>
      <c r="WVD8" s="5" t="s">
        <v>4</v>
      </c>
      <c r="WVE8" s="5" t="s">
        <v>0</v>
      </c>
      <c r="WVF8" s="1181" t="s">
        <v>15</v>
      </c>
      <c r="WVG8" s="1181"/>
      <c r="WVH8" s="4" t="s">
        <v>4</v>
      </c>
      <c r="WVI8" s="5" t="s">
        <v>5</v>
      </c>
      <c r="WVJ8" s="1181" t="s">
        <v>15</v>
      </c>
      <c r="WVK8" s="1181"/>
      <c r="WVL8" s="5" t="s">
        <v>4</v>
      </c>
      <c r="WVM8" s="5" t="s">
        <v>0</v>
      </c>
      <c r="WVN8" s="1181" t="s">
        <v>15</v>
      </c>
      <c r="WVO8" s="1181"/>
      <c r="WVP8" s="4" t="s">
        <v>4</v>
      </c>
      <c r="WVQ8" s="5" t="s">
        <v>5</v>
      </c>
      <c r="WVR8" s="1181" t="s">
        <v>15</v>
      </c>
      <c r="WVS8" s="1181"/>
      <c r="WVT8" s="5" t="s">
        <v>4</v>
      </c>
      <c r="WVU8" s="5" t="s">
        <v>0</v>
      </c>
      <c r="WVV8" s="1181" t="s">
        <v>15</v>
      </c>
      <c r="WVW8" s="1181"/>
      <c r="WVX8" s="4" t="s">
        <v>4</v>
      </c>
      <c r="WVY8" s="5" t="s">
        <v>5</v>
      </c>
      <c r="WVZ8" s="1181" t="s">
        <v>15</v>
      </c>
      <c r="WWA8" s="1181"/>
      <c r="WWB8" s="5" t="s">
        <v>4</v>
      </c>
      <c r="WWC8" s="5" t="s">
        <v>0</v>
      </c>
      <c r="WWD8" s="1181" t="s">
        <v>15</v>
      </c>
      <c r="WWE8" s="1181"/>
    </row>
    <row r="9" spans="1:16151" ht="15" x14ac:dyDescent="0.2">
      <c r="A9" s="184" t="s">
        <v>269</v>
      </c>
      <c r="B9" s="86">
        <v>1</v>
      </c>
      <c r="C9" s="1326" t="s">
        <v>342</v>
      </c>
      <c r="D9" s="1327"/>
      <c r="E9" s="86" t="s">
        <v>152</v>
      </c>
      <c r="F9" s="86">
        <v>1</v>
      </c>
      <c r="G9" s="1328" t="s">
        <v>343</v>
      </c>
      <c r="H9" s="1329"/>
    </row>
    <row r="10" spans="1:16151" ht="15" x14ac:dyDescent="0.2">
      <c r="A10" s="184" t="s">
        <v>304</v>
      </c>
      <c r="B10" s="86">
        <v>1</v>
      </c>
      <c r="C10" s="1326" t="s">
        <v>342</v>
      </c>
      <c r="D10" s="1327"/>
      <c r="E10" s="86" t="s">
        <v>303</v>
      </c>
      <c r="F10" s="86">
        <v>2</v>
      </c>
      <c r="G10" s="1328" t="s">
        <v>343</v>
      </c>
      <c r="H10" s="1329"/>
    </row>
    <row r="11" spans="1:16151" ht="15" x14ac:dyDescent="0.25">
      <c r="A11" s="184"/>
      <c r="B11" s="86"/>
      <c r="C11" s="102"/>
      <c r="D11" s="102"/>
      <c r="E11" s="86" t="s">
        <v>305</v>
      </c>
      <c r="F11" s="86">
        <v>1</v>
      </c>
      <c r="G11" s="1328" t="s">
        <v>310</v>
      </c>
      <c r="H11" s="1329"/>
    </row>
    <row r="12" spans="1:16151" ht="14.25" x14ac:dyDescent="0.2">
      <c r="A12" s="31" t="s">
        <v>11</v>
      </c>
      <c r="B12" s="30"/>
      <c r="C12" s="30"/>
      <c r="D12" s="30"/>
      <c r="E12" s="30"/>
      <c r="F12" s="30"/>
      <c r="G12" s="30"/>
      <c r="H12" s="32"/>
    </row>
    <row r="13" spans="1:16151" ht="68.25" customHeight="1" x14ac:dyDescent="0.2">
      <c r="A13" s="1330" t="s">
        <v>414</v>
      </c>
      <c r="B13" s="1331"/>
      <c r="C13" s="1331"/>
      <c r="D13" s="1331"/>
      <c r="E13" s="1331"/>
      <c r="F13" s="1331"/>
      <c r="G13" s="1331"/>
      <c r="H13" s="1332"/>
    </row>
    <row r="14" spans="1:16151" ht="15.75" thickBot="1" x14ac:dyDescent="0.3">
      <c r="A14" s="183" t="s">
        <v>20</v>
      </c>
      <c r="B14" s="182"/>
      <c r="C14" s="182"/>
      <c r="D14" s="182"/>
      <c r="E14" s="182"/>
      <c r="F14" s="182"/>
      <c r="G14" s="182"/>
      <c r="H14" s="181"/>
    </row>
    <row r="15" spans="1:16151" ht="13.5" thickBot="1" x14ac:dyDescent="0.25">
      <c r="A15" s="180" t="s">
        <v>25</v>
      </c>
      <c r="B15" s="179" t="s">
        <v>0</v>
      </c>
      <c r="C15" s="178" t="s">
        <v>25</v>
      </c>
      <c r="D15" s="177" t="s">
        <v>0</v>
      </c>
      <c r="E15" s="553" t="s">
        <v>25</v>
      </c>
      <c r="F15" s="554" t="s">
        <v>0</v>
      </c>
      <c r="G15" s="552" t="s">
        <v>307</v>
      </c>
      <c r="H15" s="552" t="s">
        <v>308</v>
      </c>
    </row>
    <row r="16" spans="1:16151" ht="12.75" customHeight="1" thickBot="1" x14ac:dyDescent="0.3">
      <c r="A16" s="173" t="s">
        <v>499</v>
      </c>
      <c r="B16" s="172"/>
      <c r="C16" s="171" t="s">
        <v>151</v>
      </c>
      <c r="D16" s="157"/>
      <c r="E16" s="555" t="s">
        <v>150</v>
      </c>
      <c r="F16" s="145"/>
      <c r="G16" s="581" t="s">
        <v>521</v>
      </c>
      <c r="H16" s="562"/>
    </row>
    <row r="17" spans="1:8" ht="15" x14ac:dyDescent="0.25">
      <c r="A17" s="167" t="s">
        <v>149</v>
      </c>
      <c r="B17" s="112">
        <v>0.25</v>
      </c>
      <c r="C17" s="112" t="s">
        <v>148</v>
      </c>
      <c r="D17" s="112">
        <v>3</v>
      </c>
      <c r="E17" s="166" t="s">
        <v>147</v>
      </c>
      <c r="F17" s="119">
        <f>5.07+5.29+7.05</f>
        <v>17.41</v>
      </c>
      <c r="G17" s="563" t="s">
        <v>522</v>
      </c>
      <c r="H17" s="564">
        <f>B25/2</f>
        <v>0.1</v>
      </c>
    </row>
    <row r="18" spans="1:8" ht="15.75" thickBot="1" x14ac:dyDescent="0.3">
      <c r="A18" s="136" t="s">
        <v>146</v>
      </c>
      <c r="B18" s="165">
        <v>0.15</v>
      </c>
      <c r="C18" s="148" t="s">
        <v>124</v>
      </c>
      <c r="D18" s="147">
        <f>D17*B20</f>
        <v>588</v>
      </c>
      <c r="E18" s="89" t="s">
        <v>145</v>
      </c>
      <c r="F18" s="544">
        <f>ROUNDUP(F17,0)</f>
        <v>18</v>
      </c>
      <c r="G18" s="266" t="s">
        <v>523</v>
      </c>
      <c r="H18" s="22">
        <f>B24</f>
        <v>0.2</v>
      </c>
    </row>
    <row r="19" spans="1:8" ht="15.75" thickBot="1" x14ac:dyDescent="0.3">
      <c r="A19" s="148" t="s">
        <v>520</v>
      </c>
      <c r="B19" s="108">
        <v>0.11</v>
      </c>
      <c r="C19" s="159" t="s">
        <v>143</v>
      </c>
      <c r="D19" s="152">
        <f>D18/3600/24</f>
        <v>6.8055555555555551E-3</v>
      </c>
      <c r="E19" s="89" t="s">
        <v>142</v>
      </c>
      <c r="F19" s="544">
        <f>F18</f>
        <v>18</v>
      </c>
      <c r="G19" s="266" t="s">
        <v>524</v>
      </c>
      <c r="H19" s="22">
        <f>B20</f>
        <v>196</v>
      </c>
    </row>
    <row r="20" spans="1:8" ht="15.75" thickBot="1" x14ac:dyDescent="0.3">
      <c r="A20" s="117" t="s">
        <v>144</v>
      </c>
      <c r="B20" s="108">
        <v>196</v>
      </c>
      <c r="C20" s="158" t="s">
        <v>140</v>
      </c>
      <c r="D20" s="157"/>
      <c r="E20" s="89" t="s">
        <v>139</v>
      </c>
      <c r="F20" s="544">
        <v>30</v>
      </c>
      <c r="G20" s="117" t="s">
        <v>60</v>
      </c>
      <c r="H20" s="83">
        <f>H18*H19*H17</f>
        <v>3.9200000000000004</v>
      </c>
    </row>
    <row r="21" spans="1:8" ht="15.75" thickBot="1" x14ac:dyDescent="0.3">
      <c r="A21" s="117" t="s">
        <v>141</v>
      </c>
      <c r="B21" s="108">
        <v>1</v>
      </c>
      <c r="C21" s="155" t="s">
        <v>137</v>
      </c>
      <c r="D21" s="154">
        <v>3</v>
      </c>
      <c r="E21" s="556" t="s">
        <v>136</v>
      </c>
      <c r="F21" s="558">
        <f>(F20*F18)/3600/24</f>
        <v>6.2499999999999995E-3</v>
      </c>
      <c r="G21" s="266" t="s">
        <v>26</v>
      </c>
      <c r="H21" s="22">
        <v>800</v>
      </c>
    </row>
    <row r="22" spans="1:8" ht="15.75" thickBot="1" x14ac:dyDescent="0.3">
      <c r="A22" s="125" t="s">
        <v>138</v>
      </c>
      <c r="B22" s="121">
        <f>B20*B21</f>
        <v>196</v>
      </c>
      <c r="C22" s="148" t="s">
        <v>124</v>
      </c>
      <c r="D22" s="162">
        <f>D21*B20</f>
        <v>588</v>
      </c>
      <c r="E22" s="555" t="s">
        <v>513</v>
      </c>
      <c r="F22" s="559"/>
      <c r="G22" s="266" t="s">
        <v>27</v>
      </c>
      <c r="H22" s="22">
        <f>H21/1000</f>
        <v>0.8</v>
      </c>
    </row>
    <row r="23" spans="1:8" ht="15.75" thickBot="1" x14ac:dyDescent="0.3">
      <c r="A23" s="123" t="s">
        <v>135</v>
      </c>
      <c r="B23" s="145"/>
      <c r="C23" s="159" t="s">
        <v>77</v>
      </c>
      <c r="D23" s="152">
        <f>D22/3600/24</f>
        <v>6.8055555555555551E-3</v>
      </c>
      <c r="E23" s="166" t="s">
        <v>514</v>
      </c>
      <c r="F23" s="119">
        <f>B22</f>
        <v>196</v>
      </c>
      <c r="G23" s="266" t="s">
        <v>69</v>
      </c>
      <c r="H23" s="22">
        <f>H20/H22</f>
        <v>4.9000000000000004</v>
      </c>
    </row>
    <row r="24" spans="1:8" ht="15.75" thickBot="1" x14ac:dyDescent="0.3">
      <c r="A24" s="120" t="s">
        <v>133</v>
      </c>
      <c r="B24" s="112">
        <v>0.2</v>
      </c>
      <c r="C24" s="158" t="s">
        <v>130</v>
      </c>
      <c r="D24" s="157"/>
      <c r="E24" s="89" t="s">
        <v>515</v>
      </c>
      <c r="F24" s="544">
        <f>F23/10</f>
        <v>19.600000000000001</v>
      </c>
      <c r="G24" s="266" t="s">
        <v>29</v>
      </c>
      <c r="H24" s="22">
        <v>10</v>
      </c>
    </row>
    <row r="25" spans="1:8" ht="15.75" thickBot="1" x14ac:dyDescent="0.3">
      <c r="A25" s="117" t="s">
        <v>131</v>
      </c>
      <c r="B25" s="108">
        <f>0.2</f>
        <v>0.2</v>
      </c>
      <c r="C25" s="155" t="s">
        <v>127</v>
      </c>
      <c r="D25" s="154">
        <v>3</v>
      </c>
      <c r="E25" s="557" t="s">
        <v>23</v>
      </c>
      <c r="F25" s="546">
        <f>ROUNDDOWN(F24,0)</f>
        <v>19</v>
      </c>
      <c r="G25" s="266" t="s">
        <v>30</v>
      </c>
      <c r="H25" s="22">
        <v>6</v>
      </c>
    </row>
    <row r="26" spans="1:8" ht="15.75" thickBot="1" x14ac:dyDescent="0.3">
      <c r="A26" s="117" t="s">
        <v>128</v>
      </c>
      <c r="B26" s="108">
        <f>B25*B24</f>
        <v>4.0000000000000008E-2</v>
      </c>
      <c r="C26" s="148" t="s">
        <v>124</v>
      </c>
      <c r="D26" s="147">
        <f>D25*B20</f>
        <v>588</v>
      </c>
      <c r="E26" s="173" t="s">
        <v>134</v>
      </c>
      <c r="F26" s="559"/>
      <c r="G26" s="266" t="s">
        <v>31</v>
      </c>
      <c r="H26" s="22">
        <v>6</v>
      </c>
    </row>
    <row r="27" spans="1:8" ht="15.75" thickBot="1" x14ac:dyDescent="0.3">
      <c r="A27" s="125" t="s">
        <v>125</v>
      </c>
      <c r="B27" s="153">
        <f>B26*B20</f>
        <v>7.8400000000000016</v>
      </c>
      <c r="C27" s="143" t="s">
        <v>77</v>
      </c>
      <c r="D27" s="152">
        <f>D26/3600/24</f>
        <v>6.8055555555555551E-3</v>
      </c>
      <c r="E27" s="540" t="s">
        <v>132</v>
      </c>
      <c r="F27" s="112">
        <f>B17*B18</f>
        <v>3.7499999999999999E-2</v>
      </c>
      <c r="G27" s="266" t="s">
        <v>32</v>
      </c>
      <c r="H27" s="22">
        <v>6</v>
      </c>
    </row>
    <row r="28" spans="1:8" ht="15.75" thickBot="1" x14ac:dyDescent="0.3">
      <c r="A28" s="123" t="s">
        <v>122</v>
      </c>
      <c r="B28" s="145"/>
      <c r="C28" s="123" t="s">
        <v>120</v>
      </c>
      <c r="D28" s="114"/>
      <c r="E28" s="541" t="s">
        <v>129</v>
      </c>
      <c r="F28" s="560">
        <v>0.01</v>
      </c>
      <c r="G28" s="266" t="s">
        <v>35</v>
      </c>
      <c r="H28" s="22">
        <f>SUM(H24:H27)</f>
        <v>28</v>
      </c>
    </row>
    <row r="29" spans="1:8" ht="22.5" customHeight="1" x14ac:dyDescent="0.25">
      <c r="A29" s="117" t="s">
        <v>121</v>
      </c>
      <c r="B29" s="139">
        <f>(2/3)*B17</f>
        <v>0.16666666666666666</v>
      </c>
      <c r="C29" s="151" t="s">
        <v>117</v>
      </c>
      <c r="D29" s="150">
        <v>30</v>
      </c>
      <c r="E29" s="541" t="s">
        <v>126</v>
      </c>
      <c r="F29" s="108">
        <f>F28*F27</f>
        <v>3.7500000000000001E-4</v>
      </c>
      <c r="G29" s="266" t="s">
        <v>64</v>
      </c>
      <c r="H29" s="565">
        <f>60/80</f>
        <v>0.75</v>
      </c>
    </row>
    <row r="30" spans="1:8" ht="15" x14ac:dyDescent="0.25">
      <c r="A30" s="117" t="s">
        <v>118</v>
      </c>
      <c r="B30" s="141">
        <f>(B29*B29)/2</f>
        <v>1.3888888888888888E-2</v>
      </c>
      <c r="C30" s="148" t="s">
        <v>114</v>
      </c>
      <c r="D30" s="147">
        <v>30</v>
      </c>
      <c r="E30" s="542" t="s">
        <v>123</v>
      </c>
      <c r="F30" s="108">
        <f>F29*1000</f>
        <v>0.375</v>
      </c>
      <c r="G30" s="270" t="s">
        <v>65</v>
      </c>
      <c r="H30" s="566">
        <f>80/60</f>
        <v>1.3333333333333333</v>
      </c>
    </row>
    <row r="31" spans="1:8" ht="15.75" thickBot="1" x14ac:dyDescent="0.3">
      <c r="A31" s="117" t="s">
        <v>115</v>
      </c>
      <c r="B31" s="138">
        <f>B30*B20</f>
        <v>2.7222222222222219</v>
      </c>
      <c r="C31" s="143" t="s">
        <v>110</v>
      </c>
      <c r="D31" s="142">
        <f>(D29+D30)*B44/3600/24</f>
        <v>7.6388888888888886E-3</v>
      </c>
      <c r="E31" s="543" t="s">
        <v>116</v>
      </c>
      <c r="F31" s="561">
        <f>15/60/24</f>
        <v>1.0416666666666666E-2</v>
      </c>
      <c r="G31" s="266" t="s">
        <v>34</v>
      </c>
      <c r="H31" s="22">
        <f>H28*H30</f>
        <v>37.333333333333329</v>
      </c>
    </row>
    <row r="32" spans="1:8" ht="15.75" thickBot="1" x14ac:dyDescent="0.3">
      <c r="A32" s="117" t="s">
        <v>111</v>
      </c>
      <c r="B32" s="144">
        <f>(2/3)*B19</f>
        <v>7.3333333333333334E-2</v>
      </c>
      <c r="C32" s="127" t="s">
        <v>107</v>
      </c>
      <c r="D32" s="122"/>
      <c r="E32" s="542" t="s">
        <v>119</v>
      </c>
      <c r="F32" s="108">
        <f>F36*F30</f>
        <v>72.75</v>
      </c>
      <c r="G32" s="266" t="s">
        <v>33</v>
      </c>
      <c r="H32" s="567">
        <f>60/H31</f>
        <v>1.6071428571428574</v>
      </c>
    </row>
    <row r="33" spans="1:8" ht="15.75" thickBot="1" x14ac:dyDescent="0.3">
      <c r="A33" s="117" t="s">
        <v>108</v>
      </c>
      <c r="B33" s="140">
        <f>(B32*B32)/2</f>
        <v>2.6888888888888891E-3</v>
      </c>
      <c r="C33" s="113" t="s">
        <v>104</v>
      </c>
      <c r="D33" s="112">
        <v>5</v>
      </c>
      <c r="E33" s="543" t="s">
        <v>116</v>
      </c>
      <c r="F33" s="561">
        <f>F31*(ROUNDUP(F32/35,0))</f>
        <v>3.125E-2</v>
      </c>
      <c r="G33" s="266" t="s">
        <v>36</v>
      </c>
      <c r="H33" s="568">
        <f>H32*60</f>
        <v>96.428571428571445</v>
      </c>
    </row>
    <row r="34" spans="1:8" ht="15.75" thickBot="1" x14ac:dyDescent="0.3">
      <c r="A34" s="117" t="s">
        <v>105</v>
      </c>
      <c r="B34" s="138">
        <f>B33*B48</f>
        <v>0.23931111111111114</v>
      </c>
      <c r="C34" s="104" t="s">
        <v>77</v>
      </c>
      <c r="D34" s="134">
        <f>B43*D33/3600/24</f>
        <v>1.0416666666666667E-3</v>
      </c>
      <c r="E34" s="173" t="s">
        <v>113</v>
      </c>
      <c r="F34" s="559" t="s">
        <v>112</v>
      </c>
      <c r="G34" s="266" t="s">
        <v>40</v>
      </c>
      <c r="H34" s="22">
        <f>H33*H22</f>
        <v>77.142857142857167</v>
      </c>
    </row>
    <row r="35" spans="1:8" ht="15" x14ac:dyDescent="0.25">
      <c r="A35" s="117" t="s">
        <v>103</v>
      </c>
      <c r="B35" s="128">
        <f>B26+B30+B33</f>
        <v>5.6577777777777782E-2</v>
      </c>
      <c r="C35" s="109" t="s">
        <v>100</v>
      </c>
      <c r="D35" s="137">
        <v>5</v>
      </c>
      <c r="E35" s="570" t="s">
        <v>109</v>
      </c>
      <c r="F35" s="571">
        <v>30</v>
      </c>
      <c r="G35" s="266" t="s">
        <v>39</v>
      </c>
      <c r="H35" s="22">
        <f>H34*H29</f>
        <v>57.857142857142875</v>
      </c>
    </row>
    <row r="36" spans="1:8" ht="15.75" thickBot="1" x14ac:dyDescent="0.3">
      <c r="A36" s="117" t="s">
        <v>101</v>
      </c>
      <c r="B36" s="108">
        <f>B35*1000</f>
        <v>56.577777777777783</v>
      </c>
      <c r="C36" s="104" t="s">
        <v>77</v>
      </c>
      <c r="D36" s="134">
        <f>D35*B43/3600/24</f>
        <v>1.0416666666666667E-3</v>
      </c>
      <c r="E36" s="542" t="s">
        <v>106</v>
      </c>
      <c r="F36" s="139">
        <f>B20-1+F19-F25</f>
        <v>194</v>
      </c>
      <c r="G36" s="266" t="s">
        <v>67</v>
      </c>
      <c r="H36" s="22">
        <f>H20/H35</f>
        <v>6.775308641975307E-2</v>
      </c>
    </row>
    <row r="37" spans="1:8" ht="15.75" thickBot="1" x14ac:dyDescent="0.3">
      <c r="A37" s="136" t="s">
        <v>98</v>
      </c>
      <c r="B37" s="135">
        <f>B27+B31+B34</f>
        <v>10.801533333333333</v>
      </c>
      <c r="C37" s="118" t="s">
        <v>95</v>
      </c>
      <c r="D37" s="131">
        <f>D36+D34</f>
        <v>2.0833333333333333E-3</v>
      </c>
      <c r="E37" s="543" t="s">
        <v>77</v>
      </c>
      <c r="F37" s="149">
        <f>F35*F36/3600/24</f>
        <v>6.7361111111111108E-2</v>
      </c>
      <c r="G37" s="265" t="s">
        <v>66</v>
      </c>
      <c r="H37" s="569">
        <f>H36/24</f>
        <v>2.8230452674897111E-3</v>
      </c>
    </row>
    <row r="38" spans="1:8" ht="15.75" thickBot="1" x14ac:dyDescent="0.3">
      <c r="A38" s="123" t="s">
        <v>96</v>
      </c>
      <c r="B38" s="114"/>
      <c r="C38" s="118" t="s">
        <v>85</v>
      </c>
      <c r="D38" s="129">
        <f>D37*B44</f>
        <v>2.2916666666666665E-2</v>
      </c>
      <c r="E38" s="41"/>
    </row>
    <row r="39" spans="1:8" ht="15.75" thickBot="1" x14ac:dyDescent="0.3">
      <c r="A39" s="120" t="s">
        <v>93</v>
      </c>
      <c r="B39" s="112">
        <v>5.5</v>
      </c>
      <c r="C39" s="127" t="s">
        <v>91</v>
      </c>
      <c r="D39" s="126"/>
      <c r="E39" s="41"/>
    </row>
    <row r="40" spans="1:8" ht="15.75" thickBot="1" x14ac:dyDescent="0.3">
      <c r="A40" s="117" t="s">
        <v>92</v>
      </c>
      <c r="B40" s="128">
        <f>B37/B39</f>
        <v>1.9639151515151516</v>
      </c>
      <c r="C40" s="124" t="s">
        <v>89</v>
      </c>
      <c r="D40" s="112">
        <v>10</v>
      </c>
      <c r="E40" s="41"/>
    </row>
    <row r="41" spans="1:8" ht="16.5" thickBot="1" x14ac:dyDescent="0.3">
      <c r="A41" s="125" t="s">
        <v>90</v>
      </c>
      <c r="B41" s="121">
        <f>B39/B35</f>
        <v>97.211311861743908</v>
      </c>
      <c r="C41" s="106" t="s">
        <v>87</v>
      </c>
      <c r="D41" s="121">
        <v>30</v>
      </c>
      <c r="E41" s="41"/>
      <c r="G41" s="572" t="s">
        <v>102</v>
      </c>
      <c r="H41" s="573">
        <f>D19+D23+D27+D31+D38+D42+D51+F33+F37+H37+F21</f>
        <v>0.25393415637860078</v>
      </c>
    </row>
    <row r="42" spans="1:8" ht="15.75" thickBot="1" x14ac:dyDescent="0.3">
      <c r="A42" s="123" t="s">
        <v>88</v>
      </c>
      <c r="B42" s="122"/>
      <c r="C42" s="118" t="s">
        <v>85</v>
      </c>
      <c r="D42" s="103">
        <f>D41*B22/3600/24</f>
        <v>6.805555555555555E-2</v>
      </c>
      <c r="E42" s="41"/>
      <c r="G42" s="574" t="s">
        <v>99</v>
      </c>
      <c r="H42" s="575">
        <f>8/7</f>
        <v>1.1428571428571428</v>
      </c>
    </row>
    <row r="43" spans="1:8" ht="16.5" thickBot="1" x14ac:dyDescent="0.3">
      <c r="A43" s="120" t="s">
        <v>86</v>
      </c>
      <c r="B43" s="119">
        <v>18</v>
      </c>
      <c r="C43" s="115" t="s">
        <v>83</v>
      </c>
      <c r="D43" s="114"/>
      <c r="E43" s="185"/>
      <c r="G43" s="576" t="s">
        <v>97</v>
      </c>
      <c r="H43" s="577">
        <f>H41*H42</f>
        <v>0.29021046443268661</v>
      </c>
    </row>
    <row r="44" spans="1:8" ht="27" thickBot="1" x14ac:dyDescent="0.3">
      <c r="A44" s="125" t="s">
        <v>84</v>
      </c>
      <c r="B44" s="547">
        <f>ROUNDUP(B22/B43,0)</f>
        <v>11</v>
      </c>
      <c r="C44" s="113" t="s">
        <v>500</v>
      </c>
      <c r="D44" s="112">
        <v>4</v>
      </c>
      <c r="G44" s="578" t="s">
        <v>94</v>
      </c>
      <c r="H44" s="579">
        <f>H43/8</f>
        <v>3.6276308054085826E-2</v>
      </c>
    </row>
    <row r="45" spans="1:8" ht="15.75" thickBot="1" x14ac:dyDescent="0.3">
      <c r="A45" s="123" t="s">
        <v>516</v>
      </c>
      <c r="B45" s="549"/>
      <c r="C45" s="109" t="s">
        <v>81</v>
      </c>
      <c r="D45" s="111">
        <v>2</v>
      </c>
    </row>
    <row r="46" spans="1:8" ht="15.75" thickBot="1" x14ac:dyDescent="0.3">
      <c r="A46" s="548" t="s">
        <v>517</v>
      </c>
      <c r="B46" s="119">
        <f>107</f>
        <v>107</v>
      </c>
      <c r="C46" s="109" t="s">
        <v>80</v>
      </c>
      <c r="D46" s="110">
        <f>D44*D45</f>
        <v>8</v>
      </c>
      <c r="G46" s="424" t="s">
        <v>2</v>
      </c>
    </row>
    <row r="47" spans="1:8" ht="15.75" thickBot="1" x14ac:dyDescent="0.3">
      <c r="A47" s="148" t="s">
        <v>518</v>
      </c>
      <c r="B47" s="544">
        <f>B46</f>
        <v>107</v>
      </c>
      <c r="C47" s="109" t="s">
        <v>501</v>
      </c>
      <c r="D47" s="108">
        <v>1</v>
      </c>
      <c r="G47" s="580">
        <f>H43/B20</f>
        <v>1.480665634860646E-3</v>
      </c>
    </row>
    <row r="48" spans="1:8" ht="15" x14ac:dyDescent="0.25">
      <c r="A48" s="148" t="s">
        <v>519</v>
      </c>
      <c r="B48" s="544">
        <f>B20-B47</f>
        <v>89</v>
      </c>
      <c r="C48" s="109" t="s">
        <v>78</v>
      </c>
      <c r="D48" s="108">
        <v>4</v>
      </c>
      <c r="E48" s="41"/>
    </row>
    <row r="49" spans="1:8" ht="15" x14ac:dyDescent="0.25">
      <c r="A49" s="531"/>
      <c r="B49" s="544"/>
      <c r="C49" s="109" t="s">
        <v>77</v>
      </c>
      <c r="D49" s="108">
        <f>D47*D48</f>
        <v>4</v>
      </c>
      <c r="E49" s="41"/>
    </row>
    <row r="50" spans="1:8" ht="15" x14ac:dyDescent="0.25">
      <c r="A50" s="545"/>
      <c r="B50" s="546"/>
      <c r="C50" s="106" t="s">
        <v>76</v>
      </c>
      <c r="D50" s="105">
        <f>D49+D46</f>
        <v>12</v>
      </c>
      <c r="E50" s="41"/>
    </row>
    <row r="51" spans="1:8" ht="15.75" thickBot="1" x14ac:dyDescent="0.3">
      <c r="A51" s="107"/>
      <c r="B51" s="102"/>
      <c r="C51" s="104" t="s">
        <v>75</v>
      </c>
      <c r="D51" s="103">
        <f>D50*B20/3600/24</f>
        <v>2.7222222222222221E-2</v>
      </c>
      <c r="E51" s="41"/>
    </row>
    <row r="52" spans="1:8" x14ac:dyDescent="0.2">
      <c r="A52" s="100" t="s">
        <v>9</v>
      </c>
      <c r="B52" s="99"/>
      <c r="C52" s="99"/>
      <c r="D52" s="99"/>
      <c r="E52" s="99"/>
      <c r="F52" s="98" t="s">
        <v>16</v>
      </c>
      <c r="G52" s="98"/>
      <c r="H52" s="97"/>
    </row>
    <row r="53" spans="1:8" ht="25.5" x14ac:dyDescent="0.2">
      <c r="A53" s="96" t="s">
        <v>4</v>
      </c>
      <c r="B53" s="95" t="s">
        <v>5</v>
      </c>
      <c r="C53" s="95" t="s">
        <v>1</v>
      </c>
      <c r="D53" s="95" t="s">
        <v>6</v>
      </c>
      <c r="E53" s="94" t="s">
        <v>7</v>
      </c>
      <c r="F53" s="93" t="s">
        <v>17</v>
      </c>
      <c r="G53" s="93" t="s">
        <v>18</v>
      </c>
      <c r="H53" s="92" t="s">
        <v>19</v>
      </c>
    </row>
    <row r="54" spans="1:8" ht="15" x14ac:dyDescent="0.25">
      <c r="A54" s="433" t="s">
        <v>502</v>
      </c>
      <c r="B54" s="86">
        <f>B22</f>
        <v>196</v>
      </c>
      <c r="C54" s="517" t="s">
        <v>366</v>
      </c>
      <c r="D54" s="86">
        <v>5.15</v>
      </c>
      <c r="E54" s="404">
        <f>D54*B54</f>
        <v>1009.4000000000001</v>
      </c>
      <c r="F54" s="84" t="s">
        <v>632</v>
      </c>
      <c r="G54" s="89">
        <v>40.200000000000003</v>
      </c>
      <c r="H54" s="83"/>
    </row>
    <row r="55" spans="1:8" ht="15" x14ac:dyDescent="0.25">
      <c r="A55" s="433" t="s">
        <v>415</v>
      </c>
      <c r="B55" s="86">
        <f>B37</f>
        <v>10.801533333333333</v>
      </c>
      <c r="C55" s="517" t="s">
        <v>22</v>
      </c>
      <c r="D55" s="86">
        <v>98</v>
      </c>
      <c r="E55" s="404">
        <f>D55*B55</f>
        <v>1058.5502666666666</v>
      </c>
      <c r="F55" s="84"/>
      <c r="G55" s="84"/>
      <c r="H55" s="83"/>
    </row>
    <row r="56" spans="1:8" ht="15" x14ac:dyDescent="0.25">
      <c r="A56" s="88" t="s">
        <v>416</v>
      </c>
      <c r="B56" s="86">
        <f>ROUNDUP(B40,0)</f>
        <v>2</v>
      </c>
      <c r="C56" s="517" t="s">
        <v>417</v>
      </c>
      <c r="D56" s="86">
        <v>110</v>
      </c>
      <c r="E56" s="404">
        <f>D56*B56</f>
        <v>220</v>
      </c>
      <c r="F56" s="84" t="s">
        <v>633</v>
      </c>
      <c r="G56" s="84">
        <v>17.600000000000001</v>
      </c>
      <c r="H56" s="83"/>
    </row>
    <row r="57" spans="1:8" ht="15" x14ac:dyDescent="0.25">
      <c r="A57" s="88" t="s">
        <v>418</v>
      </c>
      <c r="B57" s="86">
        <f>ROUNDUP(F32/25,0)</f>
        <v>3</v>
      </c>
      <c r="C57" s="517" t="s">
        <v>419</v>
      </c>
      <c r="D57" s="86">
        <v>3.45</v>
      </c>
      <c r="E57" s="404">
        <f>D57*B57</f>
        <v>10.350000000000001</v>
      </c>
      <c r="F57" s="84" t="s">
        <v>632</v>
      </c>
      <c r="G57" s="84">
        <v>40.200000000000003</v>
      </c>
      <c r="H57" s="83"/>
    </row>
    <row r="58" spans="1:8" ht="15.75" thickBot="1" x14ac:dyDescent="0.3">
      <c r="A58" s="82"/>
      <c r="B58" s="80"/>
      <c r="C58" s="81"/>
      <c r="D58" s="80" t="str">
        <f>IF(A58="","",VLOOKUP(A58,#REF!,2,FALSE))</f>
        <v/>
      </c>
      <c r="E58" s="79" t="str">
        <f>IF(A58="","",B58*D58)</f>
        <v/>
      </c>
      <c r="F58" s="78"/>
      <c r="G58" s="78"/>
      <c r="H58" s="77"/>
    </row>
    <row r="61" spans="1:8" x14ac:dyDescent="0.2">
      <c r="A61" s="406"/>
      <c r="C61" s="406"/>
    </row>
    <row r="62" spans="1:8" x14ac:dyDescent="0.2">
      <c r="A62" s="406"/>
    </row>
    <row r="63" spans="1:8" x14ac:dyDescent="0.2">
      <c r="A63" s="406"/>
    </row>
  </sheetData>
  <mergeCells count="8078">
    <mergeCell ref="C10:D10"/>
    <mergeCell ref="G10:H10"/>
    <mergeCell ref="G9:H9"/>
    <mergeCell ref="C9:D9"/>
    <mergeCell ref="G11:H11"/>
    <mergeCell ref="A13:H13"/>
    <mergeCell ref="BD7:BG7"/>
    <mergeCell ref="BH7:BK7"/>
    <mergeCell ref="BL7:BO7"/>
    <mergeCell ref="BP7:BS7"/>
    <mergeCell ref="BT7:BW7"/>
    <mergeCell ref="AJ7:AM7"/>
    <mergeCell ref="AN7:AQ7"/>
    <mergeCell ref="AR7:AU7"/>
    <mergeCell ref="AV7:AY7"/>
    <mergeCell ref="AZ7:BC7"/>
    <mergeCell ref="AF7:AI7"/>
    <mergeCell ref="BF8:BG8"/>
    <mergeCell ref="BJ8:BK8"/>
    <mergeCell ref="BN8:BO8"/>
    <mergeCell ref="BR8:BS8"/>
    <mergeCell ref="BV8:BW8"/>
    <mergeCell ref="AL8:AM8"/>
    <mergeCell ref="AP8:AQ8"/>
    <mergeCell ref="AT8:AU8"/>
    <mergeCell ref="AX8:AY8"/>
    <mergeCell ref="BB8:BC8"/>
    <mergeCell ref="AH8:AI8"/>
    <mergeCell ref="A1:C1"/>
    <mergeCell ref="D1:H1"/>
    <mergeCell ref="A2:C2"/>
    <mergeCell ref="D2:H2"/>
    <mergeCell ref="A3:A4"/>
    <mergeCell ref="B3:D4"/>
    <mergeCell ref="A5:H5"/>
    <mergeCell ref="A6:H6"/>
    <mergeCell ref="A7:D7"/>
    <mergeCell ref="E7:H7"/>
    <mergeCell ref="EF7:EI7"/>
    <mergeCell ref="EJ7:EM7"/>
    <mergeCell ref="EN7:EQ7"/>
    <mergeCell ref="ER7:EU7"/>
    <mergeCell ref="EV7:EY7"/>
    <mergeCell ref="DL7:DO7"/>
    <mergeCell ref="DP7:DS7"/>
    <mergeCell ref="DT7:DW7"/>
    <mergeCell ref="DX7:EA7"/>
    <mergeCell ref="EB7:EE7"/>
    <mergeCell ref="CR7:CU7"/>
    <mergeCell ref="CV7:CY7"/>
    <mergeCell ref="CZ7:DC7"/>
    <mergeCell ref="DD7:DG7"/>
    <mergeCell ref="DH7:DK7"/>
    <mergeCell ref="BX7:CA7"/>
    <mergeCell ref="CB7:CE7"/>
    <mergeCell ref="CF7:CI7"/>
    <mergeCell ref="CJ7:CM7"/>
    <mergeCell ref="CN7:CQ7"/>
    <mergeCell ref="HH7:HK7"/>
    <mergeCell ref="HL7:HO7"/>
    <mergeCell ref="HP7:HS7"/>
    <mergeCell ref="HT7:HW7"/>
    <mergeCell ref="HX7:IA7"/>
    <mergeCell ref="GN7:GQ7"/>
    <mergeCell ref="GR7:GU7"/>
    <mergeCell ref="GV7:GY7"/>
    <mergeCell ref="GZ7:HC7"/>
    <mergeCell ref="HD7:HG7"/>
    <mergeCell ref="FT7:FW7"/>
    <mergeCell ref="FX7:GA7"/>
    <mergeCell ref="GB7:GE7"/>
    <mergeCell ref="GF7:GI7"/>
    <mergeCell ref="GJ7:GM7"/>
    <mergeCell ref="EZ7:FC7"/>
    <mergeCell ref="FD7:FG7"/>
    <mergeCell ref="FH7:FK7"/>
    <mergeCell ref="FL7:FO7"/>
    <mergeCell ref="FP7:FS7"/>
    <mergeCell ref="KJ7:KM7"/>
    <mergeCell ref="KN7:KQ7"/>
    <mergeCell ref="KR7:KU7"/>
    <mergeCell ref="KV7:KY7"/>
    <mergeCell ref="KZ7:LC7"/>
    <mergeCell ref="JP7:JS7"/>
    <mergeCell ref="JT7:JW7"/>
    <mergeCell ref="JX7:KA7"/>
    <mergeCell ref="KB7:KE7"/>
    <mergeCell ref="KF7:KI7"/>
    <mergeCell ref="IV7:IY7"/>
    <mergeCell ref="IZ7:JC7"/>
    <mergeCell ref="JD7:JG7"/>
    <mergeCell ref="JH7:JK7"/>
    <mergeCell ref="JL7:JO7"/>
    <mergeCell ref="IB7:IE7"/>
    <mergeCell ref="IF7:II7"/>
    <mergeCell ref="IJ7:IM7"/>
    <mergeCell ref="IN7:IQ7"/>
    <mergeCell ref="IR7:IU7"/>
    <mergeCell ref="NL7:NO7"/>
    <mergeCell ref="NP7:NS7"/>
    <mergeCell ref="NT7:NW7"/>
    <mergeCell ref="NX7:OA7"/>
    <mergeCell ref="OB7:OE7"/>
    <mergeCell ref="MR7:MU7"/>
    <mergeCell ref="MV7:MY7"/>
    <mergeCell ref="MZ7:NC7"/>
    <mergeCell ref="ND7:NG7"/>
    <mergeCell ref="NH7:NK7"/>
    <mergeCell ref="LX7:MA7"/>
    <mergeCell ref="MB7:ME7"/>
    <mergeCell ref="MF7:MI7"/>
    <mergeCell ref="MJ7:MM7"/>
    <mergeCell ref="MN7:MQ7"/>
    <mergeCell ref="LD7:LG7"/>
    <mergeCell ref="LH7:LK7"/>
    <mergeCell ref="LL7:LO7"/>
    <mergeCell ref="LP7:LS7"/>
    <mergeCell ref="LT7:LW7"/>
    <mergeCell ref="QN7:QQ7"/>
    <mergeCell ref="QR7:QU7"/>
    <mergeCell ref="QV7:QY7"/>
    <mergeCell ref="QZ7:RC7"/>
    <mergeCell ref="RD7:RG7"/>
    <mergeCell ref="PT7:PW7"/>
    <mergeCell ref="PX7:QA7"/>
    <mergeCell ref="QB7:QE7"/>
    <mergeCell ref="QF7:QI7"/>
    <mergeCell ref="QJ7:QM7"/>
    <mergeCell ref="OZ7:PC7"/>
    <mergeCell ref="PD7:PG7"/>
    <mergeCell ref="PH7:PK7"/>
    <mergeCell ref="PL7:PO7"/>
    <mergeCell ref="PP7:PS7"/>
    <mergeCell ref="OF7:OI7"/>
    <mergeCell ref="OJ7:OM7"/>
    <mergeCell ref="ON7:OQ7"/>
    <mergeCell ref="OR7:OU7"/>
    <mergeCell ref="OV7:OY7"/>
    <mergeCell ref="TP7:TS7"/>
    <mergeCell ref="TT7:TW7"/>
    <mergeCell ref="TX7:UA7"/>
    <mergeCell ref="UB7:UE7"/>
    <mergeCell ref="UF7:UI7"/>
    <mergeCell ref="SV7:SY7"/>
    <mergeCell ref="SZ7:TC7"/>
    <mergeCell ref="TD7:TG7"/>
    <mergeCell ref="TH7:TK7"/>
    <mergeCell ref="TL7:TO7"/>
    <mergeCell ref="SB7:SE7"/>
    <mergeCell ref="SF7:SI7"/>
    <mergeCell ref="SJ7:SM7"/>
    <mergeCell ref="SN7:SQ7"/>
    <mergeCell ref="SR7:SU7"/>
    <mergeCell ref="RH7:RK7"/>
    <mergeCell ref="RL7:RO7"/>
    <mergeCell ref="RP7:RS7"/>
    <mergeCell ref="RT7:RW7"/>
    <mergeCell ref="RX7:SA7"/>
    <mergeCell ref="WR7:WU7"/>
    <mergeCell ref="WV7:WY7"/>
    <mergeCell ref="WZ7:XC7"/>
    <mergeCell ref="XD7:XG7"/>
    <mergeCell ref="XH7:XK7"/>
    <mergeCell ref="VX7:WA7"/>
    <mergeCell ref="WB7:WE7"/>
    <mergeCell ref="WF7:WI7"/>
    <mergeCell ref="WJ7:WM7"/>
    <mergeCell ref="WN7:WQ7"/>
    <mergeCell ref="VD7:VG7"/>
    <mergeCell ref="VH7:VK7"/>
    <mergeCell ref="VL7:VO7"/>
    <mergeCell ref="VP7:VS7"/>
    <mergeCell ref="VT7:VW7"/>
    <mergeCell ref="UJ7:UM7"/>
    <mergeCell ref="UN7:UQ7"/>
    <mergeCell ref="UR7:UU7"/>
    <mergeCell ref="UV7:UY7"/>
    <mergeCell ref="UZ7:VC7"/>
    <mergeCell ref="ZT7:ZW7"/>
    <mergeCell ref="ZX7:AAA7"/>
    <mergeCell ref="AAB7:AAE7"/>
    <mergeCell ref="AAF7:AAI7"/>
    <mergeCell ref="AAJ7:AAM7"/>
    <mergeCell ref="YZ7:ZC7"/>
    <mergeCell ref="ZD7:ZG7"/>
    <mergeCell ref="ZH7:ZK7"/>
    <mergeCell ref="ZL7:ZO7"/>
    <mergeCell ref="ZP7:ZS7"/>
    <mergeCell ref="YF7:YI7"/>
    <mergeCell ref="YJ7:YM7"/>
    <mergeCell ref="YN7:YQ7"/>
    <mergeCell ref="YR7:YU7"/>
    <mergeCell ref="YV7:YY7"/>
    <mergeCell ref="XL7:XO7"/>
    <mergeCell ref="XP7:XS7"/>
    <mergeCell ref="XT7:XW7"/>
    <mergeCell ref="XX7:YA7"/>
    <mergeCell ref="YB7:YE7"/>
    <mergeCell ref="ACV7:ACY7"/>
    <mergeCell ref="ACZ7:ADC7"/>
    <mergeCell ref="ADD7:ADG7"/>
    <mergeCell ref="ADH7:ADK7"/>
    <mergeCell ref="ADL7:ADO7"/>
    <mergeCell ref="ACB7:ACE7"/>
    <mergeCell ref="ACF7:ACI7"/>
    <mergeCell ref="ACJ7:ACM7"/>
    <mergeCell ref="ACN7:ACQ7"/>
    <mergeCell ref="ACR7:ACU7"/>
    <mergeCell ref="ABH7:ABK7"/>
    <mergeCell ref="ABL7:ABO7"/>
    <mergeCell ref="ABP7:ABS7"/>
    <mergeCell ref="ABT7:ABW7"/>
    <mergeCell ref="ABX7:ACA7"/>
    <mergeCell ref="AAN7:AAQ7"/>
    <mergeCell ref="AAR7:AAU7"/>
    <mergeCell ref="AAV7:AAY7"/>
    <mergeCell ref="AAZ7:ABC7"/>
    <mergeCell ref="ABD7:ABG7"/>
    <mergeCell ref="AFX7:AGA7"/>
    <mergeCell ref="AGB7:AGE7"/>
    <mergeCell ref="AGF7:AGI7"/>
    <mergeCell ref="AGJ7:AGM7"/>
    <mergeCell ref="AGN7:AGQ7"/>
    <mergeCell ref="AFD7:AFG7"/>
    <mergeCell ref="AFH7:AFK7"/>
    <mergeCell ref="AFL7:AFO7"/>
    <mergeCell ref="AFP7:AFS7"/>
    <mergeCell ref="AFT7:AFW7"/>
    <mergeCell ref="AEJ7:AEM7"/>
    <mergeCell ref="AEN7:AEQ7"/>
    <mergeCell ref="AER7:AEU7"/>
    <mergeCell ref="AEV7:AEY7"/>
    <mergeCell ref="AEZ7:AFC7"/>
    <mergeCell ref="ADP7:ADS7"/>
    <mergeCell ref="ADT7:ADW7"/>
    <mergeCell ref="ADX7:AEA7"/>
    <mergeCell ref="AEB7:AEE7"/>
    <mergeCell ref="AEF7:AEI7"/>
    <mergeCell ref="AIZ7:AJC7"/>
    <mergeCell ref="AJD7:AJG7"/>
    <mergeCell ref="AJH7:AJK7"/>
    <mergeCell ref="AJL7:AJO7"/>
    <mergeCell ref="AJP7:AJS7"/>
    <mergeCell ref="AIF7:AII7"/>
    <mergeCell ref="AIJ7:AIM7"/>
    <mergeCell ref="AIN7:AIQ7"/>
    <mergeCell ref="AIR7:AIU7"/>
    <mergeCell ref="AIV7:AIY7"/>
    <mergeCell ref="AHL7:AHO7"/>
    <mergeCell ref="AHP7:AHS7"/>
    <mergeCell ref="AHT7:AHW7"/>
    <mergeCell ref="AHX7:AIA7"/>
    <mergeCell ref="AIB7:AIE7"/>
    <mergeCell ref="AGR7:AGU7"/>
    <mergeCell ref="AGV7:AGY7"/>
    <mergeCell ref="AGZ7:AHC7"/>
    <mergeCell ref="AHD7:AHG7"/>
    <mergeCell ref="AHH7:AHK7"/>
    <mergeCell ref="AMB7:AME7"/>
    <mergeCell ref="AMF7:AMI7"/>
    <mergeCell ref="AMJ7:AMM7"/>
    <mergeCell ref="AMN7:AMQ7"/>
    <mergeCell ref="AMR7:AMU7"/>
    <mergeCell ref="ALH7:ALK7"/>
    <mergeCell ref="ALL7:ALO7"/>
    <mergeCell ref="ALP7:ALS7"/>
    <mergeCell ref="ALT7:ALW7"/>
    <mergeCell ref="ALX7:AMA7"/>
    <mergeCell ref="AKN7:AKQ7"/>
    <mergeCell ref="AKR7:AKU7"/>
    <mergeCell ref="AKV7:AKY7"/>
    <mergeCell ref="AKZ7:ALC7"/>
    <mergeCell ref="ALD7:ALG7"/>
    <mergeCell ref="AJT7:AJW7"/>
    <mergeCell ref="AJX7:AKA7"/>
    <mergeCell ref="AKB7:AKE7"/>
    <mergeCell ref="AKF7:AKI7"/>
    <mergeCell ref="AKJ7:AKM7"/>
    <mergeCell ref="APD7:APG7"/>
    <mergeCell ref="APH7:APK7"/>
    <mergeCell ref="APL7:APO7"/>
    <mergeCell ref="APP7:APS7"/>
    <mergeCell ref="APT7:APW7"/>
    <mergeCell ref="AOJ7:AOM7"/>
    <mergeCell ref="AON7:AOQ7"/>
    <mergeCell ref="AOR7:AOU7"/>
    <mergeCell ref="AOV7:AOY7"/>
    <mergeCell ref="AOZ7:APC7"/>
    <mergeCell ref="ANP7:ANS7"/>
    <mergeCell ref="ANT7:ANW7"/>
    <mergeCell ref="ANX7:AOA7"/>
    <mergeCell ref="AOB7:AOE7"/>
    <mergeCell ref="AOF7:AOI7"/>
    <mergeCell ref="AMV7:AMY7"/>
    <mergeCell ref="AMZ7:ANC7"/>
    <mergeCell ref="AND7:ANG7"/>
    <mergeCell ref="ANH7:ANK7"/>
    <mergeCell ref="ANL7:ANO7"/>
    <mergeCell ref="ASF7:ASI7"/>
    <mergeCell ref="ASJ7:ASM7"/>
    <mergeCell ref="ASN7:ASQ7"/>
    <mergeCell ref="ASR7:ASU7"/>
    <mergeCell ref="ASV7:ASY7"/>
    <mergeCell ref="ARL7:ARO7"/>
    <mergeCell ref="ARP7:ARS7"/>
    <mergeCell ref="ART7:ARW7"/>
    <mergeCell ref="ARX7:ASA7"/>
    <mergeCell ref="ASB7:ASE7"/>
    <mergeCell ref="AQR7:AQU7"/>
    <mergeCell ref="AQV7:AQY7"/>
    <mergeCell ref="AQZ7:ARC7"/>
    <mergeCell ref="ARD7:ARG7"/>
    <mergeCell ref="ARH7:ARK7"/>
    <mergeCell ref="APX7:AQA7"/>
    <mergeCell ref="AQB7:AQE7"/>
    <mergeCell ref="AQF7:AQI7"/>
    <mergeCell ref="AQJ7:AQM7"/>
    <mergeCell ref="AQN7:AQQ7"/>
    <mergeCell ref="AVH7:AVK7"/>
    <mergeCell ref="AVL7:AVO7"/>
    <mergeCell ref="AVP7:AVS7"/>
    <mergeCell ref="AVT7:AVW7"/>
    <mergeCell ref="AVX7:AWA7"/>
    <mergeCell ref="AUN7:AUQ7"/>
    <mergeCell ref="AUR7:AUU7"/>
    <mergeCell ref="AUV7:AUY7"/>
    <mergeCell ref="AUZ7:AVC7"/>
    <mergeCell ref="AVD7:AVG7"/>
    <mergeCell ref="ATT7:ATW7"/>
    <mergeCell ref="ATX7:AUA7"/>
    <mergeCell ref="AUB7:AUE7"/>
    <mergeCell ref="AUF7:AUI7"/>
    <mergeCell ref="AUJ7:AUM7"/>
    <mergeCell ref="ASZ7:ATC7"/>
    <mergeCell ref="ATD7:ATG7"/>
    <mergeCell ref="ATH7:ATK7"/>
    <mergeCell ref="ATL7:ATO7"/>
    <mergeCell ref="ATP7:ATS7"/>
    <mergeCell ref="AYJ7:AYM7"/>
    <mergeCell ref="AYN7:AYQ7"/>
    <mergeCell ref="AYR7:AYU7"/>
    <mergeCell ref="AYV7:AYY7"/>
    <mergeCell ref="AYZ7:AZC7"/>
    <mergeCell ref="AXP7:AXS7"/>
    <mergeCell ref="AXT7:AXW7"/>
    <mergeCell ref="AXX7:AYA7"/>
    <mergeCell ref="AYB7:AYE7"/>
    <mergeCell ref="AYF7:AYI7"/>
    <mergeCell ref="AWV7:AWY7"/>
    <mergeCell ref="AWZ7:AXC7"/>
    <mergeCell ref="AXD7:AXG7"/>
    <mergeCell ref="AXH7:AXK7"/>
    <mergeCell ref="AXL7:AXO7"/>
    <mergeCell ref="AWB7:AWE7"/>
    <mergeCell ref="AWF7:AWI7"/>
    <mergeCell ref="AWJ7:AWM7"/>
    <mergeCell ref="AWN7:AWQ7"/>
    <mergeCell ref="AWR7:AWU7"/>
    <mergeCell ref="BBL7:BBO7"/>
    <mergeCell ref="BBP7:BBS7"/>
    <mergeCell ref="BBT7:BBW7"/>
    <mergeCell ref="BBX7:BCA7"/>
    <mergeCell ref="BCB7:BCE7"/>
    <mergeCell ref="BAR7:BAU7"/>
    <mergeCell ref="BAV7:BAY7"/>
    <mergeCell ref="BAZ7:BBC7"/>
    <mergeCell ref="BBD7:BBG7"/>
    <mergeCell ref="BBH7:BBK7"/>
    <mergeCell ref="AZX7:BAA7"/>
    <mergeCell ref="BAB7:BAE7"/>
    <mergeCell ref="BAF7:BAI7"/>
    <mergeCell ref="BAJ7:BAM7"/>
    <mergeCell ref="BAN7:BAQ7"/>
    <mergeCell ref="AZD7:AZG7"/>
    <mergeCell ref="AZH7:AZK7"/>
    <mergeCell ref="AZL7:AZO7"/>
    <mergeCell ref="AZP7:AZS7"/>
    <mergeCell ref="AZT7:AZW7"/>
    <mergeCell ref="BEN7:BEQ7"/>
    <mergeCell ref="BER7:BEU7"/>
    <mergeCell ref="BEV7:BEY7"/>
    <mergeCell ref="BEZ7:BFC7"/>
    <mergeCell ref="BFD7:BFG7"/>
    <mergeCell ref="BDT7:BDW7"/>
    <mergeCell ref="BDX7:BEA7"/>
    <mergeCell ref="BEB7:BEE7"/>
    <mergeCell ref="BEF7:BEI7"/>
    <mergeCell ref="BEJ7:BEM7"/>
    <mergeCell ref="BCZ7:BDC7"/>
    <mergeCell ref="BDD7:BDG7"/>
    <mergeCell ref="BDH7:BDK7"/>
    <mergeCell ref="BDL7:BDO7"/>
    <mergeCell ref="BDP7:BDS7"/>
    <mergeCell ref="BCF7:BCI7"/>
    <mergeCell ref="BCJ7:BCM7"/>
    <mergeCell ref="BCN7:BCQ7"/>
    <mergeCell ref="BCR7:BCU7"/>
    <mergeCell ref="BCV7:BCY7"/>
    <mergeCell ref="BHP7:BHS7"/>
    <mergeCell ref="BHT7:BHW7"/>
    <mergeCell ref="BHX7:BIA7"/>
    <mergeCell ref="BIB7:BIE7"/>
    <mergeCell ref="BIF7:BII7"/>
    <mergeCell ref="BGV7:BGY7"/>
    <mergeCell ref="BGZ7:BHC7"/>
    <mergeCell ref="BHD7:BHG7"/>
    <mergeCell ref="BHH7:BHK7"/>
    <mergeCell ref="BHL7:BHO7"/>
    <mergeCell ref="BGB7:BGE7"/>
    <mergeCell ref="BGF7:BGI7"/>
    <mergeCell ref="BGJ7:BGM7"/>
    <mergeCell ref="BGN7:BGQ7"/>
    <mergeCell ref="BGR7:BGU7"/>
    <mergeCell ref="BFH7:BFK7"/>
    <mergeCell ref="BFL7:BFO7"/>
    <mergeCell ref="BFP7:BFS7"/>
    <mergeCell ref="BFT7:BFW7"/>
    <mergeCell ref="BFX7:BGA7"/>
    <mergeCell ref="BKR7:BKU7"/>
    <mergeCell ref="BKV7:BKY7"/>
    <mergeCell ref="BKZ7:BLC7"/>
    <mergeCell ref="BLD7:BLG7"/>
    <mergeCell ref="BLH7:BLK7"/>
    <mergeCell ref="BJX7:BKA7"/>
    <mergeCell ref="BKB7:BKE7"/>
    <mergeCell ref="BKF7:BKI7"/>
    <mergeCell ref="BKJ7:BKM7"/>
    <mergeCell ref="BKN7:BKQ7"/>
    <mergeCell ref="BJD7:BJG7"/>
    <mergeCell ref="BJH7:BJK7"/>
    <mergeCell ref="BJL7:BJO7"/>
    <mergeCell ref="BJP7:BJS7"/>
    <mergeCell ref="BJT7:BJW7"/>
    <mergeCell ref="BIJ7:BIM7"/>
    <mergeCell ref="BIN7:BIQ7"/>
    <mergeCell ref="BIR7:BIU7"/>
    <mergeCell ref="BIV7:BIY7"/>
    <mergeCell ref="BIZ7:BJC7"/>
    <mergeCell ref="BNT7:BNW7"/>
    <mergeCell ref="BNX7:BOA7"/>
    <mergeCell ref="BOB7:BOE7"/>
    <mergeCell ref="BOF7:BOI7"/>
    <mergeCell ref="BOJ7:BOM7"/>
    <mergeCell ref="BMZ7:BNC7"/>
    <mergeCell ref="BND7:BNG7"/>
    <mergeCell ref="BNH7:BNK7"/>
    <mergeCell ref="BNL7:BNO7"/>
    <mergeCell ref="BNP7:BNS7"/>
    <mergeCell ref="BMF7:BMI7"/>
    <mergeCell ref="BMJ7:BMM7"/>
    <mergeCell ref="BMN7:BMQ7"/>
    <mergeCell ref="BMR7:BMU7"/>
    <mergeCell ref="BMV7:BMY7"/>
    <mergeCell ref="BLL7:BLO7"/>
    <mergeCell ref="BLP7:BLS7"/>
    <mergeCell ref="BLT7:BLW7"/>
    <mergeCell ref="BLX7:BMA7"/>
    <mergeCell ref="BMB7:BME7"/>
    <mergeCell ref="BQV7:BQY7"/>
    <mergeCell ref="BQZ7:BRC7"/>
    <mergeCell ref="BRD7:BRG7"/>
    <mergeCell ref="BRH7:BRK7"/>
    <mergeCell ref="BRL7:BRO7"/>
    <mergeCell ref="BQB7:BQE7"/>
    <mergeCell ref="BQF7:BQI7"/>
    <mergeCell ref="BQJ7:BQM7"/>
    <mergeCell ref="BQN7:BQQ7"/>
    <mergeCell ref="BQR7:BQU7"/>
    <mergeCell ref="BPH7:BPK7"/>
    <mergeCell ref="BPL7:BPO7"/>
    <mergeCell ref="BPP7:BPS7"/>
    <mergeCell ref="BPT7:BPW7"/>
    <mergeCell ref="BPX7:BQA7"/>
    <mergeCell ref="BON7:BOQ7"/>
    <mergeCell ref="BOR7:BOU7"/>
    <mergeCell ref="BOV7:BOY7"/>
    <mergeCell ref="BOZ7:BPC7"/>
    <mergeCell ref="BPD7:BPG7"/>
    <mergeCell ref="BTX7:BUA7"/>
    <mergeCell ref="BUB7:BUE7"/>
    <mergeCell ref="BUF7:BUI7"/>
    <mergeCell ref="BUJ7:BUM7"/>
    <mergeCell ref="BUN7:BUQ7"/>
    <mergeCell ref="BTD7:BTG7"/>
    <mergeCell ref="BTH7:BTK7"/>
    <mergeCell ref="BTL7:BTO7"/>
    <mergeCell ref="BTP7:BTS7"/>
    <mergeCell ref="BTT7:BTW7"/>
    <mergeCell ref="BSJ7:BSM7"/>
    <mergeCell ref="BSN7:BSQ7"/>
    <mergeCell ref="BSR7:BSU7"/>
    <mergeCell ref="BSV7:BSY7"/>
    <mergeCell ref="BSZ7:BTC7"/>
    <mergeCell ref="BRP7:BRS7"/>
    <mergeCell ref="BRT7:BRW7"/>
    <mergeCell ref="BRX7:BSA7"/>
    <mergeCell ref="BSB7:BSE7"/>
    <mergeCell ref="BSF7:BSI7"/>
    <mergeCell ref="BWZ7:BXC7"/>
    <mergeCell ref="BXD7:BXG7"/>
    <mergeCell ref="BXH7:BXK7"/>
    <mergeCell ref="BXL7:BXO7"/>
    <mergeCell ref="BXP7:BXS7"/>
    <mergeCell ref="BWF7:BWI7"/>
    <mergeCell ref="BWJ7:BWM7"/>
    <mergeCell ref="BWN7:BWQ7"/>
    <mergeCell ref="BWR7:BWU7"/>
    <mergeCell ref="BWV7:BWY7"/>
    <mergeCell ref="BVL7:BVO7"/>
    <mergeCell ref="BVP7:BVS7"/>
    <mergeCell ref="BVT7:BVW7"/>
    <mergeCell ref="BVX7:BWA7"/>
    <mergeCell ref="BWB7:BWE7"/>
    <mergeCell ref="BUR7:BUU7"/>
    <mergeCell ref="BUV7:BUY7"/>
    <mergeCell ref="BUZ7:BVC7"/>
    <mergeCell ref="BVD7:BVG7"/>
    <mergeCell ref="BVH7:BVK7"/>
    <mergeCell ref="CAB7:CAE7"/>
    <mergeCell ref="CAF7:CAI7"/>
    <mergeCell ref="CAJ7:CAM7"/>
    <mergeCell ref="CAN7:CAQ7"/>
    <mergeCell ref="CAR7:CAU7"/>
    <mergeCell ref="BZH7:BZK7"/>
    <mergeCell ref="BZL7:BZO7"/>
    <mergeCell ref="BZP7:BZS7"/>
    <mergeCell ref="BZT7:BZW7"/>
    <mergeCell ref="BZX7:CAA7"/>
    <mergeCell ref="BYN7:BYQ7"/>
    <mergeCell ref="BYR7:BYU7"/>
    <mergeCell ref="BYV7:BYY7"/>
    <mergeCell ref="BYZ7:BZC7"/>
    <mergeCell ref="BZD7:BZG7"/>
    <mergeCell ref="BXT7:BXW7"/>
    <mergeCell ref="BXX7:BYA7"/>
    <mergeCell ref="BYB7:BYE7"/>
    <mergeCell ref="BYF7:BYI7"/>
    <mergeCell ref="BYJ7:BYM7"/>
    <mergeCell ref="CDD7:CDG7"/>
    <mergeCell ref="CDH7:CDK7"/>
    <mergeCell ref="CDL7:CDO7"/>
    <mergeCell ref="CDP7:CDS7"/>
    <mergeCell ref="CDT7:CDW7"/>
    <mergeCell ref="CCJ7:CCM7"/>
    <mergeCell ref="CCN7:CCQ7"/>
    <mergeCell ref="CCR7:CCU7"/>
    <mergeCell ref="CCV7:CCY7"/>
    <mergeCell ref="CCZ7:CDC7"/>
    <mergeCell ref="CBP7:CBS7"/>
    <mergeCell ref="CBT7:CBW7"/>
    <mergeCell ref="CBX7:CCA7"/>
    <mergeCell ref="CCB7:CCE7"/>
    <mergeCell ref="CCF7:CCI7"/>
    <mergeCell ref="CAV7:CAY7"/>
    <mergeCell ref="CAZ7:CBC7"/>
    <mergeCell ref="CBD7:CBG7"/>
    <mergeCell ref="CBH7:CBK7"/>
    <mergeCell ref="CBL7:CBO7"/>
    <mergeCell ref="CGF7:CGI7"/>
    <mergeCell ref="CGJ7:CGM7"/>
    <mergeCell ref="CGN7:CGQ7"/>
    <mergeCell ref="CGR7:CGU7"/>
    <mergeCell ref="CGV7:CGY7"/>
    <mergeCell ref="CFL7:CFO7"/>
    <mergeCell ref="CFP7:CFS7"/>
    <mergeCell ref="CFT7:CFW7"/>
    <mergeCell ref="CFX7:CGA7"/>
    <mergeCell ref="CGB7:CGE7"/>
    <mergeCell ref="CER7:CEU7"/>
    <mergeCell ref="CEV7:CEY7"/>
    <mergeCell ref="CEZ7:CFC7"/>
    <mergeCell ref="CFD7:CFG7"/>
    <mergeCell ref="CFH7:CFK7"/>
    <mergeCell ref="CDX7:CEA7"/>
    <mergeCell ref="CEB7:CEE7"/>
    <mergeCell ref="CEF7:CEI7"/>
    <mergeCell ref="CEJ7:CEM7"/>
    <mergeCell ref="CEN7:CEQ7"/>
    <mergeCell ref="CJH7:CJK7"/>
    <mergeCell ref="CJL7:CJO7"/>
    <mergeCell ref="CJP7:CJS7"/>
    <mergeCell ref="CJT7:CJW7"/>
    <mergeCell ref="CJX7:CKA7"/>
    <mergeCell ref="CIN7:CIQ7"/>
    <mergeCell ref="CIR7:CIU7"/>
    <mergeCell ref="CIV7:CIY7"/>
    <mergeCell ref="CIZ7:CJC7"/>
    <mergeCell ref="CJD7:CJG7"/>
    <mergeCell ref="CHT7:CHW7"/>
    <mergeCell ref="CHX7:CIA7"/>
    <mergeCell ref="CIB7:CIE7"/>
    <mergeCell ref="CIF7:CII7"/>
    <mergeCell ref="CIJ7:CIM7"/>
    <mergeCell ref="CGZ7:CHC7"/>
    <mergeCell ref="CHD7:CHG7"/>
    <mergeCell ref="CHH7:CHK7"/>
    <mergeCell ref="CHL7:CHO7"/>
    <mergeCell ref="CHP7:CHS7"/>
    <mergeCell ref="CMJ7:CMM7"/>
    <mergeCell ref="CMN7:CMQ7"/>
    <mergeCell ref="CMR7:CMU7"/>
    <mergeCell ref="CMV7:CMY7"/>
    <mergeCell ref="CMZ7:CNC7"/>
    <mergeCell ref="CLP7:CLS7"/>
    <mergeCell ref="CLT7:CLW7"/>
    <mergeCell ref="CLX7:CMA7"/>
    <mergeCell ref="CMB7:CME7"/>
    <mergeCell ref="CMF7:CMI7"/>
    <mergeCell ref="CKV7:CKY7"/>
    <mergeCell ref="CKZ7:CLC7"/>
    <mergeCell ref="CLD7:CLG7"/>
    <mergeCell ref="CLH7:CLK7"/>
    <mergeCell ref="CLL7:CLO7"/>
    <mergeCell ref="CKB7:CKE7"/>
    <mergeCell ref="CKF7:CKI7"/>
    <mergeCell ref="CKJ7:CKM7"/>
    <mergeCell ref="CKN7:CKQ7"/>
    <mergeCell ref="CKR7:CKU7"/>
    <mergeCell ref="CPL7:CPO7"/>
    <mergeCell ref="CPP7:CPS7"/>
    <mergeCell ref="CPT7:CPW7"/>
    <mergeCell ref="CPX7:CQA7"/>
    <mergeCell ref="CQB7:CQE7"/>
    <mergeCell ref="COR7:COU7"/>
    <mergeCell ref="COV7:COY7"/>
    <mergeCell ref="COZ7:CPC7"/>
    <mergeCell ref="CPD7:CPG7"/>
    <mergeCell ref="CPH7:CPK7"/>
    <mergeCell ref="CNX7:COA7"/>
    <mergeCell ref="COB7:COE7"/>
    <mergeCell ref="COF7:COI7"/>
    <mergeCell ref="COJ7:COM7"/>
    <mergeCell ref="CON7:COQ7"/>
    <mergeCell ref="CND7:CNG7"/>
    <mergeCell ref="CNH7:CNK7"/>
    <mergeCell ref="CNL7:CNO7"/>
    <mergeCell ref="CNP7:CNS7"/>
    <mergeCell ref="CNT7:CNW7"/>
    <mergeCell ref="CSN7:CSQ7"/>
    <mergeCell ref="CSR7:CSU7"/>
    <mergeCell ref="CSV7:CSY7"/>
    <mergeCell ref="CSZ7:CTC7"/>
    <mergeCell ref="CTD7:CTG7"/>
    <mergeCell ref="CRT7:CRW7"/>
    <mergeCell ref="CRX7:CSA7"/>
    <mergeCell ref="CSB7:CSE7"/>
    <mergeCell ref="CSF7:CSI7"/>
    <mergeCell ref="CSJ7:CSM7"/>
    <mergeCell ref="CQZ7:CRC7"/>
    <mergeCell ref="CRD7:CRG7"/>
    <mergeCell ref="CRH7:CRK7"/>
    <mergeCell ref="CRL7:CRO7"/>
    <mergeCell ref="CRP7:CRS7"/>
    <mergeCell ref="CQF7:CQI7"/>
    <mergeCell ref="CQJ7:CQM7"/>
    <mergeCell ref="CQN7:CQQ7"/>
    <mergeCell ref="CQR7:CQU7"/>
    <mergeCell ref="CQV7:CQY7"/>
    <mergeCell ref="CVP7:CVS7"/>
    <mergeCell ref="CVT7:CVW7"/>
    <mergeCell ref="CVX7:CWA7"/>
    <mergeCell ref="CWB7:CWE7"/>
    <mergeCell ref="CWF7:CWI7"/>
    <mergeCell ref="CUV7:CUY7"/>
    <mergeCell ref="CUZ7:CVC7"/>
    <mergeCell ref="CVD7:CVG7"/>
    <mergeCell ref="CVH7:CVK7"/>
    <mergeCell ref="CVL7:CVO7"/>
    <mergeCell ref="CUB7:CUE7"/>
    <mergeCell ref="CUF7:CUI7"/>
    <mergeCell ref="CUJ7:CUM7"/>
    <mergeCell ref="CUN7:CUQ7"/>
    <mergeCell ref="CUR7:CUU7"/>
    <mergeCell ref="CTH7:CTK7"/>
    <mergeCell ref="CTL7:CTO7"/>
    <mergeCell ref="CTP7:CTS7"/>
    <mergeCell ref="CTT7:CTW7"/>
    <mergeCell ref="CTX7:CUA7"/>
    <mergeCell ref="CYR7:CYU7"/>
    <mergeCell ref="CYV7:CYY7"/>
    <mergeCell ref="CYZ7:CZC7"/>
    <mergeCell ref="CZD7:CZG7"/>
    <mergeCell ref="CZH7:CZK7"/>
    <mergeCell ref="CXX7:CYA7"/>
    <mergeCell ref="CYB7:CYE7"/>
    <mergeCell ref="CYF7:CYI7"/>
    <mergeCell ref="CYJ7:CYM7"/>
    <mergeCell ref="CYN7:CYQ7"/>
    <mergeCell ref="CXD7:CXG7"/>
    <mergeCell ref="CXH7:CXK7"/>
    <mergeCell ref="CXL7:CXO7"/>
    <mergeCell ref="CXP7:CXS7"/>
    <mergeCell ref="CXT7:CXW7"/>
    <mergeCell ref="CWJ7:CWM7"/>
    <mergeCell ref="CWN7:CWQ7"/>
    <mergeCell ref="CWR7:CWU7"/>
    <mergeCell ref="CWV7:CWY7"/>
    <mergeCell ref="CWZ7:CXC7"/>
    <mergeCell ref="DBT7:DBW7"/>
    <mergeCell ref="DBX7:DCA7"/>
    <mergeCell ref="DCB7:DCE7"/>
    <mergeCell ref="DCF7:DCI7"/>
    <mergeCell ref="DCJ7:DCM7"/>
    <mergeCell ref="DAZ7:DBC7"/>
    <mergeCell ref="DBD7:DBG7"/>
    <mergeCell ref="DBH7:DBK7"/>
    <mergeCell ref="DBL7:DBO7"/>
    <mergeCell ref="DBP7:DBS7"/>
    <mergeCell ref="DAF7:DAI7"/>
    <mergeCell ref="DAJ7:DAM7"/>
    <mergeCell ref="DAN7:DAQ7"/>
    <mergeCell ref="DAR7:DAU7"/>
    <mergeCell ref="DAV7:DAY7"/>
    <mergeCell ref="CZL7:CZO7"/>
    <mergeCell ref="CZP7:CZS7"/>
    <mergeCell ref="CZT7:CZW7"/>
    <mergeCell ref="CZX7:DAA7"/>
    <mergeCell ref="DAB7:DAE7"/>
    <mergeCell ref="DEV7:DEY7"/>
    <mergeCell ref="DEZ7:DFC7"/>
    <mergeCell ref="DFD7:DFG7"/>
    <mergeCell ref="DFH7:DFK7"/>
    <mergeCell ref="DFL7:DFO7"/>
    <mergeCell ref="DEB7:DEE7"/>
    <mergeCell ref="DEF7:DEI7"/>
    <mergeCell ref="DEJ7:DEM7"/>
    <mergeCell ref="DEN7:DEQ7"/>
    <mergeCell ref="DER7:DEU7"/>
    <mergeCell ref="DDH7:DDK7"/>
    <mergeCell ref="DDL7:DDO7"/>
    <mergeCell ref="DDP7:DDS7"/>
    <mergeCell ref="DDT7:DDW7"/>
    <mergeCell ref="DDX7:DEA7"/>
    <mergeCell ref="DCN7:DCQ7"/>
    <mergeCell ref="DCR7:DCU7"/>
    <mergeCell ref="DCV7:DCY7"/>
    <mergeCell ref="DCZ7:DDC7"/>
    <mergeCell ref="DDD7:DDG7"/>
    <mergeCell ref="DHX7:DIA7"/>
    <mergeCell ref="DIB7:DIE7"/>
    <mergeCell ref="DIF7:DII7"/>
    <mergeCell ref="DIJ7:DIM7"/>
    <mergeCell ref="DIN7:DIQ7"/>
    <mergeCell ref="DHD7:DHG7"/>
    <mergeCell ref="DHH7:DHK7"/>
    <mergeCell ref="DHL7:DHO7"/>
    <mergeCell ref="DHP7:DHS7"/>
    <mergeCell ref="DHT7:DHW7"/>
    <mergeCell ref="DGJ7:DGM7"/>
    <mergeCell ref="DGN7:DGQ7"/>
    <mergeCell ref="DGR7:DGU7"/>
    <mergeCell ref="DGV7:DGY7"/>
    <mergeCell ref="DGZ7:DHC7"/>
    <mergeCell ref="DFP7:DFS7"/>
    <mergeCell ref="DFT7:DFW7"/>
    <mergeCell ref="DFX7:DGA7"/>
    <mergeCell ref="DGB7:DGE7"/>
    <mergeCell ref="DGF7:DGI7"/>
    <mergeCell ref="DKZ7:DLC7"/>
    <mergeCell ref="DLD7:DLG7"/>
    <mergeCell ref="DLH7:DLK7"/>
    <mergeCell ref="DLL7:DLO7"/>
    <mergeCell ref="DLP7:DLS7"/>
    <mergeCell ref="DKF7:DKI7"/>
    <mergeCell ref="DKJ7:DKM7"/>
    <mergeCell ref="DKN7:DKQ7"/>
    <mergeCell ref="DKR7:DKU7"/>
    <mergeCell ref="DKV7:DKY7"/>
    <mergeCell ref="DJL7:DJO7"/>
    <mergeCell ref="DJP7:DJS7"/>
    <mergeCell ref="DJT7:DJW7"/>
    <mergeCell ref="DJX7:DKA7"/>
    <mergeCell ref="DKB7:DKE7"/>
    <mergeCell ref="DIR7:DIU7"/>
    <mergeCell ref="DIV7:DIY7"/>
    <mergeCell ref="DIZ7:DJC7"/>
    <mergeCell ref="DJD7:DJG7"/>
    <mergeCell ref="DJH7:DJK7"/>
    <mergeCell ref="DOB7:DOE7"/>
    <mergeCell ref="DOF7:DOI7"/>
    <mergeCell ref="DOJ7:DOM7"/>
    <mergeCell ref="DON7:DOQ7"/>
    <mergeCell ref="DOR7:DOU7"/>
    <mergeCell ref="DNH7:DNK7"/>
    <mergeCell ref="DNL7:DNO7"/>
    <mergeCell ref="DNP7:DNS7"/>
    <mergeCell ref="DNT7:DNW7"/>
    <mergeCell ref="DNX7:DOA7"/>
    <mergeCell ref="DMN7:DMQ7"/>
    <mergeCell ref="DMR7:DMU7"/>
    <mergeCell ref="DMV7:DMY7"/>
    <mergeCell ref="DMZ7:DNC7"/>
    <mergeCell ref="DND7:DNG7"/>
    <mergeCell ref="DLT7:DLW7"/>
    <mergeCell ref="DLX7:DMA7"/>
    <mergeCell ref="DMB7:DME7"/>
    <mergeCell ref="DMF7:DMI7"/>
    <mergeCell ref="DMJ7:DMM7"/>
    <mergeCell ref="DRD7:DRG7"/>
    <mergeCell ref="DRH7:DRK7"/>
    <mergeCell ref="DRL7:DRO7"/>
    <mergeCell ref="DRP7:DRS7"/>
    <mergeCell ref="DRT7:DRW7"/>
    <mergeCell ref="DQJ7:DQM7"/>
    <mergeCell ref="DQN7:DQQ7"/>
    <mergeCell ref="DQR7:DQU7"/>
    <mergeCell ref="DQV7:DQY7"/>
    <mergeCell ref="DQZ7:DRC7"/>
    <mergeCell ref="DPP7:DPS7"/>
    <mergeCell ref="DPT7:DPW7"/>
    <mergeCell ref="DPX7:DQA7"/>
    <mergeCell ref="DQB7:DQE7"/>
    <mergeCell ref="DQF7:DQI7"/>
    <mergeCell ref="DOV7:DOY7"/>
    <mergeCell ref="DOZ7:DPC7"/>
    <mergeCell ref="DPD7:DPG7"/>
    <mergeCell ref="DPH7:DPK7"/>
    <mergeCell ref="DPL7:DPO7"/>
    <mergeCell ref="DUF7:DUI7"/>
    <mergeCell ref="DUJ7:DUM7"/>
    <mergeCell ref="DUN7:DUQ7"/>
    <mergeCell ref="DUR7:DUU7"/>
    <mergeCell ref="DUV7:DUY7"/>
    <mergeCell ref="DTL7:DTO7"/>
    <mergeCell ref="DTP7:DTS7"/>
    <mergeCell ref="DTT7:DTW7"/>
    <mergeCell ref="DTX7:DUA7"/>
    <mergeCell ref="DUB7:DUE7"/>
    <mergeCell ref="DSR7:DSU7"/>
    <mergeCell ref="DSV7:DSY7"/>
    <mergeCell ref="DSZ7:DTC7"/>
    <mergeCell ref="DTD7:DTG7"/>
    <mergeCell ref="DTH7:DTK7"/>
    <mergeCell ref="DRX7:DSA7"/>
    <mergeCell ref="DSB7:DSE7"/>
    <mergeCell ref="DSF7:DSI7"/>
    <mergeCell ref="DSJ7:DSM7"/>
    <mergeCell ref="DSN7:DSQ7"/>
    <mergeCell ref="DXH7:DXK7"/>
    <mergeCell ref="DXL7:DXO7"/>
    <mergeCell ref="DXP7:DXS7"/>
    <mergeCell ref="DXT7:DXW7"/>
    <mergeCell ref="DXX7:DYA7"/>
    <mergeCell ref="DWN7:DWQ7"/>
    <mergeCell ref="DWR7:DWU7"/>
    <mergeCell ref="DWV7:DWY7"/>
    <mergeCell ref="DWZ7:DXC7"/>
    <mergeCell ref="DXD7:DXG7"/>
    <mergeCell ref="DVT7:DVW7"/>
    <mergeCell ref="DVX7:DWA7"/>
    <mergeCell ref="DWB7:DWE7"/>
    <mergeCell ref="DWF7:DWI7"/>
    <mergeCell ref="DWJ7:DWM7"/>
    <mergeCell ref="DUZ7:DVC7"/>
    <mergeCell ref="DVD7:DVG7"/>
    <mergeCell ref="DVH7:DVK7"/>
    <mergeCell ref="DVL7:DVO7"/>
    <mergeCell ref="DVP7:DVS7"/>
    <mergeCell ref="EAJ7:EAM7"/>
    <mergeCell ref="EAN7:EAQ7"/>
    <mergeCell ref="EAR7:EAU7"/>
    <mergeCell ref="EAV7:EAY7"/>
    <mergeCell ref="EAZ7:EBC7"/>
    <mergeCell ref="DZP7:DZS7"/>
    <mergeCell ref="DZT7:DZW7"/>
    <mergeCell ref="DZX7:EAA7"/>
    <mergeCell ref="EAB7:EAE7"/>
    <mergeCell ref="EAF7:EAI7"/>
    <mergeCell ref="DYV7:DYY7"/>
    <mergeCell ref="DYZ7:DZC7"/>
    <mergeCell ref="DZD7:DZG7"/>
    <mergeCell ref="DZH7:DZK7"/>
    <mergeCell ref="DZL7:DZO7"/>
    <mergeCell ref="DYB7:DYE7"/>
    <mergeCell ref="DYF7:DYI7"/>
    <mergeCell ref="DYJ7:DYM7"/>
    <mergeCell ref="DYN7:DYQ7"/>
    <mergeCell ref="DYR7:DYU7"/>
    <mergeCell ref="EDL7:EDO7"/>
    <mergeCell ref="EDP7:EDS7"/>
    <mergeCell ref="EDT7:EDW7"/>
    <mergeCell ref="EDX7:EEA7"/>
    <mergeCell ref="EEB7:EEE7"/>
    <mergeCell ref="ECR7:ECU7"/>
    <mergeCell ref="ECV7:ECY7"/>
    <mergeCell ref="ECZ7:EDC7"/>
    <mergeCell ref="EDD7:EDG7"/>
    <mergeCell ref="EDH7:EDK7"/>
    <mergeCell ref="EBX7:ECA7"/>
    <mergeCell ref="ECB7:ECE7"/>
    <mergeCell ref="ECF7:ECI7"/>
    <mergeCell ref="ECJ7:ECM7"/>
    <mergeCell ref="ECN7:ECQ7"/>
    <mergeCell ref="EBD7:EBG7"/>
    <mergeCell ref="EBH7:EBK7"/>
    <mergeCell ref="EBL7:EBO7"/>
    <mergeCell ref="EBP7:EBS7"/>
    <mergeCell ref="EBT7:EBW7"/>
    <mergeCell ref="EGN7:EGQ7"/>
    <mergeCell ref="EGR7:EGU7"/>
    <mergeCell ref="EGV7:EGY7"/>
    <mergeCell ref="EGZ7:EHC7"/>
    <mergeCell ref="EHD7:EHG7"/>
    <mergeCell ref="EFT7:EFW7"/>
    <mergeCell ref="EFX7:EGA7"/>
    <mergeCell ref="EGB7:EGE7"/>
    <mergeCell ref="EGF7:EGI7"/>
    <mergeCell ref="EGJ7:EGM7"/>
    <mergeCell ref="EEZ7:EFC7"/>
    <mergeCell ref="EFD7:EFG7"/>
    <mergeCell ref="EFH7:EFK7"/>
    <mergeCell ref="EFL7:EFO7"/>
    <mergeCell ref="EFP7:EFS7"/>
    <mergeCell ref="EEF7:EEI7"/>
    <mergeCell ref="EEJ7:EEM7"/>
    <mergeCell ref="EEN7:EEQ7"/>
    <mergeCell ref="EER7:EEU7"/>
    <mergeCell ref="EEV7:EEY7"/>
    <mergeCell ref="EJP7:EJS7"/>
    <mergeCell ref="EJT7:EJW7"/>
    <mergeCell ref="EJX7:EKA7"/>
    <mergeCell ref="EKB7:EKE7"/>
    <mergeCell ref="EKF7:EKI7"/>
    <mergeCell ref="EIV7:EIY7"/>
    <mergeCell ref="EIZ7:EJC7"/>
    <mergeCell ref="EJD7:EJG7"/>
    <mergeCell ref="EJH7:EJK7"/>
    <mergeCell ref="EJL7:EJO7"/>
    <mergeCell ref="EIB7:EIE7"/>
    <mergeCell ref="EIF7:EII7"/>
    <mergeCell ref="EIJ7:EIM7"/>
    <mergeCell ref="EIN7:EIQ7"/>
    <mergeCell ref="EIR7:EIU7"/>
    <mergeCell ref="EHH7:EHK7"/>
    <mergeCell ref="EHL7:EHO7"/>
    <mergeCell ref="EHP7:EHS7"/>
    <mergeCell ref="EHT7:EHW7"/>
    <mergeCell ref="EHX7:EIA7"/>
    <mergeCell ref="EMR7:EMU7"/>
    <mergeCell ref="EMV7:EMY7"/>
    <mergeCell ref="EMZ7:ENC7"/>
    <mergeCell ref="END7:ENG7"/>
    <mergeCell ref="ENH7:ENK7"/>
    <mergeCell ref="ELX7:EMA7"/>
    <mergeCell ref="EMB7:EME7"/>
    <mergeCell ref="EMF7:EMI7"/>
    <mergeCell ref="EMJ7:EMM7"/>
    <mergeCell ref="EMN7:EMQ7"/>
    <mergeCell ref="ELD7:ELG7"/>
    <mergeCell ref="ELH7:ELK7"/>
    <mergeCell ref="ELL7:ELO7"/>
    <mergeCell ref="ELP7:ELS7"/>
    <mergeCell ref="ELT7:ELW7"/>
    <mergeCell ref="EKJ7:EKM7"/>
    <mergeCell ref="EKN7:EKQ7"/>
    <mergeCell ref="EKR7:EKU7"/>
    <mergeCell ref="EKV7:EKY7"/>
    <mergeCell ref="EKZ7:ELC7"/>
    <mergeCell ref="EPT7:EPW7"/>
    <mergeCell ref="EPX7:EQA7"/>
    <mergeCell ref="EQB7:EQE7"/>
    <mergeCell ref="EQF7:EQI7"/>
    <mergeCell ref="EQJ7:EQM7"/>
    <mergeCell ref="EOZ7:EPC7"/>
    <mergeCell ref="EPD7:EPG7"/>
    <mergeCell ref="EPH7:EPK7"/>
    <mergeCell ref="EPL7:EPO7"/>
    <mergeCell ref="EPP7:EPS7"/>
    <mergeCell ref="EOF7:EOI7"/>
    <mergeCell ref="EOJ7:EOM7"/>
    <mergeCell ref="EON7:EOQ7"/>
    <mergeCell ref="EOR7:EOU7"/>
    <mergeCell ref="EOV7:EOY7"/>
    <mergeCell ref="ENL7:ENO7"/>
    <mergeCell ref="ENP7:ENS7"/>
    <mergeCell ref="ENT7:ENW7"/>
    <mergeCell ref="ENX7:EOA7"/>
    <mergeCell ref="EOB7:EOE7"/>
    <mergeCell ref="ESV7:ESY7"/>
    <mergeCell ref="ESZ7:ETC7"/>
    <mergeCell ref="ETD7:ETG7"/>
    <mergeCell ref="ETH7:ETK7"/>
    <mergeCell ref="ETL7:ETO7"/>
    <mergeCell ref="ESB7:ESE7"/>
    <mergeCell ref="ESF7:ESI7"/>
    <mergeCell ref="ESJ7:ESM7"/>
    <mergeCell ref="ESN7:ESQ7"/>
    <mergeCell ref="ESR7:ESU7"/>
    <mergeCell ref="ERH7:ERK7"/>
    <mergeCell ref="ERL7:ERO7"/>
    <mergeCell ref="ERP7:ERS7"/>
    <mergeCell ref="ERT7:ERW7"/>
    <mergeCell ref="ERX7:ESA7"/>
    <mergeCell ref="EQN7:EQQ7"/>
    <mergeCell ref="EQR7:EQU7"/>
    <mergeCell ref="EQV7:EQY7"/>
    <mergeCell ref="EQZ7:ERC7"/>
    <mergeCell ref="ERD7:ERG7"/>
    <mergeCell ref="EVX7:EWA7"/>
    <mergeCell ref="EWB7:EWE7"/>
    <mergeCell ref="EWF7:EWI7"/>
    <mergeCell ref="EWJ7:EWM7"/>
    <mergeCell ref="EWN7:EWQ7"/>
    <mergeCell ref="EVD7:EVG7"/>
    <mergeCell ref="EVH7:EVK7"/>
    <mergeCell ref="EVL7:EVO7"/>
    <mergeCell ref="EVP7:EVS7"/>
    <mergeCell ref="EVT7:EVW7"/>
    <mergeCell ref="EUJ7:EUM7"/>
    <mergeCell ref="EUN7:EUQ7"/>
    <mergeCell ref="EUR7:EUU7"/>
    <mergeCell ref="EUV7:EUY7"/>
    <mergeCell ref="EUZ7:EVC7"/>
    <mergeCell ref="ETP7:ETS7"/>
    <mergeCell ref="ETT7:ETW7"/>
    <mergeCell ref="ETX7:EUA7"/>
    <mergeCell ref="EUB7:EUE7"/>
    <mergeCell ref="EUF7:EUI7"/>
    <mergeCell ref="EYZ7:EZC7"/>
    <mergeCell ref="EZD7:EZG7"/>
    <mergeCell ref="EZH7:EZK7"/>
    <mergeCell ref="EZL7:EZO7"/>
    <mergeCell ref="EZP7:EZS7"/>
    <mergeCell ref="EYF7:EYI7"/>
    <mergeCell ref="EYJ7:EYM7"/>
    <mergeCell ref="EYN7:EYQ7"/>
    <mergeCell ref="EYR7:EYU7"/>
    <mergeCell ref="EYV7:EYY7"/>
    <mergeCell ref="EXL7:EXO7"/>
    <mergeCell ref="EXP7:EXS7"/>
    <mergeCell ref="EXT7:EXW7"/>
    <mergeCell ref="EXX7:EYA7"/>
    <mergeCell ref="EYB7:EYE7"/>
    <mergeCell ref="EWR7:EWU7"/>
    <mergeCell ref="EWV7:EWY7"/>
    <mergeCell ref="EWZ7:EXC7"/>
    <mergeCell ref="EXD7:EXG7"/>
    <mergeCell ref="EXH7:EXK7"/>
    <mergeCell ref="FCB7:FCE7"/>
    <mergeCell ref="FCF7:FCI7"/>
    <mergeCell ref="FCJ7:FCM7"/>
    <mergeCell ref="FCN7:FCQ7"/>
    <mergeCell ref="FCR7:FCU7"/>
    <mergeCell ref="FBH7:FBK7"/>
    <mergeCell ref="FBL7:FBO7"/>
    <mergeCell ref="FBP7:FBS7"/>
    <mergeCell ref="FBT7:FBW7"/>
    <mergeCell ref="FBX7:FCA7"/>
    <mergeCell ref="FAN7:FAQ7"/>
    <mergeCell ref="FAR7:FAU7"/>
    <mergeCell ref="FAV7:FAY7"/>
    <mergeCell ref="FAZ7:FBC7"/>
    <mergeCell ref="FBD7:FBG7"/>
    <mergeCell ref="EZT7:EZW7"/>
    <mergeCell ref="EZX7:FAA7"/>
    <mergeCell ref="FAB7:FAE7"/>
    <mergeCell ref="FAF7:FAI7"/>
    <mergeCell ref="FAJ7:FAM7"/>
    <mergeCell ref="FFD7:FFG7"/>
    <mergeCell ref="FFH7:FFK7"/>
    <mergeCell ref="FFL7:FFO7"/>
    <mergeCell ref="FFP7:FFS7"/>
    <mergeCell ref="FFT7:FFW7"/>
    <mergeCell ref="FEJ7:FEM7"/>
    <mergeCell ref="FEN7:FEQ7"/>
    <mergeCell ref="FER7:FEU7"/>
    <mergeCell ref="FEV7:FEY7"/>
    <mergeCell ref="FEZ7:FFC7"/>
    <mergeCell ref="FDP7:FDS7"/>
    <mergeCell ref="FDT7:FDW7"/>
    <mergeCell ref="FDX7:FEA7"/>
    <mergeCell ref="FEB7:FEE7"/>
    <mergeCell ref="FEF7:FEI7"/>
    <mergeCell ref="FCV7:FCY7"/>
    <mergeCell ref="FCZ7:FDC7"/>
    <mergeCell ref="FDD7:FDG7"/>
    <mergeCell ref="FDH7:FDK7"/>
    <mergeCell ref="FDL7:FDO7"/>
    <mergeCell ref="FIF7:FII7"/>
    <mergeCell ref="FIJ7:FIM7"/>
    <mergeCell ref="FIN7:FIQ7"/>
    <mergeCell ref="FIR7:FIU7"/>
    <mergeCell ref="FIV7:FIY7"/>
    <mergeCell ref="FHL7:FHO7"/>
    <mergeCell ref="FHP7:FHS7"/>
    <mergeCell ref="FHT7:FHW7"/>
    <mergeCell ref="FHX7:FIA7"/>
    <mergeCell ref="FIB7:FIE7"/>
    <mergeCell ref="FGR7:FGU7"/>
    <mergeCell ref="FGV7:FGY7"/>
    <mergeCell ref="FGZ7:FHC7"/>
    <mergeCell ref="FHD7:FHG7"/>
    <mergeCell ref="FHH7:FHK7"/>
    <mergeCell ref="FFX7:FGA7"/>
    <mergeCell ref="FGB7:FGE7"/>
    <mergeCell ref="FGF7:FGI7"/>
    <mergeCell ref="FGJ7:FGM7"/>
    <mergeCell ref="FGN7:FGQ7"/>
    <mergeCell ref="FLH7:FLK7"/>
    <mergeCell ref="FLL7:FLO7"/>
    <mergeCell ref="FLP7:FLS7"/>
    <mergeCell ref="FLT7:FLW7"/>
    <mergeCell ref="FLX7:FMA7"/>
    <mergeCell ref="FKN7:FKQ7"/>
    <mergeCell ref="FKR7:FKU7"/>
    <mergeCell ref="FKV7:FKY7"/>
    <mergeCell ref="FKZ7:FLC7"/>
    <mergeCell ref="FLD7:FLG7"/>
    <mergeCell ref="FJT7:FJW7"/>
    <mergeCell ref="FJX7:FKA7"/>
    <mergeCell ref="FKB7:FKE7"/>
    <mergeCell ref="FKF7:FKI7"/>
    <mergeCell ref="FKJ7:FKM7"/>
    <mergeCell ref="FIZ7:FJC7"/>
    <mergeCell ref="FJD7:FJG7"/>
    <mergeCell ref="FJH7:FJK7"/>
    <mergeCell ref="FJL7:FJO7"/>
    <mergeCell ref="FJP7:FJS7"/>
    <mergeCell ref="FOJ7:FOM7"/>
    <mergeCell ref="FON7:FOQ7"/>
    <mergeCell ref="FOR7:FOU7"/>
    <mergeCell ref="FOV7:FOY7"/>
    <mergeCell ref="FOZ7:FPC7"/>
    <mergeCell ref="FNP7:FNS7"/>
    <mergeCell ref="FNT7:FNW7"/>
    <mergeCell ref="FNX7:FOA7"/>
    <mergeCell ref="FOB7:FOE7"/>
    <mergeCell ref="FOF7:FOI7"/>
    <mergeCell ref="FMV7:FMY7"/>
    <mergeCell ref="FMZ7:FNC7"/>
    <mergeCell ref="FND7:FNG7"/>
    <mergeCell ref="FNH7:FNK7"/>
    <mergeCell ref="FNL7:FNO7"/>
    <mergeCell ref="FMB7:FME7"/>
    <mergeCell ref="FMF7:FMI7"/>
    <mergeCell ref="FMJ7:FMM7"/>
    <mergeCell ref="FMN7:FMQ7"/>
    <mergeCell ref="FMR7:FMU7"/>
    <mergeCell ref="FRL7:FRO7"/>
    <mergeCell ref="FRP7:FRS7"/>
    <mergeCell ref="FRT7:FRW7"/>
    <mergeCell ref="FRX7:FSA7"/>
    <mergeCell ref="FSB7:FSE7"/>
    <mergeCell ref="FQR7:FQU7"/>
    <mergeCell ref="FQV7:FQY7"/>
    <mergeCell ref="FQZ7:FRC7"/>
    <mergeCell ref="FRD7:FRG7"/>
    <mergeCell ref="FRH7:FRK7"/>
    <mergeCell ref="FPX7:FQA7"/>
    <mergeCell ref="FQB7:FQE7"/>
    <mergeCell ref="FQF7:FQI7"/>
    <mergeCell ref="FQJ7:FQM7"/>
    <mergeCell ref="FQN7:FQQ7"/>
    <mergeCell ref="FPD7:FPG7"/>
    <mergeCell ref="FPH7:FPK7"/>
    <mergeCell ref="FPL7:FPO7"/>
    <mergeCell ref="FPP7:FPS7"/>
    <mergeCell ref="FPT7:FPW7"/>
    <mergeCell ref="FUN7:FUQ7"/>
    <mergeCell ref="FUR7:FUU7"/>
    <mergeCell ref="FUV7:FUY7"/>
    <mergeCell ref="FUZ7:FVC7"/>
    <mergeCell ref="FVD7:FVG7"/>
    <mergeCell ref="FTT7:FTW7"/>
    <mergeCell ref="FTX7:FUA7"/>
    <mergeCell ref="FUB7:FUE7"/>
    <mergeCell ref="FUF7:FUI7"/>
    <mergeCell ref="FUJ7:FUM7"/>
    <mergeCell ref="FSZ7:FTC7"/>
    <mergeCell ref="FTD7:FTG7"/>
    <mergeCell ref="FTH7:FTK7"/>
    <mergeCell ref="FTL7:FTO7"/>
    <mergeCell ref="FTP7:FTS7"/>
    <mergeCell ref="FSF7:FSI7"/>
    <mergeCell ref="FSJ7:FSM7"/>
    <mergeCell ref="FSN7:FSQ7"/>
    <mergeCell ref="FSR7:FSU7"/>
    <mergeCell ref="FSV7:FSY7"/>
    <mergeCell ref="FXP7:FXS7"/>
    <mergeCell ref="FXT7:FXW7"/>
    <mergeCell ref="FXX7:FYA7"/>
    <mergeCell ref="FYB7:FYE7"/>
    <mergeCell ref="FYF7:FYI7"/>
    <mergeCell ref="FWV7:FWY7"/>
    <mergeCell ref="FWZ7:FXC7"/>
    <mergeCell ref="FXD7:FXG7"/>
    <mergeCell ref="FXH7:FXK7"/>
    <mergeCell ref="FXL7:FXO7"/>
    <mergeCell ref="FWB7:FWE7"/>
    <mergeCell ref="FWF7:FWI7"/>
    <mergeCell ref="FWJ7:FWM7"/>
    <mergeCell ref="FWN7:FWQ7"/>
    <mergeCell ref="FWR7:FWU7"/>
    <mergeCell ref="FVH7:FVK7"/>
    <mergeCell ref="FVL7:FVO7"/>
    <mergeCell ref="FVP7:FVS7"/>
    <mergeCell ref="FVT7:FVW7"/>
    <mergeCell ref="FVX7:FWA7"/>
    <mergeCell ref="GAR7:GAU7"/>
    <mergeCell ref="GAV7:GAY7"/>
    <mergeCell ref="GAZ7:GBC7"/>
    <mergeCell ref="GBD7:GBG7"/>
    <mergeCell ref="GBH7:GBK7"/>
    <mergeCell ref="FZX7:GAA7"/>
    <mergeCell ref="GAB7:GAE7"/>
    <mergeCell ref="GAF7:GAI7"/>
    <mergeCell ref="GAJ7:GAM7"/>
    <mergeCell ref="GAN7:GAQ7"/>
    <mergeCell ref="FZD7:FZG7"/>
    <mergeCell ref="FZH7:FZK7"/>
    <mergeCell ref="FZL7:FZO7"/>
    <mergeCell ref="FZP7:FZS7"/>
    <mergeCell ref="FZT7:FZW7"/>
    <mergeCell ref="FYJ7:FYM7"/>
    <mergeCell ref="FYN7:FYQ7"/>
    <mergeCell ref="FYR7:FYU7"/>
    <mergeCell ref="FYV7:FYY7"/>
    <mergeCell ref="FYZ7:FZC7"/>
    <mergeCell ref="GDT7:GDW7"/>
    <mergeCell ref="GDX7:GEA7"/>
    <mergeCell ref="GEB7:GEE7"/>
    <mergeCell ref="GEF7:GEI7"/>
    <mergeCell ref="GEJ7:GEM7"/>
    <mergeCell ref="GCZ7:GDC7"/>
    <mergeCell ref="GDD7:GDG7"/>
    <mergeCell ref="GDH7:GDK7"/>
    <mergeCell ref="GDL7:GDO7"/>
    <mergeCell ref="GDP7:GDS7"/>
    <mergeCell ref="GCF7:GCI7"/>
    <mergeCell ref="GCJ7:GCM7"/>
    <mergeCell ref="GCN7:GCQ7"/>
    <mergeCell ref="GCR7:GCU7"/>
    <mergeCell ref="GCV7:GCY7"/>
    <mergeCell ref="GBL7:GBO7"/>
    <mergeCell ref="GBP7:GBS7"/>
    <mergeCell ref="GBT7:GBW7"/>
    <mergeCell ref="GBX7:GCA7"/>
    <mergeCell ref="GCB7:GCE7"/>
    <mergeCell ref="GGV7:GGY7"/>
    <mergeCell ref="GGZ7:GHC7"/>
    <mergeCell ref="GHD7:GHG7"/>
    <mergeCell ref="GHH7:GHK7"/>
    <mergeCell ref="GHL7:GHO7"/>
    <mergeCell ref="GGB7:GGE7"/>
    <mergeCell ref="GGF7:GGI7"/>
    <mergeCell ref="GGJ7:GGM7"/>
    <mergeCell ref="GGN7:GGQ7"/>
    <mergeCell ref="GGR7:GGU7"/>
    <mergeCell ref="GFH7:GFK7"/>
    <mergeCell ref="GFL7:GFO7"/>
    <mergeCell ref="GFP7:GFS7"/>
    <mergeCell ref="GFT7:GFW7"/>
    <mergeCell ref="GFX7:GGA7"/>
    <mergeCell ref="GEN7:GEQ7"/>
    <mergeCell ref="GER7:GEU7"/>
    <mergeCell ref="GEV7:GEY7"/>
    <mergeCell ref="GEZ7:GFC7"/>
    <mergeCell ref="GFD7:GFG7"/>
    <mergeCell ref="GJX7:GKA7"/>
    <mergeCell ref="GKB7:GKE7"/>
    <mergeCell ref="GKF7:GKI7"/>
    <mergeCell ref="GKJ7:GKM7"/>
    <mergeCell ref="GKN7:GKQ7"/>
    <mergeCell ref="GJD7:GJG7"/>
    <mergeCell ref="GJH7:GJK7"/>
    <mergeCell ref="GJL7:GJO7"/>
    <mergeCell ref="GJP7:GJS7"/>
    <mergeCell ref="GJT7:GJW7"/>
    <mergeCell ref="GIJ7:GIM7"/>
    <mergeCell ref="GIN7:GIQ7"/>
    <mergeCell ref="GIR7:GIU7"/>
    <mergeCell ref="GIV7:GIY7"/>
    <mergeCell ref="GIZ7:GJC7"/>
    <mergeCell ref="GHP7:GHS7"/>
    <mergeCell ref="GHT7:GHW7"/>
    <mergeCell ref="GHX7:GIA7"/>
    <mergeCell ref="GIB7:GIE7"/>
    <mergeCell ref="GIF7:GII7"/>
    <mergeCell ref="GMZ7:GNC7"/>
    <mergeCell ref="GND7:GNG7"/>
    <mergeCell ref="GNH7:GNK7"/>
    <mergeCell ref="GNL7:GNO7"/>
    <mergeCell ref="GNP7:GNS7"/>
    <mergeCell ref="GMF7:GMI7"/>
    <mergeCell ref="GMJ7:GMM7"/>
    <mergeCell ref="GMN7:GMQ7"/>
    <mergeCell ref="GMR7:GMU7"/>
    <mergeCell ref="GMV7:GMY7"/>
    <mergeCell ref="GLL7:GLO7"/>
    <mergeCell ref="GLP7:GLS7"/>
    <mergeCell ref="GLT7:GLW7"/>
    <mergeCell ref="GLX7:GMA7"/>
    <mergeCell ref="GMB7:GME7"/>
    <mergeCell ref="GKR7:GKU7"/>
    <mergeCell ref="GKV7:GKY7"/>
    <mergeCell ref="GKZ7:GLC7"/>
    <mergeCell ref="GLD7:GLG7"/>
    <mergeCell ref="GLH7:GLK7"/>
    <mergeCell ref="GQB7:GQE7"/>
    <mergeCell ref="GQF7:GQI7"/>
    <mergeCell ref="GQJ7:GQM7"/>
    <mergeCell ref="GQN7:GQQ7"/>
    <mergeCell ref="GQR7:GQU7"/>
    <mergeCell ref="GPH7:GPK7"/>
    <mergeCell ref="GPL7:GPO7"/>
    <mergeCell ref="GPP7:GPS7"/>
    <mergeCell ref="GPT7:GPW7"/>
    <mergeCell ref="GPX7:GQA7"/>
    <mergeCell ref="GON7:GOQ7"/>
    <mergeCell ref="GOR7:GOU7"/>
    <mergeCell ref="GOV7:GOY7"/>
    <mergeCell ref="GOZ7:GPC7"/>
    <mergeCell ref="GPD7:GPG7"/>
    <mergeCell ref="GNT7:GNW7"/>
    <mergeCell ref="GNX7:GOA7"/>
    <mergeCell ref="GOB7:GOE7"/>
    <mergeCell ref="GOF7:GOI7"/>
    <mergeCell ref="GOJ7:GOM7"/>
    <mergeCell ref="GTD7:GTG7"/>
    <mergeCell ref="GTH7:GTK7"/>
    <mergeCell ref="GTL7:GTO7"/>
    <mergeCell ref="GTP7:GTS7"/>
    <mergeCell ref="GTT7:GTW7"/>
    <mergeCell ref="GSJ7:GSM7"/>
    <mergeCell ref="GSN7:GSQ7"/>
    <mergeCell ref="GSR7:GSU7"/>
    <mergeCell ref="GSV7:GSY7"/>
    <mergeCell ref="GSZ7:GTC7"/>
    <mergeCell ref="GRP7:GRS7"/>
    <mergeCell ref="GRT7:GRW7"/>
    <mergeCell ref="GRX7:GSA7"/>
    <mergeCell ref="GSB7:GSE7"/>
    <mergeCell ref="GSF7:GSI7"/>
    <mergeCell ref="GQV7:GQY7"/>
    <mergeCell ref="GQZ7:GRC7"/>
    <mergeCell ref="GRD7:GRG7"/>
    <mergeCell ref="GRH7:GRK7"/>
    <mergeCell ref="GRL7:GRO7"/>
    <mergeCell ref="GWF7:GWI7"/>
    <mergeCell ref="GWJ7:GWM7"/>
    <mergeCell ref="GWN7:GWQ7"/>
    <mergeCell ref="GWR7:GWU7"/>
    <mergeCell ref="GWV7:GWY7"/>
    <mergeCell ref="GVL7:GVO7"/>
    <mergeCell ref="GVP7:GVS7"/>
    <mergeCell ref="GVT7:GVW7"/>
    <mergeCell ref="GVX7:GWA7"/>
    <mergeCell ref="GWB7:GWE7"/>
    <mergeCell ref="GUR7:GUU7"/>
    <mergeCell ref="GUV7:GUY7"/>
    <mergeCell ref="GUZ7:GVC7"/>
    <mergeCell ref="GVD7:GVG7"/>
    <mergeCell ref="GVH7:GVK7"/>
    <mergeCell ref="GTX7:GUA7"/>
    <mergeCell ref="GUB7:GUE7"/>
    <mergeCell ref="GUF7:GUI7"/>
    <mergeCell ref="GUJ7:GUM7"/>
    <mergeCell ref="GUN7:GUQ7"/>
    <mergeCell ref="GZH7:GZK7"/>
    <mergeCell ref="GZL7:GZO7"/>
    <mergeCell ref="GZP7:GZS7"/>
    <mergeCell ref="GZT7:GZW7"/>
    <mergeCell ref="GZX7:HAA7"/>
    <mergeCell ref="GYN7:GYQ7"/>
    <mergeCell ref="GYR7:GYU7"/>
    <mergeCell ref="GYV7:GYY7"/>
    <mergeCell ref="GYZ7:GZC7"/>
    <mergeCell ref="GZD7:GZG7"/>
    <mergeCell ref="GXT7:GXW7"/>
    <mergeCell ref="GXX7:GYA7"/>
    <mergeCell ref="GYB7:GYE7"/>
    <mergeCell ref="GYF7:GYI7"/>
    <mergeCell ref="GYJ7:GYM7"/>
    <mergeCell ref="GWZ7:GXC7"/>
    <mergeCell ref="GXD7:GXG7"/>
    <mergeCell ref="GXH7:GXK7"/>
    <mergeCell ref="GXL7:GXO7"/>
    <mergeCell ref="GXP7:GXS7"/>
    <mergeCell ref="HCJ7:HCM7"/>
    <mergeCell ref="HCN7:HCQ7"/>
    <mergeCell ref="HCR7:HCU7"/>
    <mergeCell ref="HCV7:HCY7"/>
    <mergeCell ref="HCZ7:HDC7"/>
    <mergeCell ref="HBP7:HBS7"/>
    <mergeCell ref="HBT7:HBW7"/>
    <mergeCell ref="HBX7:HCA7"/>
    <mergeCell ref="HCB7:HCE7"/>
    <mergeCell ref="HCF7:HCI7"/>
    <mergeCell ref="HAV7:HAY7"/>
    <mergeCell ref="HAZ7:HBC7"/>
    <mergeCell ref="HBD7:HBG7"/>
    <mergeCell ref="HBH7:HBK7"/>
    <mergeCell ref="HBL7:HBO7"/>
    <mergeCell ref="HAB7:HAE7"/>
    <mergeCell ref="HAF7:HAI7"/>
    <mergeCell ref="HAJ7:HAM7"/>
    <mergeCell ref="HAN7:HAQ7"/>
    <mergeCell ref="HAR7:HAU7"/>
    <mergeCell ref="HFL7:HFO7"/>
    <mergeCell ref="HFP7:HFS7"/>
    <mergeCell ref="HFT7:HFW7"/>
    <mergeCell ref="HFX7:HGA7"/>
    <mergeCell ref="HGB7:HGE7"/>
    <mergeCell ref="HER7:HEU7"/>
    <mergeCell ref="HEV7:HEY7"/>
    <mergeCell ref="HEZ7:HFC7"/>
    <mergeCell ref="HFD7:HFG7"/>
    <mergeCell ref="HFH7:HFK7"/>
    <mergeCell ref="HDX7:HEA7"/>
    <mergeCell ref="HEB7:HEE7"/>
    <mergeCell ref="HEF7:HEI7"/>
    <mergeCell ref="HEJ7:HEM7"/>
    <mergeCell ref="HEN7:HEQ7"/>
    <mergeCell ref="HDD7:HDG7"/>
    <mergeCell ref="HDH7:HDK7"/>
    <mergeCell ref="HDL7:HDO7"/>
    <mergeCell ref="HDP7:HDS7"/>
    <mergeCell ref="HDT7:HDW7"/>
    <mergeCell ref="HIN7:HIQ7"/>
    <mergeCell ref="HIR7:HIU7"/>
    <mergeCell ref="HIV7:HIY7"/>
    <mergeCell ref="HIZ7:HJC7"/>
    <mergeCell ref="HJD7:HJG7"/>
    <mergeCell ref="HHT7:HHW7"/>
    <mergeCell ref="HHX7:HIA7"/>
    <mergeCell ref="HIB7:HIE7"/>
    <mergeCell ref="HIF7:HII7"/>
    <mergeCell ref="HIJ7:HIM7"/>
    <mergeCell ref="HGZ7:HHC7"/>
    <mergeCell ref="HHD7:HHG7"/>
    <mergeCell ref="HHH7:HHK7"/>
    <mergeCell ref="HHL7:HHO7"/>
    <mergeCell ref="HHP7:HHS7"/>
    <mergeCell ref="HGF7:HGI7"/>
    <mergeCell ref="HGJ7:HGM7"/>
    <mergeCell ref="HGN7:HGQ7"/>
    <mergeCell ref="HGR7:HGU7"/>
    <mergeCell ref="HGV7:HGY7"/>
    <mergeCell ref="HLP7:HLS7"/>
    <mergeCell ref="HLT7:HLW7"/>
    <mergeCell ref="HLX7:HMA7"/>
    <mergeCell ref="HMB7:HME7"/>
    <mergeCell ref="HMF7:HMI7"/>
    <mergeCell ref="HKV7:HKY7"/>
    <mergeCell ref="HKZ7:HLC7"/>
    <mergeCell ref="HLD7:HLG7"/>
    <mergeCell ref="HLH7:HLK7"/>
    <mergeCell ref="HLL7:HLO7"/>
    <mergeCell ref="HKB7:HKE7"/>
    <mergeCell ref="HKF7:HKI7"/>
    <mergeCell ref="HKJ7:HKM7"/>
    <mergeCell ref="HKN7:HKQ7"/>
    <mergeCell ref="HKR7:HKU7"/>
    <mergeCell ref="HJH7:HJK7"/>
    <mergeCell ref="HJL7:HJO7"/>
    <mergeCell ref="HJP7:HJS7"/>
    <mergeCell ref="HJT7:HJW7"/>
    <mergeCell ref="HJX7:HKA7"/>
    <mergeCell ref="HOR7:HOU7"/>
    <mergeCell ref="HOV7:HOY7"/>
    <mergeCell ref="HOZ7:HPC7"/>
    <mergeCell ref="HPD7:HPG7"/>
    <mergeCell ref="HPH7:HPK7"/>
    <mergeCell ref="HNX7:HOA7"/>
    <mergeCell ref="HOB7:HOE7"/>
    <mergeCell ref="HOF7:HOI7"/>
    <mergeCell ref="HOJ7:HOM7"/>
    <mergeCell ref="HON7:HOQ7"/>
    <mergeCell ref="HND7:HNG7"/>
    <mergeCell ref="HNH7:HNK7"/>
    <mergeCell ref="HNL7:HNO7"/>
    <mergeCell ref="HNP7:HNS7"/>
    <mergeCell ref="HNT7:HNW7"/>
    <mergeCell ref="HMJ7:HMM7"/>
    <mergeCell ref="HMN7:HMQ7"/>
    <mergeCell ref="HMR7:HMU7"/>
    <mergeCell ref="HMV7:HMY7"/>
    <mergeCell ref="HMZ7:HNC7"/>
    <mergeCell ref="HRT7:HRW7"/>
    <mergeCell ref="HRX7:HSA7"/>
    <mergeCell ref="HSB7:HSE7"/>
    <mergeCell ref="HSF7:HSI7"/>
    <mergeCell ref="HSJ7:HSM7"/>
    <mergeCell ref="HQZ7:HRC7"/>
    <mergeCell ref="HRD7:HRG7"/>
    <mergeCell ref="HRH7:HRK7"/>
    <mergeCell ref="HRL7:HRO7"/>
    <mergeCell ref="HRP7:HRS7"/>
    <mergeCell ref="HQF7:HQI7"/>
    <mergeCell ref="HQJ7:HQM7"/>
    <mergeCell ref="HQN7:HQQ7"/>
    <mergeCell ref="HQR7:HQU7"/>
    <mergeCell ref="HQV7:HQY7"/>
    <mergeCell ref="HPL7:HPO7"/>
    <mergeCell ref="HPP7:HPS7"/>
    <mergeCell ref="HPT7:HPW7"/>
    <mergeCell ref="HPX7:HQA7"/>
    <mergeCell ref="HQB7:HQE7"/>
    <mergeCell ref="HUV7:HUY7"/>
    <mergeCell ref="HUZ7:HVC7"/>
    <mergeCell ref="HVD7:HVG7"/>
    <mergeCell ref="HVH7:HVK7"/>
    <mergeCell ref="HVL7:HVO7"/>
    <mergeCell ref="HUB7:HUE7"/>
    <mergeCell ref="HUF7:HUI7"/>
    <mergeCell ref="HUJ7:HUM7"/>
    <mergeCell ref="HUN7:HUQ7"/>
    <mergeCell ref="HUR7:HUU7"/>
    <mergeCell ref="HTH7:HTK7"/>
    <mergeCell ref="HTL7:HTO7"/>
    <mergeCell ref="HTP7:HTS7"/>
    <mergeCell ref="HTT7:HTW7"/>
    <mergeCell ref="HTX7:HUA7"/>
    <mergeCell ref="HSN7:HSQ7"/>
    <mergeCell ref="HSR7:HSU7"/>
    <mergeCell ref="HSV7:HSY7"/>
    <mergeCell ref="HSZ7:HTC7"/>
    <mergeCell ref="HTD7:HTG7"/>
    <mergeCell ref="HXX7:HYA7"/>
    <mergeCell ref="HYB7:HYE7"/>
    <mergeCell ref="HYF7:HYI7"/>
    <mergeCell ref="HYJ7:HYM7"/>
    <mergeCell ref="HYN7:HYQ7"/>
    <mergeCell ref="HXD7:HXG7"/>
    <mergeCell ref="HXH7:HXK7"/>
    <mergeCell ref="HXL7:HXO7"/>
    <mergeCell ref="HXP7:HXS7"/>
    <mergeCell ref="HXT7:HXW7"/>
    <mergeCell ref="HWJ7:HWM7"/>
    <mergeCell ref="HWN7:HWQ7"/>
    <mergeCell ref="HWR7:HWU7"/>
    <mergeCell ref="HWV7:HWY7"/>
    <mergeCell ref="HWZ7:HXC7"/>
    <mergeCell ref="HVP7:HVS7"/>
    <mergeCell ref="HVT7:HVW7"/>
    <mergeCell ref="HVX7:HWA7"/>
    <mergeCell ref="HWB7:HWE7"/>
    <mergeCell ref="HWF7:HWI7"/>
    <mergeCell ref="IAZ7:IBC7"/>
    <mergeCell ref="IBD7:IBG7"/>
    <mergeCell ref="IBH7:IBK7"/>
    <mergeCell ref="IBL7:IBO7"/>
    <mergeCell ref="IBP7:IBS7"/>
    <mergeCell ref="IAF7:IAI7"/>
    <mergeCell ref="IAJ7:IAM7"/>
    <mergeCell ref="IAN7:IAQ7"/>
    <mergeCell ref="IAR7:IAU7"/>
    <mergeCell ref="IAV7:IAY7"/>
    <mergeCell ref="HZL7:HZO7"/>
    <mergeCell ref="HZP7:HZS7"/>
    <mergeCell ref="HZT7:HZW7"/>
    <mergeCell ref="HZX7:IAA7"/>
    <mergeCell ref="IAB7:IAE7"/>
    <mergeCell ref="HYR7:HYU7"/>
    <mergeCell ref="HYV7:HYY7"/>
    <mergeCell ref="HYZ7:HZC7"/>
    <mergeCell ref="HZD7:HZG7"/>
    <mergeCell ref="HZH7:HZK7"/>
    <mergeCell ref="IEB7:IEE7"/>
    <mergeCell ref="IEF7:IEI7"/>
    <mergeCell ref="IEJ7:IEM7"/>
    <mergeCell ref="IEN7:IEQ7"/>
    <mergeCell ref="IER7:IEU7"/>
    <mergeCell ref="IDH7:IDK7"/>
    <mergeCell ref="IDL7:IDO7"/>
    <mergeCell ref="IDP7:IDS7"/>
    <mergeCell ref="IDT7:IDW7"/>
    <mergeCell ref="IDX7:IEA7"/>
    <mergeCell ref="ICN7:ICQ7"/>
    <mergeCell ref="ICR7:ICU7"/>
    <mergeCell ref="ICV7:ICY7"/>
    <mergeCell ref="ICZ7:IDC7"/>
    <mergeCell ref="IDD7:IDG7"/>
    <mergeCell ref="IBT7:IBW7"/>
    <mergeCell ref="IBX7:ICA7"/>
    <mergeCell ref="ICB7:ICE7"/>
    <mergeCell ref="ICF7:ICI7"/>
    <mergeCell ref="ICJ7:ICM7"/>
    <mergeCell ref="IHD7:IHG7"/>
    <mergeCell ref="IHH7:IHK7"/>
    <mergeCell ref="IHL7:IHO7"/>
    <mergeCell ref="IHP7:IHS7"/>
    <mergeCell ref="IHT7:IHW7"/>
    <mergeCell ref="IGJ7:IGM7"/>
    <mergeCell ref="IGN7:IGQ7"/>
    <mergeCell ref="IGR7:IGU7"/>
    <mergeCell ref="IGV7:IGY7"/>
    <mergeCell ref="IGZ7:IHC7"/>
    <mergeCell ref="IFP7:IFS7"/>
    <mergeCell ref="IFT7:IFW7"/>
    <mergeCell ref="IFX7:IGA7"/>
    <mergeCell ref="IGB7:IGE7"/>
    <mergeCell ref="IGF7:IGI7"/>
    <mergeCell ref="IEV7:IEY7"/>
    <mergeCell ref="IEZ7:IFC7"/>
    <mergeCell ref="IFD7:IFG7"/>
    <mergeCell ref="IFH7:IFK7"/>
    <mergeCell ref="IFL7:IFO7"/>
    <mergeCell ref="IKF7:IKI7"/>
    <mergeCell ref="IKJ7:IKM7"/>
    <mergeCell ref="IKN7:IKQ7"/>
    <mergeCell ref="IKR7:IKU7"/>
    <mergeCell ref="IKV7:IKY7"/>
    <mergeCell ref="IJL7:IJO7"/>
    <mergeCell ref="IJP7:IJS7"/>
    <mergeCell ref="IJT7:IJW7"/>
    <mergeCell ref="IJX7:IKA7"/>
    <mergeCell ref="IKB7:IKE7"/>
    <mergeCell ref="IIR7:IIU7"/>
    <mergeCell ref="IIV7:IIY7"/>
    <mergeCell ref="IIZ7:IJC7"/>
    <mergeCell ref="IJD7:IJG7"/>
    <mergeCell ref="IJH7:IJK7"/>
    <mergeCell ref="IHX7:IIA7"/>
    <mergeCell ref="IIB7:IIE7"/>
    <mergeCell ref="IIF7:III7"/>
    <mergeCell ref="IIJ7:IIM7"/>
    <mergeCell ref="IIN7:IIQ7"/>
    <mergeCell ref="INH7:INK7"/>
    <mergeCell ref="INL7:INO7"/>
    <mergeCell ref="INP7:INS7"/>
    <mergeCell ref="INT7:INW7"/>
    <mergeCell ref="INX7:IOA7"/>
    <mergeCell ref="IMN7:IMQ7"/>
    <mergeCell ref="IMR7:IMU7"/>
    <mergeCell ref="IMV7:IMY7"/>
    <mergeCell ref="IMZ7:INC7"/>
    <mergeCell ref="IND7:ING7"/>
    <mergeCell ref="ILT7:ILW7"/>
    <mergeCell ref="ILX7:IMA7"/>
    <mergeCell ref="IMB7:IME7"/>
    <mergeCell ref="IMF7:IMI7"/>
    <mergeCell ref="IMJ7:IMM7"/>
    <mergeCell ref="IKZ7:ILC7"/>
    <mergeCell ref="ILD7:ILG7"/>
    <mergeCell ref="ILH7:ILK7"/>
    <mergeCell ref="ILL7:ILO7"/>
    <mergeCell ref="ILP7:ILS7"/>
    <mergeCell ref="IQJ7:IQM7"/>
    <mergeCell ref="IQN7:IQQ7"/>
    <mergeCell ref="IQR7:IQU7"/>
    <mergeCell ref="IQV7:IQY7"/>
    <mergeCell ref="IQZ7:IRC7"/>
    <mergeCell ref="IPP7:IPS7"/>
    <mergeCell ref="IPT7:IPW7"/>
    <mergeCell ref="IPX7:IQA7"/>
    <mergeCell ref="IQB7:IQE7"/>
    <mergeCell ref="IQF7:IQI7"/>
    <mergeCell ref="IOV7:IOY7"/>
    <mergeCell ref="IOZ7:IPC7"/>
    <mergeCell ref="IPD7:IPG7"/>
    <mergeCell ref="IPH7:IPK7"/>
    <mergeCell ref="IPL7:IPO7"/>
    <mergeCell ref="IOB7:IOE7"/>
    <mergeCell ref="IOF7:IOI7"/>
    <mergeCell ref="IOJ7:IOM7"/>
    <mergeCell ref="ION7:IOQ7"/>
    <mergeCell ref="IOR7:IOU7"/>
    <mergeCell ref="ITL7:ITO7"/>
    <mergeCell ref="ITP7:ITS7"/>
    <mergeCell ref="ITT7:ITW7"/>
    <mergeCell ref="ITX7:IUA7"/>
    <mergeCell ref="IUB7:IUE7"/>
    <mergeCell ref="ISR7:ISU7"/>
    <mergeCell ref="ISV7:ISY7"/>
    <mergeCell ref="ISZ7:ITC7"/>
    <mergeCell ref="ITD7:ITG7"/>
    <mergeCell ref="ITH7:ITK7"/>
    <mergeCell ref="IRX7:ISA7"/>
    <mergeCell ref="ISB7:ISE7"/>
    <mergeCell ref="ISF7:ISI7"/>
    <mergeCell ref="ISJ7:ISM7"/>
    <mergeCell ref="ISN7:ISQ7"/>
    <mergeCell ref="IRD7:IRG7"/>
    <mergeCell ref="IRH7:IRK7"/>
    <mergeCell ref="IRL7:IRO7"/>
    <mergeCell ref="IRP7:IRS7"/>
    <mergeCell ref="IRT7:IRW7"/>
    <mergeCell ref="IWN7:IWQ7"/>
    <mergeCell ref="IWR7:IWU7"/>
    <mergeCell ref="IWV7:IWY7"/>
    <mergeCell ref="IWZ7:IXC7"/>
    <mergeCell ref="IXD7:IXG7"/>
    <mergeCell ref="IVT7:IVW7"/>
    <mergeCell ref="IVX7:IWA7"/>
    <mergeCell ref="IWB7:IWE7"/>
    <mergeCell ref="IWF7:IWI7"/>
    <mergeCell ref="IWJ7:IWM7"/>
    <mergeCell ref="IUZ7:IVC7"/>
    <mergeCell ref="IVD7:IVG7"/>
    <mergeCell ref="IVH7:IVK7"/>
    <mergeCell ref="IVL7:IVO7"/>
    <mergeCell ref="IVP7:IVS7"/>
    <mergeCell ref="IUF7:IUI7"/>
    <mergeCell ref="IUJ7:IUM7"/>
    <mergeCell ref="IUN7:IUQ7"/>
    <mergeCell ref="IUR7:IUU7"/>
    <mergeCell ref="IUV7:IUY7"/>
    <mergeCell ref="IZP7:IZS7"/>
    <mergeCell ref="IZT7:IZW7"/>
    <mergeCell ref="IZX7:JAA7"/>
    <mergeCell ref="JAB7:JAE7"/>
    <mergeCell ref="JAF7:JAI7"/>
    <mergeCell ref="IYV7:IYY7"/>
    <mergeCell ref="IYZ7:IZC7"/>
    <mergeCell ref="IZD7:IZG7"/>
    <mergeCell ref="IZH7:IZK7"/>
    <mergeCell ref="IZL7:IZO7"/>
    <mergeCell ref="IYB7:IYE7"/>
    <mergeCell ref="IYF7:IYI7"/>
    <mergeCell ref="IYJ7:IYM7"/>
    <mergeCell ref="IYN7:IYQ7"/>
    <mergeCell ref="IYR7:IYU7"/>
    <mergeCell ref="IXH7:IXK7"/>
    <mergeCell ref="IXL7:IXO7"/>
    <mergeCell ref="IXP7:IXS7"/>
    <mergeCell ref="IXT7:IXW7"/>
    <mergeCell ref="IXX7:IYA7"/>
    <mergeCell ref="JCR7:JCU7"/>
    <mergeCell ref="JCV7:JCY7"/>
    <mergeCell ref="JCZ7:JDC7"/>
    <mergeCell ref="JDD7:JDG7"/>
    <mergeCell ref="JDH7:JDK7"/>
    <mergeCell ref="JBX7:JCA7"/>
    <mergeCell ref="JCB7:JCE7"/>
    <mergeCell ref="JCF7:JCI7"/>
    <mergeCell ref="JCJ7:JCM7"/>
    <mergeCell ref="JCN7:JCQ7"/>
    <mergeCell ref="JBD7:JBG7"/>
    <mergeCell ref="JBH7:JBK7"/>
    <mergeCell ref="JBL7:JBO7"/>
    <mergeCell ref="JBP7:JBS7"/>
    <mergeCell ref="JBT7:JBW7"/>
    <mergeCell ref="JAJ7:JAM7"/>
    <mergeCell ref="JAN7:JAQ7"/>
    <mergeCell ref="JAR7:JAU7"/>
    <mergeCell ref="JAV7:JAY7"/>
    <mergeCell ref="JAZ7:JBC7"/>
    <mergeCell ref="JFT7:JFW7"/>
    <mergeCell ref="JFX7:JGA7"/>
    <mergeCell ref="JGB7:JGE7"/>
    <mergeCell ref="JGF7:JGI7"/>
    <mergeCell ref="JGJ7:JGM7"/>
    <mergeCell ref="JEZ7:JFC7"/>
    <mergeCell ref="JFD7:JFG7"/>
    <mergeCell ref="JFH7:JFK7"/>
    <mergeCell ref="JFL7:JFO7"/>
    <mergeCell ref="JFP7:JFS7"/>
    <mergeCell ref="JEF7:JEI7"/>
    <mergeCell ref="JEJ7:JEM7"/>
    <mergeCell ref="JEN7:JEQ7"/>
    <mergeCell ref="JER7:JEU7"/>
    <mergeCell ref="JEV7:JEY7"/>
    <mergeCell ref="JDL7:JDO7"/>
    <mergeCell ref="JDP7:JDS7"/>
    <mergeCell ref="JDT7:JDW7"/>
    <mergeCell ref="JDX7:JEA7"/>
    <mergeCell ref="JEB7:JEE7"/>
    <mergeCell ref="JIV7:JIY7"/>
    <mergeCell ref="JIZ7:JJC7"/>
    <mergeCell ref="JJD7:JJG7"/>
    <mergeCell ref="JJH7:JJK7"/>
    <mergeCell ref="JJL7:JJO7"/>
    <mergeCell ref="JIB7:JIE7"/>
    <mergeCell ref="JIF7:JII7"/>
    <mergeCell ref="JIJ7:JIM7"/>
    <mergeCell ref="JIN7:JIQ7"/>
    <mergeCell ref="JIR7:JIU7"/>
    <mergeCell ref="JHH7:JHK7"/>
    <mergeCell ref="JHL7:JHO7"/>
    <mergeCell ref="JHP7:JHS7"/>
    <mergeCell ref="JHT7:JHW7"/>
    <mergeCell ref="JHX7:JIA7"/>
    <mergeCell ref="JGN7:JGQ7"/>
    <mergeCell ref="JGR7:JGU7"/>
    <mergeCell ref="JGV7:JGY7"/>
    <mergeCell ref="JGZ7:JHC7"/>
    <mergeCell ref="JHD7:JHG7"/>
    <mergeCell ref="JLX7:JMA7"/>
    <mergeCell ref="JMB7:JME7"/>
    <mergeCell ref="JMF7:JMI7"/>
    <mergeCell ref="JMJ7:JMM7"/>
    <mergeCell ref="JMN7:JMQ7"/>
    <mergeCell ref="JLD7:JLG7"/>
    <mergeCell ref="JLH7:JLK7"/>
    <mergeCell ref="JLL7:JLO7"/>
    <mergeCell ref="JLP7:JLS7"/>
    <mergeCell ref="JLT7:JLW7"/>
    <mergeCell ref="JKJ7:JKM7"/>
    <mergeCell ref="JKN7:JKQ7"/>
    <mergeCell ref="JKR7:JKU7"/>
    <mergeCell ref="JKV7:JKY7"/>
    <mergeCell ref="JKZ7:JLC7"/>
    <mergeCell ref="JJP7:JJS7"/>
    <mergeCell ref="JJT7:JJW7"/>
    <mergeCell ref="JJX7:JKA7"/>
    <mergeCell ref="JKB7:JKE7"/>
    <mergeCell ref="JKF7:JKI7"/>
    <mergeCell ref="JOZ7:JPC7"/>
    <mergeCell ref="JPD7:JPG7"/>
    <mergeCell ref="JPH7:JPK7"/>
    <mergeCell ref="JPL7:JPO7"/>
    <mergeCell ref="JPP7:JPS7"/>
    <mergeCell ref="JOF7:JOI7"/>
    <mergeCell ref="JOJ7:JOM7"/>
    <mergeCell ref="JON7:JOQ7"/>
    <mergeCell ref="JOR7:JOU7"/>
    <mergeCell ref="JOV7:JOY7"/>
    <mergeCell ref="JNL7:JNO7"/>
    <mergeCell ref="JNP7:JNS7"/>
    <mergeCell ref="JNT7:JNW7"/>
    <mergeCell ref="JNX7:JOA7"/>
    <mergeCell ref="JOB7:JOE7"/>
    <mergeCell ref="JMR7:JMU7"/>
    <mergeCell ref="JMV7:JMY7"/>
    <mergeCell ref="JMZ7:JNC7"/>
    <mergeCell ref="JND7:JNG7"/>
    <mergeCell ref="JNH7:JNK7"/>
    <mergeCell ref="JSB7:JSE7"/>
    <mergeCell ref="JSF7:JSI7"/>
    <mergeCell ref="JSJ7:JSM7"/>
    <mergeCell ref="JSN7:JSQ7"/>
    <mergeCell ref="JSR7:JSU7"/>
    <mergeCell ref="JRH7:JRK7"/>
    <mergeCell ref="JRL7:JRO7"/>
    <mergeCell ref="JRP7:JRS7"/>
    <mergeCell ref="JRT7:JRW7"/>
    <mergeCell ref="JRX7:JSA7"/>
    <mergeCell ref="JQN7:JQQ7"/>
    <mergeCell ref="JQR7:JQU7"/>
    <mergeCell ref="JQV7:JQY7"/>
    <mergeCell ref="JQZ7:JRC7"/>
    <mergeCell ref="JRD7:JRG7"/>
    <mergeCell ref="JPT7:JPW7"/>
    <mergeCell ref="JPX7:JQA7"/>
    <mergeCell ref="JQB7:JQE7"/>
    <mergeCell ref="JQF7:JQI7"/>
    <mergeCell ref="JQJ7:JQM7"/>
    <mergeCell ref="JVD7:JVG7"/>
    <mergeCell ref="JVH7:JVK7"/>
    <mergeCell ref="JVL7:JVO7"/>
    <mergeCell ref="JVP7:JVS7"/>
    <mergeCell ref="JVT7:JVW7"/>
    <mergeCell ref="JUJ7:JUM7"/>
    <mergeCell ref="JUN7:JUQ7"/>
    <mergeCell ref="JUR7:JUU7"/>
    <mergeCell ref="JUV7:JUY7"/>
    <mergeCell ref="JUZ7:JVC7"/>
    <mergeCell ref="JTP7:JTS7"/>
    <mergeCell ref="JTT7:JTW7"/>
    <mergeCell ref="JTX7:JUA7"/>
    <mergeCell ref="JUB7:JUE7"/>
    <mergeCell ref="JUF7:JUI7"/>
    <mergeCell ref="JSV7:JSY7"/>
    <mergeCell ref="JSZ7:JTC7"/>
    <mergeCell ref="JTD7:JTG7"/>
    <mergeCell ref="JTH7:JTK7"/>
    <mergeCell ref="JTL7:JTO7"/>
    <mergeCell ref="JYF7:JYI7"/>
    <mergeCell ref="JYJ7:JYM7"/>
    <mergeCell ref="JYN7:JYQ7"/>
    <mergeCell ref="JYR7:JYU7"/>
    <mergeCell ref="JYV7:JYY7"/>
    <mergeCell ref="JXL7:JXO7"/>
    <mergeCell ref="JXP7:JXS7"/>
    <mergeCell ref="JXT7:JXW7"/>
    <mergeCell ref="JXX7:JYA7"/>
    <mergeCell ref="JYB7:JYE7"/>
    <mergeCell ref="JWR7:JWU7"/>
    <mergeCell ref="JWV7:JWY7"/>
    <mergeCell ref="JWZ7:JXC7"/>
    <mergeCell ref="JXD7:JXG7"/>
    <mergeCell ref="JXH7:JXK7"/>
    <mergeCell ref="JVX7:JWA7"/>
    <mergeCell ref="JWB7:JWE7"/>
    <mergeCell ref="JWF7:JWI7"/>
    <mergeCell ref="JWJ7:JWM7"/>
    <mergeCell ref="JWN7:JWQ7"/>
    <mergeCell ref="KBH7:KBK7"/>
    <mergeCell ref="KBL7:KBO7"/>
    <mergeCell ref="KBP7:KBS7"/>
    <mergeCell ref="KBT7:KBW7"/>
    <mergeCell ref="KBX7:KCA7"/>
    <mergeCell ref="KAN7:KAQ7"/>
    <mergeCell ref="KAR7:KAU7"/>
    <mergeCell ref="KAV7:KAY7"/>
    <mergeCell ref="KAZ7:KBC7"/>
    <mergeCell ref="KBD7:KBG7"/>
    <mergeCell ref="JZT7:JZW7"/>
    <mergeCell ref="JZX7:KAA7"/>
    <mergeCell ref="KAB7:KAE7"/>
    <mergeCell ref="KAF7:KAI7"/>
    <mergeCell ref="KAJ7:KAM7"/>
    <mergeCell ref="JYZ7:JZC7"/>
    <mergeCell ref="JZD7:JZG7"/>
    <mergeCell ref="JZH7:JZK7"/>
    <mergeCell ref="JZL7:JZO7"/>
    <mergeCell ref="JZP7:JZS7"/>
    <mergeCell ref="KEJ7:KEM7"/>
    <mergeCell ref="KEN7:KEQ7"/>
    <mergeCell ref="KER7:KEU7"/>
    <mergeCell ref="KEV7:KEY7"/>
    <mergeCell ref="KEZ7:KFC7"/>
    <mergeCell ref="KDP7:KDS7"/>
    <mergeCell ref="KDT7:KDW7"/>
    <mergeCell ref="KDX7:KEA7"/>
    <mergeCell ref="KEB7:KEE7"/>
    <mergeCell ref="KEF7:KEI7"/>
    <mergeCell ref="KCV7:KCY7"/>
    <mergeCell ref="KCZ7:KDC7"/>
    <mergeCell ref="KDD7:KDG7"/>
    <mergeCell ref="KDH7:KDK7"/>
    <mergeCell ref="KDL7:KDO7"/>
    <mergeCell ref="KCB7:KCE7"/>
    <mergeCell ref="KCF7:KCI7"/>
    <mergeCell ref="KCJ7:KCM7"/>
    <mergeCell ref="KCN7:KCQ7"/>
    <mergeCell ref="KCR7:KCU7"/>
    <mergeCell ref="KHL7:KHO7"/>
    <mergeCell ref="KHP7:KHS7"/>
    <mergeCell ref="KHT7:KHW7"/>
    <mergeCell ref="KHX7:KIA7"/>
    <mergeCell ref="KIB7:KIE7"/>
    <mergeCell ref="KGR7:KGU7"/>
    <mergeCell ref="KGV7:KGY7"/>
    <mergeCell ref="KGZ7:KHC7"/>
    <mergeCell ref="KHD7:KHG7"/>
    <mergeCell ref="KHH7:KHK7"/>
    <mergeCell ref="KFX7:KGA7"/>
    <mergeCell ref="KGB7:KGE7"/>
    <mergeCell ref="KGF7:KGI7"/>
    <mergeCell ref="KGJ7:KGM7"/>
    <mergeCell ref="KGN7:KGQ7"/>
    <mergeCell ref="KFD7:KFG7"/>
    <mergeCell ref="KFH7:KFK7"/>
    <mergeCell ref="KFL7:KFO7"/>
    <mergeCell ref="KFP7:KFS7"/>
    <mergeCell ref="KFT7:KFW7"/>
    <mergeCell ref="KKN7:KKQ7"/>
    <mergeCell ref="KKR7:KKU7"/>
    <mergeCell ref="KKV7:KKY7"/>
    <mergeCell ref="KKZ7:KLC7"/>
    <mergeCell ref="KLD7:KLG7"/>
    <mergeCell ref="KJT7:KJW7"/>
    <mergeCell ref="KJX7:KKA7"/>
    <mergeCell ref="KKB7:KKE7"/>
    <mergeCell ref="KKF7:KKI7"/>
    <mergeCell ref="KKJ7:KKM7"/>
    <mergeCell ref="KIZ7:KJC7"/>
    <mergeCell ref="KJD7:KJG7"/>
    <mergeCell ref="KJH7:KJK7"/>
    <mergeCell ref="KJL7:KJO7"/>
    <mergeCell ref="KJP7:KJS7"/>
    <mergeCell ref="KIF7:KII7"/>
    <mergeCell ref="KIJ7:KIM7"/>
    <mergeCell ref="KIN7:KIQ7"/>
    <mergeCell ref="KIR7:KIU7"/>
    <mergeCell ref="KIV7:KIY7"/>
    <mergeCell ref="KNP7:KNS7"/>
    <mergeCell ref="KNT7:KNW7"/>
    <mergeCell ref="KNX7:KOA7"/>
    <mergeCell ref="KOB7:KOE7"/>
    <mergeCell ref="KOF7:KOI7"/>
    <mergeCell ref="KMV7:KMY7"/>
    <mergeCell ref="KMZ7:KNC7"/>
    <mergeCell ref="KND7:KNG7"/>
    <mergeCell ref="KNH7:KNK7"/>
    <mergeCell ref="KNL7:KNO7"/>
    <mergeCell ref="KMB7:KME7"/>
    <mergeCell ref="KMF7:KMI7"/>
    <mergeCell ref="KMJ7:KMM7"/>
    <mergeCell ref="KMN7:KMQ7"/>
    <mergeCell ref="KMR7:KMU7"/>
    <mergeCell ref="KLH7:KLK7"/>
    <mergeCell ref="KLL7:KLO7"/>
    <mergeCell ref="KLP7:KLS7"/>
    <mergeCell ref="KLT7:KLW7"/>
    <mergeCell ref="KLX7:KMA7"/>
    <mergeCell ref="KQR7:KQU7"/>
    <mergeCell ref="KQV7:KQY7"/>
    <mergeCell ref="KQZ7:KRC7"/>
    <mergeCell ref="KRD7:KRG7"/>
    <mergeCell ref="KRH7:KRK7"/>
    <mergeCell ref="KPX7:KQA7"/>
    <mergeCell ref="KQB7:KQE7"/>
    <mergeCell ref="KQF7:KQI7"/>
    <mergeCell ref="KQJ7:KQM7"/>
    <mergeCell ref="KQN7:KQQ7"/>
    <mergeCell ref="KPD7:KPG7"/>
    <mergeCell ref="KPH7:KPK7"/>
    <mergeCell ref="KPL7:KPO7"/>
    <mergeCell ref="KPP7:KPS7"/>
    <mergeCell ref="KPT7:KPW7"/>
    <mergeCell ref="KOJ7:KOM7"/>
    <mergeCell ref="KON7:KOQ7"/>
    <mergeCell ref="KOR7:KOU7"/>
    <mergeCell ref="KOV7:KOY7"/>
    <mergeCell ref="KOZ7:KPC7"/>
    <mergeCell ref="KTT7:KTW7"/>
    <mergeCell ref="KTX7:KUA7"/>
    <mergeCell ref="KUB7:KUE7"/>
    <mergeCell ref="KUF7:KUI7"/>
    <mergeCell ref="KUJ7:KUM7"/>
    <mergeCell ref="KSZ7:KTC7"/>
    <mergeCell ref="KTD7:KTG7"/>
    <mergeCell ref="KTH7:KTK7"/>
    <mergeCell ref="KTL7:KTO7"/>
    <mergeCell ref="KTP7:KTS7"/>
    <mergeCell ref="KSF7:KSI7"/>
    <mergeCell ref="KSJ7:KSM7"/>
    <mergeCell ref="KSN7:KSQ7"/>
    <mergeCell ref="KSR7:KSU7"/>
    <mergeCell ref="KSV7:KSY7"/>
    <mergeCell ref="KRL7:KRO7"/>
    <mergeCell ref="KRP7:KRS7"/>
    <mergeCell ref="KRT7:KRW7"/>
    <mergeCell ref="KRX7:KSA7"/>
    <mergeCell ref="KSB7:KSE7"/>
    <mergeCell ref="KWV7:KWY7"/>
    <mergeCell ref="KWZ7:KXC7"/>
    <mergeCell ref="KXD7:KXG7"/>
    <mergeCell ref="KXH7:KXK7"/>
    <mergeCell ref="KXL7:KXO7"/>
    <mergeCell ref="KWB7:KWE7"/>
    <mergeCell ref="KWF7:KWI7"/>
    <mergeCell ref="KWJ7:KWM7"/>
    <mergeCell ref="KWN7:KWQ7"/>
    <mergeCell ref="KWR7:KWU7"/>
    <mergeCell ref="KVH7:KVK7"/>
    <mergeCell ref="KVL7:KVO7"/>
    <mergeCell ref="KVP7:KVS7"/>
    <mergeCell ref="KVT7:KVW7"/>
    <mergeCell ref="KVX7:KWA7"/>
    <mergeCell ref="KUN7:KUQ7"/>
    <mergeCell ref="KUR7:KUU7"/>
    <mergeCell ref="KUV7:KUY7"/>
    <mergeCell ref="KUZ7:KVC7"/>
    <mergeCell ref="KVD7:KVG7"/>
    <mergeCell ref="KZX7:LAA7"/>
    <mergeCell ref="LAB7:LAE7"/>
    <mergeCell ref="LAF7:LAI7"/>
    <mergeCell ref="LAJ7:LAM7"/>
    <mergeCell ref="LAN7:LAQ7"/>
    <mergeCell ref="KZD7:KZG7"/>
    <mergeCell ref="KZH7:KZK7"/>
    <mergeCell ref="KZL7:KZO7"/>
    <mergeCell ref="KZP7:KZS7"/>
    <mergeCell ref="KZT7:KZW7"/>
    <mergeCell ref="KYJ7:KYM7"/>
    <mergeCell ref="KYN7:KYQ7"/>
    <mergeCell ref="KYR7:KYU7"/>
    <mergeCell ref="KYV7:KYY7"/>
    <mergeCell ref="KYZ7:KZC7"/>
    <mergeCell ref="KXP7:KXS7"/>
    <mergeCell ref="KXT7:KXW7"/>
    <mergeCell ref="KXX7:KYA7"/>
    <mergeCell ref="KYB7:KYE7"/>
    <mergeCell ref="KYF7:KYI7"/>
    <mergeCell ref="LCZ7:LDC7"/>
    <mergeCell ref="LDD7:LDG7"/>
    <mergeCell ref="LDH7:LDK7"/>
    <mergeCell ref="LDL7:LDO7"/>
    <mergeCell ref="LDP7:LDS7"/>
    <mergeCell ref="LCF7:LCI7"/>
    <mergeCell ref="LCJ7:LCM7"/>
    <mergeCell ref="LCN7:LCQ7"/>
    <mergeCell ref="LCR7:LCU7"/>
    <mergeCell ref="LCV7:LCY7"/>
    <mergeCell ref="LBL7:LBO7"/>
    <mergeCell ref="LBP7:LBS7"/>
    <mergeCell ref="LBT7:LBW7"/>
    <mergeCell ref="LBX7:LCA7"/>
    <mergeCell ref="LCB7:LCE7"/>
    <mergeCell ref="LAR7:LAU7"/>
    <mergeCell ref="LAV7:LAY7"/>
    <mergeCell ref="LAZ7:LBC7"/>
    <mergeCell ref="LBD7:LBG7"/>
    <mergeCell ref="LBH7:LBK7"/>
    <mergeCell ref="LGB7:LGE7"/>
    <mergeCell ref="LGF7:LGI7"/>
    <mergeCell ref="LGJ7:LGM7"/>
    <mergeCell ref="LGN7:LGQ7"/>
    <mergeCell ref="LGR7:LGU7"/>
    <mergeCell ref="LFH7:LFK7"/>
    <mergeCell ref="LFL7:LFO7"/>
    <mergeCell ref="LFP7:LFS7"/>
    <mergeCell ref="LFT7:LFW7"/>
    <mergeCell ref="LFX7:LGA7"/>
    <mergeCell ref="LEN7:LEQ7"/>
    <mergeCell ref="LER7:LEU7"/>
    <mergeCell ref="LEV7:LEY7"/>
    <mergeCell ref="LEZ7:LFC7"/>
    <mergeCell ref="LFD7:LFG7"/>
    <mergeCell ref="LDT7:LDW7"/>
    <mergeCell ref="LDX7:LEA7"/>
    <mergeCell ref="LEB7:LEE7"/>
    <mergeCell ref="LEF7:LEI7"/>
    <mergeCell ref="LEJ7:LEM7"/>
    <mergeCell ref="LJD7:LJG7"/>
    <mergeCell ref="LJH7:LJK7"/>
    <mergeCell ref="LJL7:LJO7"/>
    <mergeCell ref="LJP7:LJS7"/>
    <mergeCell ref="LJT7:LJW7"/>
    <mergeCell ref="LIJ7:LIM7"/>
    <mergeCell ref="LIN7:LIQ7"/>
    <mergeCell ref="LIR7:LIU7"/>
    <mergeCell ref="LIV7:LIY7"/>
    <mergeCell ref="LIZ7:LJC7"/>
    <mergeCell ref="LHP7:LHS7"/>
    <mergeCell ref="LHT7:LHW7"/>
    <mergeCell ref="LHX7:LIA7"/>
    <mergeCell ref="LIB7:LIE7"/>
    <mergeCell ref="LIF7:LII7"/>
    <mergeCell ref="LGV7:LGY7"/>
    <mergeCell ref="LGZ7:LHC7"/>
    <mergeCell ref="LHD7:LHG7"/>
    <mergeCell ref="LHH7:LHK7"/>
    <mergeCell ref="LHL7:LHO7"/>
    <mergeCell ref="LMF7:LMI7"/>
    <mergeCell ref="LMJ7:LMM7"/>
    <mergeCell ref="LMN7:LMQ7"/>
    <mergeCell ref="LMR7:LMU7"/>
    <mergeCell ref="LMV7:LMY7"/>
    <mergeCell ref="LLL7:LLO7"/>
    <mergeCell ref="LLP7:LLS7"/>
    <mergeCell ref="LLT7:LLW7"/>
    <mergeCell ref="LLX7:LMA7"/>
    <mergeCell ref="LMB7:LME7"/>
    <mergeCell ref="LKR7:LKU7"/>
    <mergeCell ref="LKV7:LKY7"/>
    <mergeCell ref="LKZ7:LLC7"/>
    <mergeCell ref="LLD7:LLG7"/>
    <mergeCell ref="LLH7:LLK7"/>
    <mergeCell ref="LJX7:LKA7"/>
    <mergeCell ref="LKB7:LKE7"/>
    <mergeCell ref="LKF7:LKI7"/>
    <mergeCell ref="LKJ7:LKM7"/>
    <mergeCell ref="LKN7:LKQ7"/>
    <mergeCell ref="LPH7:LPK7"/>
    <mergeCell ref="LPL7:LPO7"/>
    <mergeCell ref="LPP7:LPS7"/>
    <mergeCell ref="LPT7:LPW7"/>
    <mergeCell ref="LPX7:LQA7"/>
    <mergeCell ref="LON7:LOQ7"/>
    <mergeCell ref="LOR7:LOU7"/>
    <mergeCell ref="LOV7:LOY7"/>
    <mergeCell ref="LOZ7:LPC7"/>
    <mergeCell ref="LPD7:LPG7"/>
    <mergeCell ref="LNT7:LNW7"/>
    <mergeCell ref="LNX7:LOA7"/>
    <mergeCell ref="LOB7:LOE7"/>
    <mergeCell ref="LOF7:LOI7"/>
    <mergeCell ref="LOJ7:LOM7"/>
    <mergeCell ref="LMZ7:LNC7"/>
    <mergeCell ref="LND7:LNG7"/>
    <mergeCell ref="LNH7:LNK7"/>
    <mergeCell ref="LNL7:LNO7"/>
    <mergeCell ref="LNP7:LNS7"/>
    <mergeCell ref="LSJ7:LSM7"/>
    <mergeCell ref="LSN7:LSQ7"/>
    <mergeCell ref="LSR7:LSU7"/>
    <mergeCell ref="LSV7:LSY7"/>
    <mergeCell ref="LSZ7:LTC7"/>
    <mergeCell ref="LRP7:LRS7"/>
    <mergeCell ref="LRT7:LRW7"/>
    <mergeCell ref="LRX7:LSA7"/>
    <mergeCell ref="LSB7:LSE7"/>
    <mergeCell ref="LSF7:LSI7"/>
    <mergeCell ref="LQV7:LQY7"/>
    <mergeCell ref="LQZ7:LRC7"/>
    <mergeCell ref="LRD7:LRG7"/>
    <mergeCell ref="LRH7:LRK7"/>
    <mergeCell ref="LRL7:LRO7"/>
    <mergeCell ref="LQB7:LQE7"/>
    <mergeCell ref="LQF7:LQI7"/>
    <mergeCell ref="LQJ7:LQM7"/>
    <mergeCell ref="LQN7:LQQ7"/>
    <mergeCell ref="LQR7:LQU7"/>
    <mergeCell ref="LVL7:LVO7"/>
    <mergeCell ref="LVP7:LVS7"/>
    <mergeCell ref="LVT7:LVW7"/>
    <mergeCell ref="LVX7:LWA7"/>
    <mergeCell ref="LWB7:LWE7"/>
    <mergeCell ref="LUR7:LUU7"/>
    <mergeCell ref="LUV7:LUY7"/>
    <mergeCell ref="LUZ7:LVC7"/>
    <mergeCell ref="LVD7:LVG7"/>
    <mergeCell ref="LVH7:LVK7"/>
    <mergeCell ref="LTX7:LUA7"/>
    <mergeCell ref="LUB7:LUE7"/>
    <mergeCell ref="LUF7:LUI7"/>
    <mergeCell ref="LUJ7:LUM7"/>
    <mergeCell ref="LUN7:LUQ7"/>
    <mergeCell ref="LTD7:LTG7"/>
    <mergeCell ref="LTH7:LTK7"/>
    <mergeCell ref="LTL7:LTO7"/>
    <mergeCell ref="LTP7:LTS7"/>
    <mergeCell ref="LTT7:LTW7"/>
    <mergeCell ref="LYN7:LYQ7"/>
    <mergeCell ref="LYR7:LYU7"/>
    <mergeCell ref="LYV7:LYY7"/>
    <mergeCell ref="LYZ7:LZC7"/>
    <mergeCell ref="LZD7:LZG7"/>
    <mergeCell ref="LXT7:LXW7"/>
    <mergeCell ref="LXX7:LYA7"/>
    <mergeCell ref="LYB7:LYE7"/>
    <mergeCell ref="LYF7:LYI7"/>
    <mergeCell ref="LYJ7:LYM7"/>
    <mergeCell ref="LWZ7:LXC7"/>
    <mergeCell ref="LXD7:LXG7"/>
    <mergeCell ref="LXH7:LXK7"/>
    <mergeCell ref="LXL7:LXO7"/>
    <mergeCell ref="LXP7:LXS7"/>
    <mergeCell ref="LWF7:LWI7"/>
    <mergeCell ref="LWJ7:LWM7"/>
    <mergeCell ref="LWN7:LWQ7"/>
    <mergeCell ref="LWR7:LWU7"/>
    <mergeCell ref="LWV7:LWY7"/>
    <mergeCell ref="MBP7:MBS7"/>
    <mergeCell ref="MBT7:MBW7"/>
    <mergeCell ref="MBX7:MCA7"/>
    <mergeCell ref="MCB7:MCE7"/>
    <mergeCell ref="MCF7:MCI7"/>
    <mergeCell ref="MAV7:MAY7"/>
    <mergeCell ref="MAZ7:MBC7"/>
    <mergeCell ref="MBD7:MBG7"/>
    <mergeCell ref="MBH7:MBK7"/>
    <mergeCell ref="MBL7:MBO7"/>
    <mergeCell ref="MAB7:MAE7"/>
    <mergeCell ref="MAF7:MAI7"/>
    <mergeCell ref="MAJ7:MAM7"/>
    <mergeCell ref="MAN7:MAQ7"/>
    <mergeCell ref="MAR7:MAU7"/>
    <mergeCell ref="LZH7:LZK7"/>
    <mergeCell ref="LZL7:LZO7"/>
    <mergeCell ref="LZP7:LZS7"/>
    <mergeCell ref="LZT7:LZW7"/>
    <mergeCell ref="LZX7:MAA7"/>
    <mergeCell ref="MER7:MEU7"/>
    <mergeCell ref="MEV7:MEY7"/>
    <mergeCell ref="MEZ7:MFC7"/>
    <mergeCell ref="MFD7:MFG7"/>
    <mergeCell ref="MFH7:MFK7"/>
    <mergeCell ref="MDX7:MEA7"/>
    <mergeCell ref="MEB7:MEE7"/>
    <mergeCell ref="MEF7:MEI7"/>
    <mergeCell ref="MEJ7:MEM7"/>
    <mergeCell ref="MEN7:MEQ7"/>
    <mergeCell ref="MDD7:MDG7"/>
    <mergeCell ref="MDH7:MDK7"/>
    <mergeCell ref="MDL7:MDO7"/>
    <mergeCell ref="MDP7:MDS7"/>
    <mergeCell ref="MDT7:MDW7"/>
    <mergeCell ref="MCJ7:MCM7"/>
    <mergeCell ref="MCN7:MCQ7"/>
    <mergeCell ref="MCR7:MCU7"/>
    <mergeCell ref="MCV7:MCY7"/>
    <mergeCell ref="MCZ7:MDC7"/>
    <mergeCell ref="MHT7:MHW7"/>
    <mergeCell ref="MHX7:MIA7"/>
    <mergeCell ref="MIB7:MIE7"/>
    <mergeCell ref="MIF7:MII7"/>
    <mergeCell ref="MIJ7:MIM7"/>
    <mergeCell ref="MGZ7:MHC7"/>
    <mergeCell ref="MHD7:MHG7"/>
    <mergeCell ref="MHH7:MHK7"/>
    <mergeCell ref="MHL7:MHO7"/>
    <mergeCell ref="MHP7:MHS7"/>
    <mergeCell ref="MGF7:MGI7"/>
    <mergeCell ref="MGJ7:MGM7"/>
    <mergeCell ref="MGN7:MGQ7"/>
    <mergeCell ref="MGR7:MGU7"/>
    <mergeCell ref="MGV7:MGY7"/>
    <mergeCell ref="MFL7:MFO7"/>
    <mergeCell ref="MFP7:MFS7"/>
    <mergeCell ref="MFT7:MFW7"/>
    <mergeCell ref="MFX7:MGA7"/>
    <mergeCell ref="MGB7:MGE7"/>
    <mergeCell ref="MKV7:MKY7"/>
    <mergeCell ref="MKZ7:MLC7"/>
    <mergeCell ref="MLD7:MLG7"/>
    <mergeCell ref="MLH7:MLK7"/>
    <mergeCell ref="MLL7:MLO7"/>
    <mergeCell ref="MKB7:MKE7"/>
    <mergeCell ref="MKF7:MKI7"/>
    <mergeCell ref="MKJ7:MKM7"/>
    <mergeCell ref="MKN7:MKQ7"/>
    <mergeCell ref="MKR7:MKU7"/>
    <mergeCell ref="MJH7:MJK7"/>
    <mergeCell ref="MJL7:MJO7"/>
    <mergeCell ref="MJP7:MJS7"/>
    <mergeCell ref="MJT7:MJW7"/>
    <mergeCell ref="MJX7:MKA7"/>
    <mergeCell ref="MIN7:MIQ7"/>
    <mergeCell ref="MIR7:MIU7"/>
    <mergeCell ref="MIV7:MIY7"/>
    <mergeCell ref="MIZ7:MJC7"/>
    <mergeCell ref="MJD7:MJG7"/>
    <mergeCell ref="MNX7:MOA7"/>
    <mergeCell ref="MOB7:MOE7"/>
    <mergeCell ref="MOF7:MOI7"/>
    <mergeCell ref="MOJ7:MOM7"/>
    <mergeCell ref="MON7:MOQ7"/>
    <mergeCell ref="MND7:MNG7"/>
    <mergeCell ref="MNH7:MNK7"/>
    <mergeCell ref="MNL7:MNO7"/>
    <mergeCell ref="MNP7:MNS7"/>
    <mergeCell ref="MNT7:MNW7"/>
    <mergeCell ref="MMJ7:MMM7"/>
    <mergeCell ref="MMN7:MMQ7"/>
    <mergeCell ref="MMR7:MMU7"/>
    <mergeCell ref="MMV7:MMY7"/>
    <mergeCell ref="MMZ7:MNC7"/>
    <mergeCell ref="MLP7:MLS7"/>
    <mergeCell ref="MLT7:MLW7"/>
    <mergeCell ref="MLX7:MMA7"/>
    <mergeCell ref="MMB7:MME7"/>
    <mergeCell ref="MMF7:MMI7"/>
    <mergeCell ref="MQZ7:MRC7"/>
    <mergeCell ref="MRD7:MRG7"/>
    <mergeCell ref="MRH7:MRK7"/>
    <mergeCell ref="MRL7:MRO7"/>
    <mergeCell ref="MRP7:MRS7"/>
    <mergeCell ref="MQF7:MQI7"/>
    <mergeCell ref="MQJ7:MQM7"/>
    <mergeCell ref="MQN7:MQQ7"/>
    <mergeCell ref="MQR7:MQU7"/>
    <mergeCell ref="MQV7:MQY7"/>
    <mergeCell ref="MPL7:MPO7"/>
    <mergeCell ref="MPP7:MPS7"/>
    <mergeCell ref="MPT7:MPW7"/>
    <mergeCell ref="MPX7:MQA7"/>
    <mergeCell ref="MQB7:MQE7"/>
    <mergeCell ref="MOR7:MOU7"/>
    <mergeCell ref="MOV7:MOY7"/>
    <mergeCell ref="MOZ7:MPC7"/>
    <mergeCell ref="MPD7:MPG7"/>
    <mergeCell ref="MPH7:MPK7"/>
    <mergeCell ref="MUB7:MUE7"/>
    <mergeCell ref="MUF7:MUI7"/>
    <mergeCell ref="MUJ7:MUM7"/>
    <mergeCell ref="MUN7:MUQ7"/>
    <mergeCell ref="MUR7:MUU7"/>
    <mergeCell ref="MTH7:MTK7"/>
    <mergeCell ref="MTL7:MTO7"/>
    <mergeCell ref="MTP7:MTS7"/>
    <mergeCell ref="MTT7:MTW7"/>
    <mergeCell ref="MTX7:MUA7"/>
    <mergeCell ref="MSN7:MSQ7"/>
    <mergeCell ref="MSR7:MSU7"/>
    <mergeCell ref="MSV7:MSY7"/>
    <mergeCell ref="MSZ7:MTC7"/>
    <mergeCell ref="MTD7:MTG7"/>
    <mergeCell ref="MRT7:MRW7"/>
    <mergeCell ref="MRX7:MSA7"/>
    <mergeCell ref="MSB7:MSE7"/>
    <mergeCell ref="MSF7:MSI7"/>
    <mergeCell ref="MSJ7:MSM7"/>
    <mergeCell ref="MXD7:MXG7"/>
    <mergeCell ref="MXH7:MXK7"/>
    <mergeCell ref="MXL7:MXO7"/>
    <mergeCell ref="MXP7:MXS7"/>
    <mergeCell ref="MXT7:MXW7"/>
    <mergeCell ref="MWJ7:MWM7"/>
    <mergeCell ref="MWN7:MWQ7"/>
    <mergeCell ref="MWR7:MWU7"/>
    <mergeCell ref="MWV7:MWY7"/>
    <mergeCell ref="MWZ7:MXC7"/>
    <mergeCell ref="MVP7:MVS7"/>
    <mergeCell ref="MVT7:MVW7"/>
    <mergeCell ref="MVX7:MWA7"/>
    <mergeCell ref="MWB7:MWE7"/>
    <mergeCell ref="MWF7:MWI7"/>
    <mergeCell ref="MUV7:MUY7"/>
    <mergeCell ref="MUZ7:MVC7"/>
    <mergeCell ref="MVD7:MVG7"/>
    <mergeCell ref="MVH7:MVK7"/>
    <mergeCell ref="MVL7:MVO7"/>
    <mergeCell ref="NAF7:NAI7"/>
    <mergeCell ref="NAJ7:NAM7"/>
    <mergeCell ref="NAN7:NAQ7"/>
    <mergeCell ref="NAR7:NAU7"/>
    <mergeCell ref="NAV7:NAY7"/>
    <mergeCell ref="MZL7:MZO7"/>
    <mergeCell ref="MZP7:MZS7"/>
    <mergeCell ref="MZT7:MZW7"/>
    <mergeCell ref="MZX7:NAA7"/>
    <mergeCell ref="NAB7:NAE7"/>
    <mergeCell ref="MYR7:MYU7"/>
    <mergeCell ref="MYV7:MYY7"/>
    <mergeCell ref="MYZ7:MZC7"/>
    <mergeCell ref="MZD7:MZG7"/>
    <mergeCell ref="MZH7:MZK7"/>
    <mergeCell ref="MXX7:MYA7"/>
    <mergeCell ref="MYB7:MYE7"/>
    <mergeCell ref="MYF7:MYI7"/>
    <mergeCell ref="MYJ7:MYM7"/>
    <mergeCell ref="MYN7:MYQ7"/>
    <mergeCell ref="NDH7:NDK7"/>
    <mergeCell ref="NDL7:NDO7"/>
    <mergeCell ref="NDP7:NDS7"/>
    <mergeCell ref="NDT7:NDW7"/>
    <mergeCell ref="NDX7:NEA7"/>
    <mergeCell ref="NCN7:NCQ7"/>
    <mergeCell ref="NCR7:NCU7"/>
    <mergeCell ref="NCV7:NCY7"/>
    <mergeCell ref="NCZ7:NDC7"/>
    <mergeCell ref="NDD7:NDG7"/>
    <mergeCell ref="NBT7:NBW7"/>
    <mergeCell ref="NBX7:NCA7"/>
    <mergeCell ref="NCB7:NCE7"/>
    <mergeCell ref="NCF7:NCI7"/>
    <mergeCell ref="NCJ7:NCM7"/>
    <mergeCell ref="NAZ7:NBC7"/>
    <mergeCell ref="NBD7:NBG7"/>
    <mergeCell ref="NBH7:NBK7"/>
    <mergeCell ref="NBL7:NBO7"/>
    <mergeCell ref="NBP7:NBS7"/>
    <mergeCell ref="NGJ7:NGM7"/>
    <mergeCell ref="NGN7:NGQ7"/>
    <mergeCell ref="NGR7:NGU7"/>
    <mergeCell ref="NGV7:NGY7"/>
    <mergeCell ref="NGZ7:NHC7"/>
    <mergeCell ref="NFP7:NFS7"/>
    <mergeCell ref="NFT7:NFW7"/>
    <mergeCell ref="NFX7:NGA7"/>
    <mergeCell ref="NGB7:NGE7"/>
    <mergeCell ref="NGF7:NGI7"/>
    <mergeCell ref="NEV7:NEY7"/>
    <mergeCell ref="NEZ7:NFC7"/>
    <mergeCell ref="NFD7:NFG7"/>
    <mergeCell ref="NFH7:NFK7"/>
    <mergeCell ref="NFL7:NFO7"/>
    <mergeCell ref="NEB7:NEE7"/>
    <mergeCell ref="NEF7:NEI7"/>
    <mergeCell ref="NEJ7:NEM7"/>
    <mergeCell ref="NEN7:NEQ7"/>
    <mergeCell ref="NER7:NEU7"/>
    <mergeCell ref="NJL7:NJO7"/>
    <mergeCell ref="NJP7:NJS7"/>
    <mergeCell ref="NJT7:NJW7"/>
    <mergeCell ref="NJX7:NKA7"/>
    <mergeCell ref="NKB7:NKE7"/>
    <mergeCell ref="NIR7:NIU7"/>
    <mergeCell ref="NIV7:NIY7"/>
    <mergeCell ref="NIZ7:NJC7"/>
    <mergeCell ref="NJD7:NJG7"/>
    <mergeCell ref="NJH7:NJK7"/>
    <mergeCell ref="NHX7:NIA7"/>
    <mergeCell ref="NIB7:NIE7"/>
    <mergeCell ref="NIF7:NII7"/>
    <mergeCell ref="NIJ7:NIM7"/>
    <mergeCell ref="NIN7:NIQ7"/>
    <mergeCell ref="NHD7:NHG7"/>
    <mergeCell ref="NHH7:NHK7"/>
    <mergeCell ref="NHL7:NHO7"/>
    <mergeCell ref="NHP7:NHS7"/>
    <mergeCell ref="NHT7:NHW7"/>
    <mergeCell ref="NMN7:NMQ7"/>
    <mergeCell ref="NMR7:NMU7"/>
    <mergeCell ref="NMV7:NMY7"/>
    <mergeCell ref="NMZ7:NNC7"/>
    <mergeCell ref="NND7:NNG7"/>
    <mergeCell ref="NLT7:NLW7"/>
    <mergeCell ref="NLX7:NMA7"/>
    <mergeCell ref="NMB7:NME7"/>
    <mergeCell ref="NMF7:NMI7"/>
    <mergeCell ref="NMJ7:NMM7"/>
    <mergeCell ref="NKZ7:NLC7"/>
    <mergeCell ref="NLD7:NLG7"/>
    <mergeCell ref="NLH7:NLK7"/>
    <mergeCell ref="NLL7:NLO7"/>
    <mergeCell ref="NLP7:NLS7"/>
    <mergeCell ref="NKF7:NKI7"/>
    <mergeCell ref="NKJ7:NKM7"/>
    <mergeCell ref="NKN7:NKQ7"/>
    <mergeCell ref="NKR7:NKU7"/>
    <mergeCell ref="NKV7:NKY7"/>
    <mergeCell ref="NPP7:NPS7"/>
    <mergeCell ref="NPT7:NPW7"/>
    <mergeCell ref="NPX7:NQA7"/>
    <mergeCell ref="NQB7:NQE7"/>
    <mergeCell ref="NQF7:NQI7"/>
    <mergeCell ref="NOV7:NOY7"/>
    <mergeCell ref="NOZ7:NPC7"/>
    <mergeCell ref="NPD7:NPG7"/>
    <mergeCell ref="NPH7:NPK7"/>
    <mergeCell ref="NPL7:NPO7"/>
    <mergeCell ref="NOB7:NOE7"/>
    <mergeCell ref="NOF7:NOI7"/>
    <mergeCell ref="NOJ7:NOM7"/>
    <mergeCell ref="NON7:NOQ7"/>
    <mergeCell ref="NOR7:NOU7"/>
    <mergeCell ref="NNH7:NNK7"/>
    <mergeCell ref="NNL7:NNO7"/>
    <mergeCell ref="NNP7:NNS7"/>
    <mergeCell ref="NNT7:NNW7"/>
    <mergeCell ref="NNX7:NOA7"/>
    <mergeCell ref="NSR7:NSU7"/>
    <mergeCell ref="NSV7:NSY7"/>
    <mergeCell ref="NSZ7:NTC7"/>
    <mergeCell ref="NTD7:NTG7"/>
    <mergeCell ref="NTH7:NTK7"/>
    <mergeCell ref="NRX7:NSA7"/>
    <mergeCell ref="NSB7:NSE7"/>
    <mergeCell ref="NSF7:NSI7"/>
    <mergeCell ref="NSJ7:NSM7"/>
    <mergeCell ref="NSN7:NSQ7"/>
    <mergeCell ref="NRD7:NRG7"/>
    <mergeCell ref="NRH7:NRK7"/>
    <mergeCell ref="NRL7:NRO7"/>
    <mergeCell ref="NRP7:NRS7"/>
    <mergeCell ref="NRT7:NRW7"/>
    <mergeCell ref="NQJ7:NQM7"/>
    <mergeCell ref="NQN7:NQQ7"/>
    <mergeCell ref="NQR7:NQU7"/>
    <mergeCell ref="NQV7:NQY7"/>
    <mergeCell ref="NQZ7:NRC7"/>
    <mergeCell ref="NVT7:NVW7"/>
    <mergeCell ref="NVX7:NWA7"/>
    <mergeCell ref="NWB7:NWE7"/>
    <mergeCell ref="NWF7:NWI7"/>
    <mergeCell ref="NWJ7:NWM7"/>
    <mergeCell ref="NUZ7:NVC7"/>
    <mergeCell ref="NVD7:NVG7"/>
    <mergeCell ref="NVH7:NVK7"/>
    <mergeCell ref="NVL7:NVO7"/>
    <mergeCell ref="NVP7:NVS7"/>
    <mergeCell ref="NUF7:NUI7"/>
    <mergeCell ref="NUJ7:NUM7"/>
    <mergeCell ref="NUN7:NUQ7"/>
    <mergeCell ref="NUR7:NUU7"/>
    <mergeCell ref="NUV7:NUY7"/>
    <mergeCell ref="NTL7:NTO7"/>
    <mergeCell ref="NTP7:NTS7"/>
    <mergeCell ref="NTT7:NTW7"/>
    <mergeCell ref="NTX7:NUA7"/>
    <mergeCell ref="NUB7:NUE7"/>
    <mergeCell ref="NYV7:NYY7"/>
    <mergeCell ref="NYZ7:NZC7"/>
    <mergeCell ref="NZD7:NZG7"/>
    <mergeCell ref="NZH7:NZK7"/>
    <mergeCell ref="NZL7:NZO7"/>
    <mergeCell ref="NYB7:NYE7"/>
    <mergeCell ref="NYF7:NYI7"/>
    <mergeCell ref="NYJ7:NYM7"/>
    <mergeCell ref="NYN7:NYQ7"/>
    <mergeCell ref="NYR7:NYU7"/>
    <mergeCell ref="NXH7:NXK7"/>
    <mergeCell ref="NXL7:NXO7"/>
    <mergeCell ref="NXP7:NXS7"/>
    <mergeCell ref="NXT7:NXW7"/>
    <mergeCell ref="NXX7:NYA7"/>
    <mergeCell ref="NWN7:NWQ7"/>
    <mergeCell ref="NWR7:NWU7"/>
    <mergeCell ref="NWV7:NWY7"/>
    <mergeCell ref="NWZ7:NXC7"/>
    <mergeCell ref="NXD7:NXG7"/>
    <mergeCell ref="OBX7:OCA7"/>
    <mergeCell ref="OCB7:OCE7"/>
    <mergeCell ref="OCF7:OCI7"/>
    <mergeCell ref="OCJ7:OCM7"/>
    <mergeCell ref="OCN7:OCQ7"/>
    <mergeCell ref="OBD7:OBG7"/>
    <mergeCell ref="OBH7:OBK7"/>
    <mergeCell ref="OBL7:OBO7"/>
    <mergeCell ref="OBP7:OBS7"/>
    <mergeCell ref="OBT7:OBW7"/>
    <mergeCell ref="OAJ7:OAM7"/>
    <mergeCell ref="OAN7:OAQ7"/>
    <mergeCell ref="OAR7:OAU7"/>
    <mergeCell ref="OAV7:OAY7"/>
    <mergeCell ref="OAZ7:OBC7"/>
    <mergeCell ref="NZP7:NZS7"/>
    <mergeCell ref="NZT7:NZW7"/>
    <mergeCell ref="NZX7:OAA7"/>
    <mergeCell ref="OAB7:OAE7"/>
    <mergeCell ref="OAF7:OAI7"/>
    <mergeCell ref="OEZ7:OFC7"/>
    <mergeCell ref="OFD7:OFG7"/>
    <mergeCell ref="OFH7:OFK7"/>
    <mergeCell ref="OFL7:OFO7"/>
    <mergeCell ref="OFP7:OFS7"/>
    <mergeCell ref="OEF7:OEI7"/>
    <mergeCell ref="OEJ7:OEM7"/>
    <mergeCell ref="OEN7:OEQ7"/>
    <mergeCell ref="OER7:OEU7"/>
    <mergeCell ref="OEV7:OEY7"/>
    <mergeCell ref="ODL7:ODO7"/>
    <mergeCell ref="ODP7:ODS7"/>
    <mergeCell ref="ODT7:ODW7"/>
    <mergeCell ref="ODX7:OEA7"/>
    <mergeCell ref="OEB7:OEE7"/>
    <mergeCell ref="OCR7:OCU7"/>
    <mergeCell ref="OCV7:OCY7"/>
    <mergeCell ref="OCZ7:ODC7"/>
    <mergeCell ref="ODD7:ODG7"/>
    <mergeCell ref="ODH7:ODK7"/>
    <mergeCell ref="OIB7:OIE7"/>
    <mergeCell ref="OIF7:OII7"/>
    <mergeCell ref="OIJ7:OIM7"/>
    <mergeCell ref="OIN7:OIQ7"/>
    <mergeCell ref="OIR7:OIU7"/>
    <mergeCell ref="OHH7:OHK7"/>
    <mergeCell ref="OHL7:OHO7"/>
    <mergeCell ref="OHP7:OHS7"/>
    <mergeCell ref="OHT7:OHW7"/>
    <mergeCell ref="OHX7:OIA7"/>
    <mergeCell ref="OGN7:OGQ7"/>
    <mergeCell ref="OGR7:OGU7"/>
    <mergeCell ref="OGV7:OGY7"/>
    <mergeCell ref="OGZ7:OHC7"/>
    <mergeCell ref="OHD7:OHG7"/>
    <mergeCell ref="OFT7:OFW7"/>
    <mergeCell ref="OFX7:OGA7"/>
    <mergeCell ref="OGB7:OGE7"/>
    <mergeCell ref="OGF7:OGI7"/>
    <mergeCell ref="OGJ7:OGM7"/>
    <mergeCell ref="OLD7:OLG7"/>
    <mergeCell ref="OLH7:OLK7"/>
    <mergeCell ref="OLL7:OLO7"/>
    <mergeCell ref="OLP7:OLS7"/>
    <mergeCell ref="OLT7:OLW7"/>
    <mergeCell ref="OKJ7:OKM7"/>
    <mergeCell ref="OKN7:OKQ7"/>
    <mergeCell ref="OKR7:OKU7"/>
    <mergeCell ref="OKV7:OKY7"/>
    <mergeCell ref="OKZ7:OLC7"/>
    <mergeCell ref="OJP7:OJS7"/>
    <mergeCell ref="OJT7:OJW7"/>
    <mergeCell ref="OJX7:OKA7"/>
    <mergeCell ref="OKB7:OKE7"/>
    <mergeCell ref="OKF7:OKI7"/>
    <mergeCell ref="OIV7:OIY7"/>
    <mergeCell ref="OIZ7:OJC7"/>
    <mergeCell ref="OJD7:OJG7"/>
    <mergeCell ref="OJH7:OJK7"/>
    <mergeCell ref="OJL7:OJO7"/>
    <mergeCell ref="OOF7:OOI7"/>
    <mergeCell ref="OOJ7:OOM7"/>
    <mergeCell ref="OON7:OOQ7"/>
    <mergeCell ref="OOR7:OOU7"/>
    <mergeCell ref="OOV7:OOY7"/>
    <mergeCell ref="ONL7:ONO7"/>
    <mergeCell ref="ONP7:ONS7"/>
    <mergeCell ref="ONT7:ONW7"/>
    <mergeCell ref="ONX7:OOA7"/>
    <mergeCell ref="OOB7:OOE7"/>
    <mergeCell ref="OMR7:OMU7"/>
    <mergeCell ref="OMV7:OMY7"/>
    <mergeCell ref="OMZ7:ONC7"/>
    <mergeCell ref="OND7:ONG7"/>
    <mergeCell ref="ONH7:ONK7"/>
    <mergeCell ref="OLX7:OMA7"/>
    <mergeCell ref="OMB7:OME7"/>
    <mergeCell ref="OMF7:OMI7"/>
    <mergeCell ref="OMJ7:OMM7"/>
    <mergeCell ref="OMN7:OMQ7"/>
    <mergeCell ref="ORH7:ORK7"/>
    <mergeCell ref="ORL7:ORO7"/>
    <mergeCell ref="ORP7:ORS7"/>
    <mergeCell ref="ORT7:ORW7"/>
    <mergeCell ref="ORX7:OSA7"/>
    <mergeCell ref="OQN7:OQQ7"/>
    <mergeCell ref="OQR7:OQU7"/>
    <mergeCell ref="OQV7:OQY7"/>
    <mergeCell ref="OQZ7:ORC7"/>
    <mergeCell ref="ORD7:ORG7"/>
    <mergeCell ref="OPT7:OPW7"/>
    <mergeCell ref="OPX7:OQA7"/>
    <mergeCell ref="OQB7:OQE7"/>
    <mergeCell ref="OQF7:OQI7"/>
    <mergeCell ref="OQJ7:OQM7"/>
    <mergeCell ref="OOZ7:OPC7"/>
    <mergeCell ref="OPD7:OPG7"/>
    <mergeCell ref="OPH7:OPK7"/>
    <mergeCell ref="OPL7:OPO7"/>
    <mergeCell ref="OPP7:OPS7"/>
    <mergeCell ref="OUJ7:OUM7"/>
    <mergeCell ref="OUN7:OUQ7"/>
    <mergeCell ref="OUR7:OUU7"/>
    <mergeCell ref="OUV7:OUY7"/>
    <mergeCell ref="OUZ7:OVC7"/>
    <mergeCell ref="OTP7:OTS7"/>
    <mergeCell ref="OTT7:OTW7"/>
    <mergeCell ref="OTX7:OUA7"/>
    <mergeCell ref="OUB7:OUE7"/>
    <mergeCell ref="OUF7:OUI7"/>
    <mergeCell ref="OSV7:OSY7"/>
    <mergeCell ref="OSZ7:OTC7"/>
    <mergeCell ref="OTD7:OTG7"/>
    <mergeCell ref="OTH7:OTK7"/>
    <mergeCell ref="OTL7:OTO7"/>
    <mergeCell ref="OSB7:OSE7"/>
    <mergeCell ref="OSF7:OSI7"/>
    <mergeCell ref="OSJ7:OSM7"/>
    <mergeCell ref="OSN7:OSQ7"/>
    <mergeCell ref="OSR7:OSU7"/>
    <mergeCell ref="OXL7:OXO7"/>
    <mergeCell ref="OXP7:OXS7"/>
    <mergeCell ref="OXT7:OXW7"/>
    <mergeCell ref="OXX7:OYA7"/>
    <mergeCell ref="OYB7:OYE7"/>
    <mergeCell ref="OWR7:OWU7"/>
    <mergeCell ref="OWV7:OWY7"/>
    <mergeCell ref="OWZ7:OXC7"/>
    <mergeCell ref="OXD7:OXG7"/>
    <mergeCell ref="OXH7:OXK7"/>
    <mergeCell ref="OVX7:OWA7"/>
    <mergeCell ref="OWB7:OWE7"/>
    <mergeCell ref="OWF7:OWI7"/>
    <mergeCell ref="OWJ7:OWM7"/>
    <mergeCell ref="OWN7:OWQ7"/>
    <mergeCell ref="OVD7:OVG7"/>
    <mergeCell ref="OVH7:OVK7"/>
    <mergeCell ref="OVL7:OVO7"/>
    <mergeCell ref="OVP7:OVS7"/>
    <mergeCell ref="OVT7:OVW7"/>
    <mergeCell ref="PAN7:PAQ7"/>
    <mergeCell ref="PAR7:PAU7"/>
    <mergeCell ref="PAV7:PAY7"/>
    <mergeCell ref="PAZ7:PBC7"/>
    <mergeCell ref="PBD7:PBG7"/>
    <mergeCell ref="OZT7:OZW7"/>
    <mergeCell ref="OZX7:PAA7"/>
    <mergeCell ref="PAB7:PAE7"/>
    <mergeCell ref="PAF7:PAI7"/>
    <mergeCell ref="PAJ7:PAM7"/>
    <mergeCell ref="OYZ7:OZC7"/>
    <mergeCell ref="OZD7:OZG7"/>
    <mergeCell ref="OZH7:OZK7"/>
    <mergeCell ref="OZL7:OZO7"/>
    <mergeCell ref="OZP7:OZS7"/>
    <mergeCell ref="OYF7:OYI7"/>
    <mergeCell ref="OYJ7:OYM7"/>
    <mergeCell ref="OYN7:OYQ7"/>
    <mergeCell ref="OYR7:OYU7"/>
    <mergeCell ref="OYV7:OYY7"/>
    <mergeCell ref="PDP7:PDS7"/>
    <mergeCell ref="PDT7:PDW7"/>
    <mergeCell ref="PDX7:PEA7"/>
    <mergeCell ref="PEB7:PEE7"/>
    <mergeCell ref="PEF7:PEI7"/>
    <mergeCell ref="PCV7:PCY7"/>
    <mergeCell ref="PCZ7:PDC7"/>
    <mergeCell ref="PDD7:PDG7"/>
    <mergeCell ref="PDH7:PDK7"/>
    <mergeCell ref="PDL7:PDO7"/>
    <mergeCell ref="PCB7:PCE7"/>
    <mergeCell ref="PCF7:PCI7"/>
    <mergeCell ref="PCJ7:PCM7"/>
    <mergeCell ref="PCN7:PCQ7"/>
    <mergeCell ref="PCR7:PCU7"/>
    <mergeCell ref="PBH7:PBK7"/>
    <mergeCell ref="PBL7:PBO7"/>
    <mergeCell ref="PBP7:PBS7"/>
    <mergeCell ref="PBT7:PBW7"/>
    <mergeCell ref="PBX7:PCA7"/>
    <mergeCell ref="PGR7:PGU7"/>
    <mergeCell ref="PGV7:PGY7"/>
    <mergeCell ref="PGZ7:PHC7"/>
    <mergeCell ref="PHD7:PHG7"/>
    <mergeCell ref="PHH7:PHK7"/>
    <mergeCell ref="PFX7:PGA7"/>
    <mergeCell ref="PGB7:PGE7"/>
    <mergeCell ref="PGF7:PGI7"/>
    <mergeCell ref="PGJ7:PGM7"/>
    <mergeCell ref="PGN7:PGQ7"/>
    <mergeCell ref="PFD7:PFG7"/>
    <mergeCell ref="PFH7:PFK7"/>
    <mergeCell ref="PFL7:PFO7"/>
    <mergeCell ref="PFP7:PFS7"/>
    <mergeCell ref="PFT7:PFW7"/>
    <mergeCell ref="PEJ7:PEM7"/>
    <mergeCell ref="PEN7:PEQ7"/>
    <mergeCell ref="PER7:PEU7"/>
    <mergeCell ref="PEV7:PEY7"/>
    <mergeCell ref="PEZ7:PFC7"/>
    <mergeCell ref="PJT7:PJW7"/>
    <mergeCell ref="PJX7:PKA7"/>
    <mergeCell ref="PKB7:PKE7"/>
    <mergeCell ref="PKF7:PKI7"/>
    <mergeCell ref="PKJ7:PKM7"/>
    <mergeCell ref="PIZ7:PJC7"/>
    <mergeCell ref="PJD7:PJG7"/>
    <mergeCell ref="PJH7:PJK7"/>
    <mergeCell ref="PJL7:PJO7"/>
    <mergeCell ref="PJP7:PJS7"/>
    <mergeCell ref="PIF7:PII7"/>
    <mergeCell ref="PIJ7:PIM7"/>
    <mergeCell ref="PIN7:PIQ7"/>
    <mergeCell ref="PIR7:PIU7"/>
    <mergeCell ref="PIV7:PIY7"/>
    <mergeCell ref="PHL7:PHO7"/>
    <mergeCell ref="PHP7:PHS7"/>
    <mergeCell ref="PHT7:PHW7"/>
    <mergeCell ref="PHX7:PIA7"/>
    <mergeCell ref="PIB7:PIE7"/>
    <mergeCell ref="PMV7:PMY7"/>
    <mergeCell ref="PMZ7:PNC7"/>
    <mergeCell ref="PND7:PNG7"/>
    <mergeCell ref="PNH7:PNK7"/>
    <mergeCell ref="PNL7:PNO7"/>
    <mergeCell ref="PMB7:PME7"/>
    <mergeCell ref="PMF7:PMI7"/>
    <mergeCell ref="PMJ7:PMM7"/>
    <mergeCell ref="PMN7:PMQ7"/>
    <mergeCell ref="PMR7:PMU7"/>
    <mergeCell ref="PLH7:PLK7"/>
    <mergeCell ref="PLL7:PLO7"/>
    <mergeCell ref="PLP7:PLS7"/>
    <mergeCell ref="PLT7:PLW7"/>
    <mergeCell ref="PLX7:PMA7"/>
    <mergeCell ref="PKN7:PKQ7"/>
    <mergeCell ref="PKR7:PKU7"/>
    <mergeCell ref="PKV7:PKY7"/>
    <mergeCell ref="PKZ7:PLC7"/>
    <mergeCell ref="PLD7:PLG7"/>
    <mergeCell ref="PPX7:PQA7"/>
    <mergeCell ref="PQB7:PQE7"/>
    <mergeCell ref="PQF7:PQI7"/>
    <mergeCell ref="PQJ7:PQM7"/>
    <mergeCell ref="PQN7:PQQ7"/>
    <mergeCell ref="PPD7:PPG7"/>
    <mergeCell ref="PPH7:PPK7"/>
    <mergeCell ref="PPL7:PPO7"/>
    <mergeCell ref="PPP7:PPS7"/>
    <mergeCell ref="PPT7:PPW7"/>
    <mergeCell ref="POJ7:POM7"/>
    <mergeCell ref="PON7:POQ7"/>
    <mergeCell ref="POR7:POU7"/>
    <mergeCell ref="POV7:POY7"/>
    <mergeCell ref="POZ7:PPC7"/>
    <mergeCell ref="PNP7:PNS7"/>
    <mergeCell ref="PNT7:PNW7"/>
    <mergeCell ref="PNX7:POA7"/>
    <mergeCell ref="POB7:POE7"/>
    <mergeCell ref="POF7:POI7"/>
    <mergeCell ref="PSZ7:PTC7"/>
    <mergeCell ref="PTD7:PTG7"/>
    <mergeCell ref="PTH7:PTK7"/>
    <mergeCell ref="PTL7:PTO7"/>
    <mergeCell ref="PTP7:PTS7"/>
    <mergeCell ref="PSF7:PSI7"/>
    <mergeCell ref="PSJ7:PSM7"/>
    <mergeCell ref="PSN7:PSQ7"/>
    <mergeCell ref="PSR7:PSU7"/>
    <mergeCell ref="PSV7:PSY7"/>
    <mergeCell ref="PRL7:PRO7"/>
    <mergeCell ref="PRP7:PRS7"/>
    <mergeCell ref="PRT7:PRW7"/>
    <mergeCell ref="PRX7:PSA7"/>
    <mergeCell ref="PSB7:PSE7"/>
    <mergeCell ref="PQR7:PQU7"/>
    <mergeCell ref="PQV7:PQY7"/>
    <mergeCell ref="PQZ7:PRC7"/>
    <mergeCell ref="PRD7:PRG7"/>
    <mergeCell ref="PRH7:PRK7"/>
    <mergeCell ref="PWB7:PWE7"/>
    <mergeCell ref="PWF7:PWI7"/>
    <mergeCell ref="PWJ7:PWM7"/>
    <mergeCell ref="PWN7:PWQ7"/>
    <mergeCell ref="PWR7:PWU7"/>
    <mergeCell ref="PVH7:PVK7"/>
    <mergeCell ref="PVL7:PVO7"/>
    <mergeCell ref="PVP7:PVS7"/>
    <mergeCell ref="PVT7:PVW7"/>
    <mergeCell ref="PVX7:PWA7"/>
    <mergeCell ref="PUN7:PUQ7"/>
    <mergeCell ref="PUR7:PUU7"/>
    <mergeCell ref="PUV7:PUY7"/>
    <mergeCell ref="PUZ7:PVC7"/>
    <mergeCell ref="PVD7:PVG7"/>
    <mergeCell ref="PTT7:PTW7"/>
    <mergeCell ref="PTX7:PUA7"/>
    <mergeCell ref="PUB7:PUE7"/>
    <mergeCell ref="PUF7:PUI7"/>
    <mergeCell ref="PUJ7:PUM7"/>
    <mergeCell ref="PZD7:PZG7"/>
    <mergeCell ref="PZH7:PZK7"/>
    <mergeCell ref="PZL7:PZO7"/>
    <mergeCell ref="PZP7:PZS7"/>
    <mergeCell ref="PZT7:PZW7"/>
    <mergeCell ref="PYJ7:PYM7"/>
    <mergeCell ref="PYN7:PYQ7"/>
    <mergeCell ref="PYR7:PYU7"/>
    <mergeCell ref="PYV7:PYY7"/>
    <mergeCell ref="PYZ7:PZC7"/>
    <mergeCell ref="PXP7:PXS7"/>
    <mergeCell ref="PXT7:PXW7"/>
    <mergeCell ref="PXX7:PYA7"/>
    <mergeCell ref="PYB7:PYE7"/>
    <mergeCell ref="PYF7:PYI7"/>
    <mergeCell ref="PWV7:PWY7"/>
    <mergeCell ref="PWZ7:PXC7"/>
    <mergeCell ref="PXD7:PXG7"/>
    <mergeCell ref="PXH7:PXK7"/>
    <mergeCell ref="PXL7:PXO7"/>
    <mergeCell ref="QCF7:QCI7"/>
    <mergeCell ref="QCJ7:QCM7"/>
    <mergeCell ref="QCN7:QCQ7"/>
    <mergeCell ref="QCR7:QCU7"/>
    <mergeCell ref="QCV7:QCY7"/>
    <mergeCell ref="QBL7:QBO7"/>
    <mergeCell ref="QBP7:QBS7"/>
    <mergeCell ref="QBT7:QBW7"/>
    <mergeCell ref="QBX7:QCA7"/>
    <mergeCell ref="QCB7:QCE7"/>
    <mergeCell ref="QAR7:QAU7"/>
    <mergeCell ref="QAV7:QAY7"/>
    <mergeCell ref="QAZ7:QBC7"/>
    <mergeCell ref="QBD7:QBG7"/>
    <mergeCell ref="QBH7:QBK7"/>
    <mergeCell ref="PZX7:QAA7"/>
    <mergeCell ref="QAB7:QAE7"/>
    <mergeCell ref="QAF7:QAI7"/>
    <mergeCell ref="QAJ7:QAM7"/>
    <mergeCell ref="QAN7:QAQ7"/>
    <mergeCell ref="QFH7:QFK7"/>
    <mergeCell ref="QFL7:QFO7"/>
    <mergeCell ref="QFP7:QFS7"/>
    <mergeCell ref="QFT7:QFW7"/>
    <mergeCell ref="QFX7:QGA7"/>
    <mergeCell ref="QEN7:QEQ7"/>
    <mergeCell ref="QER7:QEU7"/>
    <mergeCell ref="QEV7:QEY7"/>
    <mergeCell ref="QEZ7:QFC7"/>
    <mergeCell ref="QFD7:QFG7"/>
    <mergeCell ref="QDT7:QDW7"/>
    <mergeCell ref="QDX7:QEA7"/>
    <mergeCell ref="QEB7:QEE7"/>
    <mergeCell ref="QEF7:QEI7"/>
    <mergeCell ref="QEJ7:QEM7"/>
    <mergeCell ref="QCZ7:QDC7"/>
    <mergeCell ref="QDD7:QDG7"/>
    <mergeCell ref="QDH7:QDK7"/>
    <mergeCell ref="QDL7:QDO7"/>
    <mergeCell ref="QDP7:QDS7"/>
    <mergeCell ref="QIJ7:QIM7"/>
    <mergeCell ref="QIN7:QIQ7"/>
    <mergeCell ref="QIR7:QIU7"/>
    <mergeCell ref="QIV7:QIY7"/>
    <mergeCell ref="QIZ7:QJC7"/>
    <mergeCell ref="QHP7:QHS7"/>
    <mergeCell ref="QHT7:QHW7"/>
    <mergeCell ref="QHX7:QIA7"/>
    <mergeCell ref="QIB7:QIE7"/>
    <mergeCell ref="QIF7:QII7"/>
    <mergeCell ref="QGV7:QGY7"/>
    <mergeCell ref="QGZ7:QHC7"/>
    <mergeCell ref="QHD7:QHG7"/>
    <mergeCell ref="QHH7:QHK7"/>
    <mergeCell ref="QHL7:QHO7"/>
    <mergeCell ref="QGB7:QGE7"/>
    <mergeCell ref="QGF7:QGI7"/>
    <mergeCell ref="QGJ7:QGM7"/>
    <mergeCell ref="QGN7:QGQ7"/>
    <mergeCell ref="QGR7:QGU7"/>
    <mergeCell ref="QLL7:QLO7"/>
    <mergeCell ref="QLP7:QLS7"/>
    <mergeCell ref="QLT7:QLW7"/>
    <mergeCell ref="QLX7:QMA7"/>
    <mergeCell ref="QMB7:QME7"/>
    <mergeCell ref="QKR7:QKU7"/>
    <mergeCell ref="QKV7:QKY7"/>
    <mergeCell ref="QKZ7:QLC7"/>
    <mergeCell ref="QLD7:QLG7"/>
    <mergeCell ref="QLH7:QLK7"/>
    <mergeCell ref="QJX7:QKA7"/>
    <mergeCell ref="QKB7:QKE7"/>
    <mergeCell ref="QKF7:QKI7"/>
    <mergeCell ref="QKJ7:QKM7"/>
    <mergeCell ref="QKN7:QKQ7"/>
    <mergeCell ref="QJD7:QJG7"/>
    <mergeCell ref="QJH7:QJK7"/>
    <mergeCell ref="QJL7:QJO7"/>
    <mergeCell ref="QJP7:QJS7"/>
    <mergeCell ref="QJT7:QJW7"/>
    <mergeCell ref="QON7:QOQ7"/>
    <mergeCell ref="QOR7:QOU7"/>
    <mergeCell ref="QOV7:QOY7"/>
    <mergeCell ref="QOZ7:QPC7"/>
    <mergeCell ref="QPD7:QPG7"/>
    <mergeCell ref="QNT7:QNW7"/>
    <mergeCell ref="QNX7:QOA7"/>
    <mergeCell ref="QOB7:QOE7"/>
    <mergeCell ref="QOF7:QOI7"/>
    <mergeCell ref="QOJ7:QOM7"/>
    <mergeCell ref="QMZ7:QNC7"/>
    <mergeCell ref="QND7:QNG7"/>
    <mergeCell ref="QNH7:QNK7"/>
    <mergeCell ref="QNL7:QNO7"/>
    <mergeCell ref="QNP7:QNS7"/>
    <mergeCell ref="QMF7:QMI7"/>
    <mergeCell ref="QMJ7:QMM7"/>
    <mergeCell ref="QMN7:QMQ7"/>
    <mergeCell ref="QMR7:QMU7"/>
    <mergeCell ref="QMV7:QMY7"/>
    <mergeCell ref="QRP7:QRS7"/>
    <mergeCell ref="QRT7:QRW7"/>
    <mergeCell ref="QRX7:QSA7"/>
    <mergeCell ref="QSB7:QSE7"/>
    <mergeCell ref="QSF7:QSI7"/>
    <mergeCell ref="QQV7:QQY7"/>
    <mergeCell ref="QQZ7:QRC7"/>
    <mergeCell ref="QRD7:QRG7"/>
    <mergeCell ref="QRH7:QRK7"/>
    <mergeCell ref="QRL7:QRO7"/>
    <mergeCell ref="QQB7:QQE7"/>
    <mergeCell ref="QQF7:QQI7"/>
    <mergeCell ref="QQJ7:QQM7"/>
    <mergeCell ref="QQN7:QQQ7"/>
    <mergeCell ref="QQR7:QQU7"/>
    <mergeCell ref="QPH7:QPK7"/>
    <mergeCell ref="QPL7:QPO7"/>
    <mergeCell ref="QPP7:QPS7"/>
    <mergeCell ref="QPT7:QPW7"/>
    <mergeCell ref="QPX7:QQA7"/>
    <mergeCell ref="QUR7:QUU7"/>
    <mergeCell ref="QUV7:QUY7"/>
    <mergeCell ref="QUZ7:QVC7"/>
    <mergeCell ref="QVD7:QVG7"/>
    <mergeCell ref="QVH7:QVK7"/>
    <mergeCell ref="QTX7:QUA7"/>
    <mergeCell ref="QUB7:QUE7"/>
    <mergeCell ref="QUF7:QUI7"/>
    <mergeCell ref="QUJ7:QUM7"/>
    <mergeCell ref="QUN7:QUQ7"/>
    <mergeCell ref="QTD7:QTG7"/>
    <mergeCell ref="QTH7:QTK7"/>
    <mergeCell ref="QTL7:QTO7"/>
    <mergeCell ref="QTP7:QTS7"/>
    <mergeCell ref="QTT7:QTW7"/>
    <mergeCell ref="QSJ7:QSM7"/>
    <mergeCell ref="QSN7:QSQ7"/>
    <mergeCell ref="QSR7:QSU7"/>
    <mergeCell ref="QSV7:QSY7"/>
    <mergeCell ref="QSZ7:QTC7"/>
    <mergeCell ref="QXT7:QXW7"/>
    <mergeCell ref="QXX7:QYA7"/>
    <mergeCell ref="QYB7:QYE7"/>
    <mergeCell ref="QYF7:QYI7"/>
    <mergeCell ref="QYJ7:QYM7"/>
    <mergeCell ref="QWZ7:QXC7"/>
    <mergeCell ref="QXD7:QXG7"/>
    <mergeCell ref="QXH7:QXK7"/>
    <mergeCell ref="QXL7:QXO7"/>
    <mergeCell ref="QXP7:QXS7"/>
    <mergeCell ref="QWF7:QWI7"/>
    <mergeCell ref="QWJ7:QWM7"/>
    <mergeCell ref="QWN7:QWQ7"/>
    <mergeCell ref="QWR7:QWU7"/>
    <mergeCell ref="QWV7:QWY7"/>
    <mergeCell ref="QVL7:QVO7"/>
    <mergeCell ref="QVP7:QVS7"/>
    <mergeCell ref="QVT7:QVW7"/>
    <mergeCell ref="QVX7:QWA7"/>
    <mergeCell ref="QWB7:QWE7"/>
    <mergeCell ref="RAV7:RAY7"/>
    <mergeCell ref="RAZ7:RBC7"/>
    <mergeCell ref="RBD7:RBG7"/>
    <mergeCell ref="RBH7:RBK7"/>
    <mergeCell ref="RBL7:RBO7"/>
    <mergeCell ref="RAB7:RAE7"/>
    <mergeCell ref="RAF7:RAI7"/>
    <mergeCell ref="RAJ7:RAM7"/>
    <mergeCell ref="RAN7:RAQ7"/>
    <mergeCell ref="RAR7:RAU7"/>
    <mergeCell ref="QZH7:QZK7"/>
    <mergeCell ref="QZL7:QZO7"/>
    <mergeCell ref="QZP7:QZS7"/>
    <mergeCell ref="QZT7:QZW7"/>
    <mergeCell ref="QZX7:RAA7"/>
    <mergeCell ref="QYN7:QYQ7"/>
    <mergeCell ref="QYR7:QYU7"/>
    <mergeCell ref="QYV7:QYY7"/>
    <mergeCell ref="QYZ7:QZC7"/>
    <mergeCell ref="QZD7:QZG7"/>
    <mergeCell ref="RDX7:REA7"/>
    <mergeCell ref="REB7:REE7"/>
    <mergeCell ref="REF7:REI7"/>
    <mergeCell ref="REJ7:REM7"/>
    <mergeCell ref="REN7:REQ7"/>
    <mergeCell ref="RDD7:RDG7"/>
    <mergeCell ref="RDH7:RDK7"/>
    <mergeCell ref="RDL7:RDO7"/>
    <mergeCell ref="RDP7:RDS7"/>
    <mergeCell ref="RDT7:RDW7"/>
    <mergeCell ref="RCJ7:RCM7"/>
    <mergeCell ref="RCN7:RCQ7"/>
    <mergeCell ref="RCR7:RCU7"/>
    <mergeCell ref="RCV7:RCY7"/>
    <mergeCell ref="RCZ7:RDC7"/>
    <mergeCell ref="RBP7:RBS7"/>
    <mergeCell ref="RBT7:RBW7"/>
    <mergeCell ref="RBX7:RCA7"/>
    <mergeCell ref="RCB7:RCE7"/>
    <mergeCell ref="RCF7:RCI7"/>
    <mergeCell ref="RGZ7:RHC7"/>
    <mergeCell ref="RHD7:RHG7"/>
    <mergeCell ref="RHH7:RHK7"/>
    <mergeCell ref="RHL7:RHO7"/>
    <mergeCell ref="RHP7:RHS7"/>
    <mergeCell ref="RGF7:RGI7"/>
    <mergeCell ref="RGJ7:RGM7"/>
    <mergeCell ref="RGN7:RGQ7"/>
    <mergeCell ref="RGR7:RGU7"/>
    <mergeCell ref="RGV7:RGY7"/>
    <mergeCell ref="RFL7:RFO7"/>
    <mergeCell ref="RFP7:RFS7"/>
    <mergeCell ref="RFT7:RFW7"/>
    <mergeCell ref="RFX7:RGA7"/>
    <mergeCell ref="RGB7:RGE7"/>
    <mergeCell ref="RER7:REU7"/>
    <mergeCell ref="REV7:REY7"/>
    <mergeCell ref="REZ7:RFC7"/>
    <mergeCell ref="RFD7:RFG7"/>
    <mergeCell ref="RFH7:RFK7"/>
    <mergeCell ref="RKB7:RKE7"/>
    <mergeCell ref="RKF7:RKI7"/>
    <mergeCell ref="RKJ7:RKM7"/>
    <mergeCell ref="RKN7:RKQ7"/>
    <mergeCell ref="RKR7:RKU7"/>
    <mergeCell ref="RJH7:RJK7"/>
    <mergeCell ref="RJL7:RJO7"/>
    <mergeCell ref="RJP7:RJS7"/>
    <mergeCell ref="RJT7:RJW7"/>
    <mergeCell ref="RJX7:RKA7"/>
    <mergeCell ref="RIN7:RIQ7"/>
    <mergeCell ref="RIR7:RIU7"/>
    <mergeCell ref="RIV7:RIY7"/>
    <mergeCell ref="RIZ7:RJC7"/>
    <mergeCell ref="RJD7:RJG7"/>
    <mergeCell ref="RHT7:RHW7"/>
    <mergeCell ref="RHX7:RIA7"/>
    <mergeCell ref="RIB7:RIE7"/>
    <mergeCell ref="RIF7:RII7"/>
    <mergeCell ref="RIJ7:RIM7"/>
    <mergeCell ref="RND7:RNG7"/>
    <mergeCell ref="RNH7:RNK7"/>
    <mergeCell ref="RNL7:RNO7"/>
    <mergeCell ref="RNP7:RNS7"/>
    <mergeCell ref="RNT7:RNW7"/>
    <mergeCell ref="RMJ7:RMM7"/>
    <mergeCell ref="RMN7:RMQ7"/>
    <mergeCell ref="RMR7:RMU7"/>
    <mergeCell ref="RMV7:RMY7"/>
    <mergeCell ref="RMZ7:RNC7"/>
    <mergeCell ref="RLP7:RLS7"/>
    <mergeCell ref="RLT7:RLW7"/>
    <mergeCell ref="RLX7:RMA7"/>
    <mergeCell ref="RMB7:RME7"/>
    <mergeCell ref="RMF7:RMI7"/>
    <mergeCell ref="RKV7:RKY7"/>
    <mergeCell ref="RKZ7:RLC7"/>
    <mergeCell ref="RLD7:RLG7"/>
    <mergeCell ref="RLH7:RLK7"/>
    <mergeCell ref="RLL7:RLO7"/>
    <mergeCell ref="RQF7:RQI7"/>
    <mergeCell ref="RQJ7:RQM7"/>
    <mergeCell ref="RQN7:RQQ7"/>
    <mergeCell ref="RQR7:RQU7"/>
    <mergeCell ref="RQV7:RQY7"/>
    <mergeCell ref="RPL7:RPO7"/>
    <mergeCell ref="RPP7:RPS7"/>
    <mergeCell ref="RPT7:RPW7"/>
    <mergeCell ref="RPX7:RQA7"/>
    <mergeCell ref="RQB7:RQE7"/>
    <mergeCell ref="ROR7:ROU7"/>
    <mergeCell ref="ROV7:ROY7"/>
    <mergeCell ref="ROZ7:RPC7"/>
    <mergeCell ref="RPD7:RPG7"/>
    <mergeCell ref="RPH7:RPK7"/>
    <mergeCell ref="RNX7:ROA7"/>
    <mergeCell ref="ROB7:ROE7"/>
    <mergeCell ref="ROF7:ROI7"/>
    <mergeCell ref="ROJ7:ROM7"/>
    <mergeCell ref="RON7:ROQ7"/>
    <mergeCell ref="RTH7:RTK7"/>
    <mergeCell ref="RTL7:RTO7"/>
    <mergeCell ref="RTP7:RTS7"/>
    <mergeCell ref="RTT7:RTW7"/>
    <mergeCell ref="RTX7:RUA7"/>
    <mergeCell ref="RSN7:RSQ7"/>
    <mergeCell ref="RSR7:RSU7"/>
    <mergeCell ref="RSV7:RSY7"/>
    <mergeCell ref="RSZ7:RTC7"/>
    <mergeCell ref="RTD7:RTG7"/>
    <mergeCell ref="RRT7:RRW7"/>
    <mergeCell ref="RRX7:RSA7"/>
    <mergeCell ref="RSB7:RSE7"/>
    <mergeCell ref="RSF7:RSI7"/>
    <mergeCell ref="RSJ7:RSM7"/>
    <mergeCell ref="RQZ7:RRC7"/>
    <mergeCell ref="RRD7:RRG7"/>
    <mergeCell ref="RRH7:RRK7"/>
    <mergeCell ref="RRL7:RRO7"/>
    <mergeCell ref="RRP7:RRS7"/>
    <mergeCell ref="RWJ7:RWM7"/>
    <mergeCell ref="RWN7:RWQ7"/>
    <mergeCell ref="RWR7:RWU7"/>
    <mergeCell ref="RWV7:RWY7"/>
    <mergeCell ref="RWZ7:RXC7"/>
    <mergeCell ref="RVP7:RVS7"/>
    <mergeCell ref="RVT7:RVW7"/>
    <mergeCell ref="RVX7:RWA7"/>
    <mergeCell ref="RWB7:RWE7"/>
    <mergeCell ref="RWF7:RWI7"/>
    <mergeCell ref="RUV7:RUY7"/>
    <mergeCell ref="RUZ7:RVC7"/>
    <mergeCell ref="RVD7:RVG7"/>
    <mergeCell ref="RVH7:RVK7"/>
    <mergeCell ref="RVL7:RVO7"/>
    <mergeCell ref="RUB7:RUE7"/>
    <mergeCell ref="RUF7:RUI7"/>
    <mergeCell ref="RUJ7:RUM7"/>
    <mergeCell ref="RUN7:RUQ7"/>
    <mergeCell ref="RUR7:RUU7"/>
    <mergeCell ref="RZL7:RZO7"/>
    <mergeCell ref="RZP7:RZS7"/>
    <mergeCell ref="RZT7:RZW7"/>
    <mergeCell ref="RZX7:SAA7"/>
    <mergeCell ref="SAB7:SAE7"/>
    <mergeCell ref="RYR7:RYU7"/>
    <mergeCell ref="RYV7:RYY7"/>
    <mergeCell ref="RYZ7:RZC7"/>
    <mergeCell ref="RZD7:RZG7"/>
    <mergeCell ref="RZH7:RZK7"/>
    <mergeCell ref="RXX7:RYA7"/>
    <mergeCell ref="RYB7:RYE7"/>
    <mergeCell ref="RYF7:RYI7"/>
    <mergeCell ref="RYJ7:RYM7"/>
    <mergeCell ref="RYN7:RYQ7"/>
    <mergeCell ref="RXD7:RXG7"/>
    <mergeCell ref="RXH7:RXK7"/>
    <mergeCell ref="RXL7:RXO7"/>
    <mergeCell ref="RXP7:RXS7"/>
    <mergeCell ref="RXT7:RXW7"/>
    <mergeCell ref="SCN7:SCQ7"/>
    <mergeCell ref="SCR7:SCU7"/>
    <mergeCell ref="SCV7:SCY7"/>
    <mergeCell ref="SCZ7:SDC7"/>
    <mergeCell ref="SDD7:SDG7"/>
    <mergeCell ref="SBT7:SBW7"/>
    <mergeCell ref="SBX7:SCA7"/>
    <mergeCell ref="SCB7:SCE7"/>
    <mergeCell ref="SCF7:SCI7"/>
    <mergeCell ref="SCJ7:SCM7"/>
    <mergeCell ref="SAZ7:SBC7"/>
    <mergeCell ref="SBD7:SBG7"/>
    <mergeCell ref="SBH7:SBK7"/>
    <mergeCell ref="SBL7:SBO7"/>
    <mergeCell ref="SBP7:SBS7"/>
    <mergeCell ref="SAF7:SAI7"/>
    <mergeCell ref="SAJ7:SAM7"/>
    <mergeCell ref="SAN7:SAQ7"/>
    <mergeCell ref="SAR7:SAU7"/>
    <mergeCell ref="SAV7:SAY7"/>
    <mergeCell ref="SFP7:SFS7"/>
    <mergeCell ref="SFT7:SFW7"/>
    <mergeCell ref="SFX7:SGA7"/>
    <mergeCell ref="SGB7:SGE7"/>
    <mergeCell ref="SGF7:SGI7"/>
    <mergeCell ref="SEV7:SEY7"/>
    <mergeCell ref="SEZ7:SFC7"/>
    <mergeCell ref="SFD7:SFG7"/>
    <mergeCell ref="SFH7:SFK7"/>
    <mergeCell ref="SFL7:SFO7"/>
    <mergeCell ref="SEB7:SEE7"/>
    <mergeCell ref="SEF7:SEI7"/>
    <mergeCell ref="SEJ7:SEM7"/>
    <mergeCell ref="SEN7:SEQ7"/>
    <mergeCell ref="SER7:SEU7"/>
    <mergeCell ref="SDH7:SDK7"/>
    <mergeCell ref="SDL7:SDO7"/>
    <mergeCell ref="SDP7:SDS7"/>
    <mergeCell ref="SDT7:SDW7"/>
    <mergeCell ref="SDX7:SEA7"/>
    <mergeCell ref="SIR7:SIU7"/>
    <mergeCell ref="SIV7:SIY7"/>
    <mergeCell ref="SIZ7:SJC7"/>
    <mergeCell ref="SJD7:SJG7"/>
    <mergeCell ref="SJH7:SJK7"/>
    <mergeCell ref="SHX7:SIA7"/>
    <mergeCell ref="SIB7:SIE7"/>
    <mergeCell ref="SIF7:SII7"/>
    <mergeCell ref="SIJ7:SIM7"/>
    <mergeCell ref="SIN7:SIQ7"/>
    <mergeCell ref="SHD7:SHG7"/>
    <mergeCell ref="SHH7:SHK7"/>
    <mergeCell ref="SHL7:SHO7"/>
    <mergeCell ref="SHP7:SHS7"/>
    <mergeCell ref="SHT7:SHW7"/>
    <mergeCell ref="SGJ7:SGM7"/>
    <mergeCell ref="SGN7:SGQ7"/>
    <mergeCell ref="SGR7:SGU7"/>
    <mergeCell ref="SGV7:SGY7"/>
    <mergeCell ref="SGZ7:SHC7"/>
    <mergeCell ref="SLT7:SLW7"/>
    <mergeCell ref="SLX7:SMA7"/>
    <mergeCell ref="SMB7:SME7"/>
    <mergeCell ref="SMF7:SMI7"/>
    <mergeCell ref="SMJ7:SMM7"/>
    <mergeCell ref="SKZ7:SLC7"/>
    <mergeCell ref="SLD7:SLG7"/>
    <mergeCell ref="SLH7:SLK7"/>
    <mergeCell ref="SLL7:SLO7"/>
    <mergeCell ref="SLP7:SLS7"/>
    <mergeCell ref="SKF7:SKI7"/>
    <mergeCell ref="SKJ7:SKM7"/>
    <mergeCell ref="SKN7:SKQ7"/>
    <mergeCell ref="SKR7:SKU7"/>
    <mergeCell ref="SKV7:SKY7"/>
    <mergeCell ref="SJL7:SJO7"/>
    <mergeCell ref="SJP7:SJS7"/>
    <mergeCell ref="SJT7:SJW7"/>
    <mergeCell ref="SJX7:SKA7"/>
    <mergeCell ref="SKB7:SKE7"/>
    <mergeCell ref="SOV7:SOY7"/>
    <mergeCell ref="SOZ7:SPC7"/>
    <mergeCell ref="SPD7:SPG7"/>
    <mergeCell ref="SPH7:SPK7"/>
    <mergeCell ref="SPL7:SPO7"/>
    <mergeCell ref="SOB7:SOE7"/>
    <mergeCell ref="SOF7:SOI7"/>
    <mergeCell ref="SOJ7:SOM7"/>
    <mergeCell ref="SON7:SOQ7"/>
    <mergeCell ref="SOR7:SOU7"/>
    <mergeCell ref="SNH7:SNK7"/>
    <mergeCell ref="SNL7:SNO7"/>
    <mergeCell ref="SNP7:SNS7"/>
    <mergeCell ref="SNT7:SNW7"/>
    <mergeCell ref="SNX7:SOA7"/>
    <mergeCell ref="SMN7:SMQ7"/>
    <mergeCell ref="SMR7:SMU7"/>
    <mergeCell ref="SMV7:SMY7"/>
    <mergeCell ref="SMZ7:SNC7"/>
    <mergeCell ref="SND7:SNG7"/>
    <mergeCell ref="SRX7:SSA7"/>
    <mergeCell ref="SSB7:SSE7"/>
    <mergeCell ref="SSF7:SSI7"/>
    <mergeCell ref="SSJ7:SSM7"/>
    <mergeCell ref="SSN7:SSQ7"/>
    <mergeCell ref="SRD7:SRG7"/>
    <mergeCell ref="SRH7:SRK7"/>
    <mergeCell ref="SRL7:SRO7"/>
    <mergeCell ref="SRP7:SRS7"/>
    <mergeCell ref="SRT7:SRW7"/>
    <mergeCell ref="SQJ7:SQM7"/>
    <mergeCell ref="SQN7:SQQ7"/>
    <mergeCell ref="SQR7:SQU7"/>
    <mergeCell ref="SQV7:SQY7"/>
    <mergeCell ref="SQZ7:SRC7"/>
    <mergeCell ref="SPP7:SPS7"/>
    <mergeCell ref="SPT7:SPW7"/>
    <mergeCell ref="SPX7:SQA7"/>
    <mergeCell ref="SQB7:SQE7"/>
    <mergeCell ref="SQF7:SQI7"/>
    <mergeCell ref="SUZ7:SVC7"/>
    <mergeCell ref="SVD7:SVG7"/>
    <mergeCell ref="SVH7:SVK7"/>
    <mergeCell ref="SVL7:SVO7"/>
    <mergeCell ref="SVP7:SVS7"/>
    <mergeCell ref="SUF7:SUI7"/>
    <mergeCell ref="SUJ7:SUM7"/>
    <mergeCell ref="SUN7:SUQ7"/>
    <mergeCell ref="SUR7:SUU7"/>
    <mergeCell ref="SUV7:SUY7"/>
    <mergeCell ref="STL7:STO7"/>
    <mergeCell ref="STP7:STS7"/>
    <mergeCell ref="STT7:STW7"/>
    <mergeCell ref="STX7:SUA7"/>
    <mergeCell ref="SUB7:SUE7"/>
    <mergeCell ref="SSR7:SSU7"/>
    <mergeCell ref="SSV7:SSY7"/>
    <mergeCell ref="SSZ7:STC7"/>
    <mergeCell ref="STD7:STG7"/>
    <mergeCell ref="STH7:STK7"/>
    <mergeCell ref="SYB7:SYE7"/>
    <mergeCell ref="SYF7:SYI7"/>
    <mergeCell ref="SYJ7:SYM7"/>
    <mergeCell ref="SYN7:SYQ7"/>
    <mergeCell ref="SYR7:SYU7"/>
    <mergeCell ref="SXH7:SXK7"/>
    <mergeCell ref="SXL7:SXO7"/>
    <mergeCell ref="SXP7:SXS7"/>
    <mergeCell ref="SXT7:SXW7"/>
    <mergeCell ref="SXX7:SYA7"/>
    <mergeCell ref="SWN7:SWQ7"/>
    <mergeCell ref="SWR7:SWU7"/>
    <mergeCell ref="SWV7:SWY7"/>
    <mergeCell ref="SWZ7:SXC7"/>
    <mergeCell ref="SXD7:SXG7"/>
    <mergeCell ref="SVT7:SVW7"/>
    <mergeCell ref="SVX7:SWA7"/>
    <mergeCell ref="SWB7:SWE7"/>
    <mergeCell ref="SWF7:SWI7"/>
    <mergeCell ref="SWJ7:SWM7"/>
    <mergeCell ref="TBD7:TBG7"/>
    <mergeCell ref="TBH7:TBK7"/>
    <mergeCell ref="TBL7:TBO7"/>
    <mergeCell ref="TBP7:TBS7"/>
    <mergeCell ref="TBT7:TBW7"/>
    <mergeCell ref="TAJ7:TAM7"/>
    <mergeCell ref="TAN7:TAQ7"/>
    <mergeCell ref="TAR7:TAU7"/>
    <mergeCell ref="TAV7:TAY7"/>
    <mergeCell ref="TAZ7:TBC7"/>
    <mergeCell ref="SZP7:SZS7"/>
    <mergeCell ref="SZT7:SZW7"/>
    <mergeCell ref="SZX7:TAA7"/>
    <mergeCell ref="TAB7:TAE7"/>
    <mergeCell ref="TAF7:TAI7"/>
    <mergeCell ref="SYV7:SYY7"/>
    <mergeCell ref="SYZ7:SZC7"/>
    <mergeCell ref="SZD7:SZG7"/>
    <mergeCell ref="SZH7:SZK7"/>
    <mergeCell ref="SZL7:SZO7"/>
    <mergeCell ref="TEF7:TEI7"/>
    <mergeCell ref="TEJ7:TEM7"/>
    <mergeCell ref="TEN7:TEQ7"/>
    <mergeCell ref="TER7:TEU7"/>
    <mergeCell ref="TEV7:TEY7"/>
    <mergeCell ref="TDL7:TDO7"/>
    <mergeCell ref="TDP7:TDS7"/>
    <mergeCell ref="TDT7:TDW7"/>
    <mergeCell ref="TDX7:TEA7"/>
    <mergeCell ref="TEB7:TEE7"/>
    <mergeCell ref="TCR7:TCU7"/>
    <mergeCell ref="TCV7:TCY7"/>
    <mergeCell ref="TCZ7:TDC7"/>
    <mergeCell ref="TDD7:TDG7"/>
    <mergeCell ref="TDH7:TDK7"/>
    <mergeCell ref="TBX7:TCA7"/>
    <mergeCell ref="TCB7:TCE7"/>
    <mergeCell ref="TCF7:TCI7"/>
    <mergeCell ref="TCJ7:TCM7"/>
    <mergeCell ref="TCN7:TCQ7"/>
    <mergeCell ref="THH7:THK7"/>
    <mergeCell ref="THL7:THO7"/>
    <mergeCell ref="THP7:THS7"/>
    <mergeCell ref="THT7:THW7"/>
    <mergeCell ref="THX7:TIA7"/>
    <mergeCell ref="TGN7:TGQ7"/>
    <mergeCell ref="TGR7:TGU7"/>
    <mergeCell ref="TGV7:TGY7"/>
    <mergeCell ref="TGZ7:THC7"/>
    <mergeCell ref="THD7:THG7"/>
    <mergeCell ref="TFT7:TFW7"/>
    <mergeCell ref="TFX7:TGA7"/>
    <mergeCell ref="TGB7:TGE7"/>
    <mergeCell ref="TGF7:TGI7"/>
    <mergeCell ref="TGJ7:TGM7"/>
    <mergeCell ref="TEZ7:TFC7"/>
    <mergeCell ref="TFD7:TFG7"/>
    <mergeCell ref="TFH7:TFK7"/>
    <mergeCell ref="TFL7:TFO7"/>
    <mergeCell ref="TFP7:TFS7"/>
    <mergeCell ref="TKJ7:TKM7"/>
    <mergeCell ref="TKN7:TKQ7"/>
    <mergeCell ref="TKR7:TKU7"/>
    <mergeCell ref="TKV7:TKY7"/>
    <mergeCell ref="TKZ7:TLC7"/>
    <mergeCell ref="TJP7:TJS7"/>
    <mergeCell ref="TJT7:TJW7"/>
    <mergeCell ref="TJX7:TKA7"/>
    <mergeCell ref="TKB7:TKE7"/>
    <mergeCell ref="TKF7:TKI7"/>
    <mergeCell ref="TIV7:TIY7"/>
    <mergeCell ref="TIZ7:TJC7"/>
    <mergeCell ref="TJD7:TJG7"/>
    <mergeCell ref="TJH7:TJK7"/>
    <mergeCell ref="TJL7:TJO7"/>
    <mergeCell ref="TIB7:TIE7"/>
    <mergeCell ref="TIF7:TII7"/>
    <mergeCell ref="TIJ7:TIM7"/>
    <mergeCell ref="TIN7:TIQ7"/>
    <mergeCell ref="TIR7:TIU7"/>
    <mergeCell ref="TNL7:TNO7"/>
    <mergeCell ref="TNP7:TNS7"/>
    <mergeCell ref="TNT7:TNW7"/>
    <mergeCell ref="TNX7:TOA7"/>
    <mergeCell ref="TOB7:TOE7"/>
    <mergeCell ref="TMR7:TMU7"/>
    <mergeCell ref="TMV7:TMY7"/>
    <mergeCell ref="TMZ7:TNC7"/>
    <mergeCell ref="TND7:TNG7"/>
    <mergeCell ref="TNH7:TNK7"/>
    <mergeCell ref="TLX7:TMA7"/>
    <mergeCell ref="TMB7:TME7"/>
    <mergeCell ref="TMF7:TMI7"/>
    <mergeCell ref="TMJ7:TMM7"/>
    <mergeCell ref="TMN7:TMQ7"/>
    <mergeCell ref="TLD7:TLG7"/>
    <mergeCell ref="TLH7:TLK7"/>
    <mergeCell ref="TLL7:TLO7"/>
    <mergeCell ref="TLP7:TLS7"/>
    <mergeCell ref="TLT7:TLW7"/>
    <mergeCell ref="TQN7:TQQ7"/>
    <mergeCell ref="TQR7:TQU7"/>
    <mergeCell ref="TQV7:TQY7"/>
    <mergeCell ref="TQZ7:TRC7"/>
    <mergeCell ref="TRD7:TRG7"/>
    <mergeCell ref="TPT7:TPW7"/>
    <mergeCell ref="TPX7:TQA7"/>
    <mergeCell ref="TQB7:TQE7"/>
    <mergeCell ref="TQF7:TQI7"/>
    <mergeCell ref="TQJ7:TQM7"/>
    <mergeCell ref="TOZ7:TPC7"/>
    <mergeCell ref="TPD7:TPG7"/>
    <mergeCell ref="TPH7:TPK7"/>
    <mergeCell ref="TPL7:TPO7"/>
    <mergeCell ref="TPP7:TPS7"/>
    <mergeCell ref="TOF7:TOI7"/>
    <mergeCell ref="TOJ7:TOM7"/>
    <mergeCell ref="TON7:TOQ7"/>
    <mergeCell ref="TOR7:TOU7"/>
    <mergeCell ref="TOV7:TOY7"/>
    <mergeCell ref="TTP7:TTS7"/>
    <mergeCell ref="TTT7:TTW7"/>
    <mergeCell ref="TTX7:TUA7"/>
    <mergeCell ref="TUB7:TUE7"/>
    <mergeCell ref="TUF7:TUI7"/>
    <mergeCell ref="TSV7:TSY7"/>
    <mergeCell ref="TSZ7:TTC7"/>
    <mergeCell ref="TTD7:TTG7"/>
    <mergeCell ref="TTH7:TTK7"/>
    <mergeCell ref="TTL7:TTO7"/>
    <mergeCell ref="TSB7:TSE7"/>
    <mergeCell ref="TSF7:TSI7"/>
    <mergeCell ref="TSJ7:TSM7"/>
    <mergeCell ref="TSN7:TSQ7"/>
    <mergeCell ref="TSR7:TSU7"/>
    <mergeCell ref="TRH7:TRK7"/>
    <mergeCell ref="TRL7:TRO7"/>
    <mergeCell ref="TRP7:TRS7"/>
    <mergeCell ref="TRT7:TRW7"/>
    <mergeCell ref="TRX7:TSA7"/>
    <mergeCell ref="TWR7:TWU7"/>
    <mergeCell ref="TWV7:TWY7"/>
    <mergeCell ref="TWZ7:TXC7"/>
    <mergeCell ref="TXD7:TXG7"/>
    <mergeCell ref="TXH7:TXK7"/>
    <mergeCell ref="TVX7:TWA7"/>
    <mergeCell ref="TWB7:TWE7"/>
    <mergeCell ref="TWF7:TWI7"/>
    <mergeCell ref="TWJ7:TWM7"/>
    <mergeCell ref="TWN7:TWQ7"/>
    <mergeCell ref="TVD7:TVG7"/>
    <mergeCell ref="TVH7:TVK7"/>
    <mergeCell ref="TVL7:TVO7"/>
    <mergeCell ref="TVP7:TVS7"/>
    <mergeCell ref="TVT7:TVW7"/>
    <mergeCell ref="TUJ7:TUM7"/>
    <mergeCell ref="TUN7:TUQ7"/>
    <mergeCell ref="TUR7:TUU7"/>
    <mergeCell ref="TUV7:TUY7"/>
    <mergeCell ref="TUZ7:TVC7"/>
    <mergeCell ref="TZT7:TZW7"/>
    <mergeCell ref="TZX7:UAA7"/>
    <mergeCell ref="UAB7:UAE7"/>
    <mergeCell ref="UAF7:UAI7"/>
    <mergeCell ref="UAJ7:UAM7"/>
    <mergeCell ref="TYZ7:TZC7"/>
    <mergeCell ref="TZD7:TZG7"/>
    <mergeCell ref="TZH7:TZK7"/>
    <mergeCell ref="TZL7:TZO7"/>
    <mergeCell ref="TZP7:TZS7"/>
    <mergeCell ref="TYF7:TYI7"/>
    <mergeCell ref="TYJ7:TYM7"/>
    <mergeCell ref="TYN7:TYQ7"/>
    <mergeCell ref="TYR7:TYU7"/>
    <mergeCell ref="TYV7:TYY7"/>
    <mergeCell ref="TXL7:TXO7"/>
    <mergeCell ref="TXP7:TXS7"/>
    <mergeCell ref="TXT7:TXW7"/>
    <mergeCell ref="TXX7:TYA7"/>
    <mergeCell ref="TYB7:TYE7"/>
    <mergeCell ref="UCV7:UCY7"/>
    <mergeCell ref="UCZ7:UDC7"/>
    <mergeCell ref="UDD7:UDG7"/>
    <mergeCell ref="UDH7:UDK7"/>
    <mergeCell ref="UDL7:UDO7"/>
    <mergeCell ref="UCB7:UCE7"/>
    <mergeCell ref="UCF7:UCI7"/>
    <mergeCell ref="UCJ7:UCM7"/>
    <mergeCell ref="UCN7:UCQ7"/>
    <mergeCell ref="UCR7:UCU7"/>
    <mergeCell ref="UBH7:UBK7"/>
    <mergeCell ref="UBL7:UBO7"/>
    <mergeCell ref="UBP7:UBS7"/>
    <mergeCell ref="UBT7:UBW7"/>
    <mergeCell ref="UBX7:UCA7"/>
    <mergeCell ref="UAN7:UAQ7"/>
    <mergeCell ref="UAR7:UAU7"/>
    <mergeCell ref="UAV7:UAY7"/>
    <mergeCell ref="UAZ7:UBC7"/>
    <mergeCell ref="UBD7:UBG7"/>
    <mergeCell ref="UFX7:UGA7"/>
    <mergeCell ref="UGB7:UGE7"/>
    <mergeCell ref="UGF7:UGI7"/>
    <mergeCell ref="UGJ7:UGM7"/>
    <mergeCell ref="UGN7:UGQ7"/>
    <mergeCell ref="UFD7:UFG7"/>
    <mergeCell ref="UFH7:UFK7"/>
    <mergeCell ref="UFL7:UFO7"/>
    <mergeCell ref="UFP7:UFS7"/>
    <mergeCell ref="UFT7:UFW7"/>
    <mergeCell ref="UEJ7:UEM7"/>
    <mergeCell ref="UEN7:UEQ7"/>
    <mergeCell ref="UER7:UEU7"/>
    <mergeCell ref="UEV7:UEY7"/>
    <mergeCell ref="UEZ7:UFC7"/>
    <mergeCell ref="UDP7:UDS7"/>
    <mergeCell ref="UDT7:UDW7"/>
    <mergeCell ref="UDX7:UEA7"/>
    <mergeCell ref="UEB7:UEE7"/>
    <mergeCell ref="UEF7:UEI7"/>
    <mergeCell ref="UIZ7:UJC7"/>
    <mergeCell ref="UJD7:UJG7"/>
    <mergeCell ref="UJH7:UJK7"/>
    <mergeCell ref="UJL7:UJO7"/>
    <mergeCell ref="UJP7:UJS7"/>
    <mergeCell ref="UIF7:UII7"/>
    <mergeCell ref="UIJ7:UIM7"/>
    <mergeCell ref="UIN7:UIQ7"/>
    <mergeCell ref="UIR7:UIU7"/>
    <mergeCell ref="UIV7:UIY7"/>
    <mergeCell ref="UHL7:UHO7"/>
    <mergeCell ref="UHP7:UHS7"/>
    <mergeCell ref="UHT7:UHW7"/>
    <mergeCell ref="UHX7:UIA7"/>
    <mergeCell ref="UIB7:UIE7"/>
    <mergeCell ref="UGR7:UGU7"/>
    <mergeCell ref="UGV7:UGY7"/>
    <mergeCell ref="UGZ7:UHC7"/>
    <mergeCell ref="UHD7:UHG7"/>
    <mergeCell ref="UHH7:UHK7"/>
    <mergeCell ref="UMB7:UME7"/>
    <mergeCell ref="UMF7:UMI7"/>
    <mergeCell ref="UMJ7:UMM7"/>
    <mergeCell ref="UMN7:UMQ7"/>
    <mergeCell ref="UMR7:UMU7"/>
    <mergeCell ref="ULH7:ULK7"/>
    <mergeCell ref="ULL7:ULO7"/>
    <mergeCell ref="ULP7:ULS7"/>
    <mergeCell ref="ULT7:ULW7"/>
    <mergeCell ref="ULX7:UMA7"/>
    <mergeCell ref="UKN7:UKQ7"/>
    <mergeCell ref="UKR7:UKU7"/>
    <mergeCell ref="UKV7:UKY7"/>
    <mergeCell ref="UKZ7:ULC7"/>
    <mergeCell ref="ULD7:ULG7"/>
    <mergeCell ref="UJT7:UJW7"/>
    <mergeCell ref="UJX7:UKA7"/>
    <mergeCell ref="UKB7:UKE7"/>
    <mergeCell ref="UKF7:UKI7"/>
    <mergeCell ref="UKJ7:UKM7"/>
    <mergeCell ref="UPD7:UPG7"/>
    <mergeCell ref="UPH7:UPK7"/>
    <mergeCell ref="UPL7:UPO7"/>
    <mergeCell ref="UPP7:UPS7"/>
    <mergeCell ref="UPT7:UPW7"/>
    <mergeCell ref="UOJ7:UOM7"/>
    <mergeCell ref="UON7:UOQ7"/>
    <mergeCell ref="UOR7:UOU7"/>
    <mergeCell ref="UOV7:UOY7"/>
    <mergeCell ref="UOZ7:UPC7"/>
    <mergeCell ref="UNP7:UNS7"/>
    <mergeCell ref="UNT7:UNW7"/>
    <mergeCell ref="UNX7:UOA7"/>
    <mergeCell ref="UOB7:UOE7"/>
    <mergeCell ref="UOF7:UOI7"/>
    <mergeCell ref="UMV7:UMY7"/>
    <mergeCell ref="UMZ7:UNC7"/>
    <mergeCell ref="UND7:UNG7"/>
    <mergeCell ref="UNH7:UNK7"/>
    <mergeCell ref="UNL7:UNO7"/>
    <mergeCell ref="USF7:USI7"/>
    <mergeCell ref="USJ7:USM7"/>
    <mergeCell ref="USN7:USQ7"/>
    <mergeCell ref="USR7:USU7"/>
    <mergeCell ref="USV7:USY7"/>
    <mergeCell ref="URL7:URO7"/>
    <mergeCell ref="URP7:URS7"/>
    <mergeCell ref="URT7:URW7"/>
    <mergeCell ref="URX7:USA7"/>
    <mergeCell ref="USB7:USE7"/>
    <mergeCell ref="UQR7:UQU7"/>
    <mergeCell ref="UQV7:UQY7"/>
    <mergeCell ref="UQZ7:URC7"/>
    <mergeCell ref="URD7:URG7"/>
    <mergeCell ref="URH7:URK7"/>
    <mergeCell ref="UPX7:UQA7"/>
    <mergeCell ref="UQB7:UQE7"/>
    <mergeCell ref="UQF7:UQI7"/>
    <mergeCell ref="UQJ7:UQM7"/>
    <mergeCell ref="UQN7:UQQ7"/>
    <mergeCell ref="UVH7:UVK7"/>
    <mergeCell ref="UVL7:UVO7"/>
    <mergeCell ref="UVP7:UVS7"/>
    <mergeCell ref="UVT7:UVW7"/>
    <mergeCell ref="UVX7:UWA7"/>
    <mergeCell ref="UUN7:UUQ7"/>
    <mergeCell ref="UUR7:UUU7"/>
    <mergeCell ref="UUV7:UUY7"/>
    <mergeCell ref="UUZ7:UVC7"/>
    <mergeCell ref="UVD7:UVG7"/>
    <mergeCell ref="UTT7:UTW7"/>
    <mergeCell ref="UTX7:UUA7"/>
    <mergeCell ref="UUB7:UUE7"/>
    <mergeCell ref="UUF7:UUI7"/>
    <mergeCell ref="UUJ7:UUM7"/>
    <mergeCell ref="USZ7:UTC7"/>
    <mergeCell ref="UTD7:UTG7"/>
    <mergeCell ref="UTH7:UTK7"/>
    <mergeCell ref="UTL7:UTO7"/>
    <mergeCell ref="UTP7:UTS7"/>
    <mergeCell ref="UYJ7:UYM7"/>
    <mergeCell ref="UYN7:UYQ7"/>
    <mergeCell ref="UYR7:UYU7"/>
    <mergeCell ref="UYV7:UYY7"/>
    <mergeCell ref="UYZ7:UZC7"/>
    <mergeCell ref="UXP7:UXS7"/>
    <mergeCell ref="UXT7:UXW7"/>
    <mergeCell ref="UXX7:UYA7"/>
    <mergeCell ref="UYB7:UYE7"/>
    <mergeCell ref="UYF7:UYI7"/>
    <mergeCell ref="UWV7:UWY7"/>
    <mergeCell ref="UWZ7:UXC7"/>
    <mergeCell ref="UXD7:UXG7"/>
    <mergeCell ref="UXH7:UXK7"/>
    <mergeCell ref="UXL7:UXO7"/>
    <mergeCell ref="UWB7:UWE7"/>
    <mergeCell ref="UWF7:UWI7"/>
    <mergeCell ref="UWJ7:UWM7"/>
    <mergeCell ref="UWN7:UWQ7"/>
    <mergeCell ref="UWR7:UWU7"/>
    <mergeCell ref="VBL7:VBO7"/>
    <mergeCell ref="VBP7:VBS7"/>
    <mergeCell ref="VBT7:VBW7"/>
    <mergeCell ref="VBX7:VCA7"/>
    <mergeCell ref="VCB7:VCE7"/>
    <mergeCell ref="VAR7:VAU7"/>
    <mergeCell ref="VAV7:VAY7"/>
    <mergeCell ref="VAZ7:VBC7"/>
    <mergeCell ref="VBD7:VBG7"/>
    <mergeCell ref="VBH7:VBK7"/>
    <mergeCell ref="UZX7:VAA7"/>
    <mergeCell ref="VAB7:VAE7"/>
    <mergeCell ref="VAF7:VAI7"/>
    <mergeCell ref="VAJ7:VAM7"/>
    <mergeCell ref="VAN7:VAQ7"/>
    <mergeCell ref="UZD7:UZG7"/>
    <mergeCell ref="UZH7:UZK7"/>
    <mergeCell ref="UZL7:UZO7"/>
    <mergeCell ref="UZP7:UZS7"/>
    <mergeCell ref="UZT7:UZW7"/>
    <mergeCell ref="VEN7:VEQ7"/>
    <mergeCell ref="VER7:VEU7"/>
    <mergeCell ref="VEV7:VEY7"/>
    <mergeCell ref="VEZ7:VFC7"/>
    <mergeCell ref="VFD7:VFG7"/>
    <mergeCell ref="VDT7:VDW7"/>
    <mergeCell ref="VDX7:VEA7"/>
    <mergeCell ref="VEB7:VEE7"/>
    <mergeCell ref="VEF7:VEI7"/>
    <mergeCell ref="VEJ7:VEM7"/>
    <mergeCell ref="VCZ7:VDC7"/>
    <mergeCell ref="VDD7:VDG7"/>
    <mergeCell ref="VDH7:VDK7"/>
    <mergeCell ref="VDL7:VDO7"/>
    <mergeCell ref="VDP7:VDS7"/>
    <mergeCell ref="VCF7:VCI7"/>
    <mergeCell ref="VCJ7:VCM7"/>
    <mergeCell ref="VCN7:VCQ7"/>
    <mergeCell ref="VCR7:VCU7"/>
    <mergeCell ref="VCV7:VCY7"/>
    <mergeCell ref="VHP7:VHS7"/>
    <mergeCell ref="VHT7:VHW7"/>
    <mergeCell ref="VHX7:VIA7"/>
    <mergeCell ref="VIB7:VIE7"/>
    <mergeCell ref="VIF7:VII7"/>
    <mergeCell ref="VGV7:VGY7"/>
    <mergeCell ref="VGZ7:VHC7"/>
    <mergeCell ref="VHD7:VHG7"/>
    <mergeCell ref="VHH7:VHK7"/>
    <mergeCell ref="VHL7:VHO7"/>
    <mergeCell ref="VGB7:VGE7"/>
    <mergeCell ref="VGF7:VGI7"/>
    <mergeCell ref="VGJ7:VGM7"/>
    <mergeCell ref="VGN7:VGQ7"/>
    <mergeCell ref="VGR7:VGU7"/>
    <mergeCell ref="VFH7:VFK7"/>
    <mergeCell ref="VFL7:VFO7"/>
    <mergeCell ref="VFP7:VFS7"/>
    <mergeCell ref="VFT7:VFW7"/>
    <mergeCell ref="VFX7:VGA7"/>
    <mergeCell ref="VKR7:VKU7"/>
    <mergeCell ref="VKV7:VKY7"/>
    <mergeCell ref="VKZ7:VLC7"/>
    <mergeCell ref="VLD7:VLG7"/>
    <mergeCell ref="VLH7:VLK7"/>
    <mergeCell ref="VJX7:VKA7"/>
    <mergeCell ref="VKB7:VKE7"/>
    <mergeCell ref="VKF7:VKI7"/>
    <mergeCell ref="VKJ7:VKM7"/>
    <mergeCell ref="VKN7:VKQ7"/>
    <mergeCell ref="VJD7:VJG7"/>
    <mergeCell ref="VJH7:VJK7"/>
    <mergeCell ref="VJL7:VJO7"/>
    <mergeCell ref="VJP7:VJS7"/>
    <mergeCell ref="VJT7:VJW7"/>
    <mergeCell ref="VIJ7:VIM7"/>
    <mergeCell ref="VIN7:VIQ7"/>
    <mergeCell ref="VIR7:VIU7"/>
    <mergeCell ref="VIV7:VIY7"/>
    <mergeCell ref="VIZ7:VJC7"/>
    <mergeCell ref="VNT7:VNW7"/>
    <mergeCell ref="VNX7:VOA7"/>
    <mergeCell ref="VOB7:VOE7"/>
    <mergeCell ref="VOF7:VOI7"/>
    <mergeCell ref="VOJ7:VOM7"/>
    <mergeCell ref="VMZ7:VNC7"/>
    <mergeCell ref="VND7:VNG7"/>
    <mergeCell ref="VNH7:VNK7"/>
    <mergeCell ref="VNL7:VNO7"/>
    <mergeCell ref="VNP7:VNS7"/>
    <mergeCell ref="VMF7:VMI7"/>
    <mergeCell ref="VMJ7:VMM7"/>
    <mergeCell ref="VMN7:VMQ7"/>
    <mergeCell ref="VMR7:VMU7"/>
    <mergeCell ref="VMV7:VMY7"/>
    <mergeCell ref="VLL7:VLO7"/>
    <mergeCell ref="VLP7:VLS7"/>
    <mergeCell ref="VLT7:VLW7"/>
    <mergeCell ref="VLX7:VMA7"/>
    <mergeCell ref="VMB7:VME7"/>
    <mergeCell ref="VQV7:VQY7"/>
    <mergeCell ref="VQZ7:VRC7"/>
    <mergeCell ref="VRD7:VRG7"/>
    <mergeCell ref="VRH7:VRK7"/>
    <mergeCell ref="VRL7:VRO7"/>
    <mergeCell ref="VQB7:VQE7"/>
    <mergeCell ref="VQF7:VQI7"/>
    <mergeCell ref="VQJ7:VQM7"/>
    <mergeCell ref="VQN7:VQQ7"/>
    <mergeCell ref="VQR7:VQU7"/>
    <mergeCell ref="VPH7:VPK7"/>
    <mergeCell ref="VPL7:VPO7"/>
    <mergeCell ref="VPP7:VPS7"/>
    <mergeCell ref="VPT7:VPW7"/>
    <mergeCell ref="VPX7:VQA7"/>
    <mergeCell ref="VON7:VOQ7"/>
    <mergeCell ref="VOR7:VOU7"/>
    <mergeCell ref="VOV7:VOY7"/>
    <mergeCell ref="VOZ7:VPC7"/>
    <mergeCell ref="VPD7:VPG7"/>
    <mergeCell ref="VTX7:VUA7"/>
    <mergeCell ref="VUB7:VUE7"/>
    <mergeCell ref="VUF7:VUI7"/>
    <mergeCell ref="VUJ7:VUM7"/>
    <mergeCell ref="VUN7:VUQ7"/>
    <mergeCell ref="VTD7:VTG7"/>
    <mergeCell ref="VTH7:VTK7"/>
    <mergeCell ref="VTL7:VTO7"/>
    <mergeCell ref="VTP7:VTS7"/>
    <mergeCell ref="VTT7:VTW7"/>
    <mergeCell ref="VSJ7:VSM7"/>
    <mergeCell ref="VSN7:VSQ7"/>
    <mergeCell ref="VSR7:VSU7"/>
    <mergeCell ref="VSV7:VSY7"/>
    <mergeCell ref="VSZ7:VTC7"/>
    <mergeCell ref="VRP7:VRS7"/>
    <mergeCell ref="VRT7:VRW7"/>
    <mergeCell ref="VRX7:VSA7"/>
    <mergeCell ref="VSB7:VSE7"/>
    <mergeCell ref="VSF7:VSI7"/>
    <mergeCell ref="VWZ7:VXC7"/>
    <mergeCell ref="VXD7:VXG7"/>
    <mergeCell ref="VXH7:VXK7"/>
    <mergeCell ref="VXL7:VXO7"/>
    <mergeCell ref="VXP7:VXS7"/>
    <mergeCell ref="VWF7:VWI7"/>
    <mergeCell ref="VWJ7:VWM7"/>
    <mergeCell ref="VWN7:VWQ7"/>
    <mergeCell ref="VWR7:VWU7"/>
    <mergeCell ref="VWV7:VWY7"/>
    <mergeCell ref="VVL7:VVO7"/>
    <mergeCell ref="VVP7:VVS7"/>
    <mergeCell ref="VVT7:VVW7"/>
    <mergeCell ref="VVX7:VWA7"/>
    <mergeCell ref="VWB7:VWE7"/>
    <mergeCell ref="VUR7:VUU7"/>
    <mergeCell ref="VUV7:VUY7"/>
    <mergeCell ref="VUZ7:VVC7"/>
    <mergeCell ref="VVD7:VVG7"/>
    <mergeCell ref="VVH7:VVK7"/>
    <mergeCell ref="WAB7:WAE7"/>
    <mergeCell ref="WAF7:WAI7"/>
    <mergeCell ref="WAJ7:WAM7"/>
    <mergeCell ref="WAN7:WAQ7"/>
    <mergeCell ref="WAR7:WAU7"/>
    <mergeCell ref="VZH7:VZK7"/>
    <mergeCell ref="VZL7:VZO7"/>
    <mergeCell ref="VZP7:VZS7"/>
    <mergeCell ref="VZT7:VZW7"/>
    <mergeCell ref="VZX7:WAA7"/>
    <mergeCell ref="VYN7:VYQ7"/>
    <mergeCell ref="VYR7:VYU7"/>
    <mergeCell ref="VYV7:VYY7"/>
    <mergeCell ref="VYZ7:VZC7"/>
    <mergeCell ref="VZD7:VZG7"/>
    <mergeCell ref="VXT7:VXW7"/>
    <mergeCell ref="VXX7:VYA7"/>
    <mergeCell ref="VYB7:VYE7"/>
    <mergeCell ref="VYF7:VYI7"/>
    <mergeCell ref="VYJ7:VYM7"/>
    <mergeCell ref="WDD7:WDG7"/>
    <mergeCell ref="WDH7:WDK7"/>
    <mergeCell ref="WDL7:WDO7"/>
    <mergeCell ref="WDP7:WDS7"/>
    <mergeCell ref="WDT7:WDW7"/>
    <mergeCell ref="WCJ7:WCM7"/>
    <mergeCell ref="WCN7:WCQ7"/>
    <mergeCell ref="WCR7:WCU7"/>
    <mergeCell ref="WCV7:WCY7"/>
    <mergeCell ref="WCZ7:WDC7"/>
    <mergeCell ref="WBP7:WBS7"/>
    <mergeCell ref="WBT7:WBW7"/>
    <mergeCell ref="WBX7:WCA7"/>
    <mergeCell ref="WCB7:WCE7"/>
    <mergeCell ref="WCF7:WCI7"/>
    <mergeCell ref="WAV7:WAY7"/>
    <mergeCell ref="WAZ7:WBC7"/>
    <mergeCell ref="WBD7:WBG7"/>
    <mergeCell ref="WBH7:WBK7"/>
    <mergeCell ref="WBL7:WBO7"/>
    <mergeCell ref="WGF7:WGI7"/>
    <mergeCell ref="WGJ7:WGM7"/>
    <mergeCell ref="WGN7:WGQ7"/>
    <mergeCell ref="WGR7:WGU7"/>
    <mergeCell ref="WGV7:WGY7"/>
    <mergeCell ref="WFL7:WFO7"/>
    <mergeCell ref="WFP7:WFS7"/>
    <mergeCell ref="WFT7:WFW7"/>
    <mergeCell ref="WFX7:WGA7"/>
    <mergeCell ref="WGB7:WGE7"/>
    <mergeCell ref="WER7:WEU7"/>
    <mergeCell ref="WEV7:WEY7"/>
    <mergeCell ref="WEZ7:WFC7"/>
    <mergeCell ref="WFD7:WFG7"/>
    <mergeCell ref="WFH7:WFK7"/>
    <mergeCell ref="WDX7:WEA7"/>
    <mergeCell ref="WEB7:WEE7"/>
    <mergeCell ref="WEF7:WEI7"/>
    <mergeCell ref="WEJ7:WEM7"/>
    <mergeCell ref="WEN7:WEQ7"/>
    <mergeCell ref="WJH7:WJK7"/>
    <mergeCell ref="WJL7:WJO7"/>
    <mergeCell ref="WJP7:WJS7"/>
    <mergeCell ref="WJT7:WJW7"/>
    <mergeCell ref="WJX7:WKA7"/>
    <mergeCell ref="WIN7:WIQ7"/>
    <mergeCell ref="WIR7:WIU7"/>
    <mergeCell ref="WIV7:WIY7"/>
    <mergeCell ref="WIZ7:WJC7"/>
    <mergeCell ref="WJD7:WJG7"/>
    <mergeCell ref="WHT7:WHW7"/>
    <mergeCell ref="WHX7:WIA7"/>
    <mergeCell ref="WIB7:WIE7"/>
    <mergeCell ref="WIF7:WII7"/>
    <mergeCell ref="WIJ7:WIM7"/>
    <mergeCell ref="WGZ7:WHC7"/>
    <mergeCell ref="WHD7:WHG7"/>
    <mergeCell ref="WHH7:WHK7"/>
    <mergeCell ref="WHL7:WHO7"/>
    <mergeCell ref="WHP7:WHS7"/>
    <mergeCell ref="WMJ7:WMM7"/>
    <mergeCell ref="WMN7:WMQ7"/>
    <mergeCell ref="WMR7:WMU7"/>
    <mergeCell ref="WMV7:WMY7"/>
    <mergeCell ref="WMZ7:WNC7"/>
    <mergeCell ref="WLP7:WLS7"/>
    <mergeCell ref="WLT7:WLW7"/>
    <mergeCell ref="WLX7:WMA7"/>
    <mergeCell ref="WMB7:WME7"/>
    <mergeCell ref="WMF7:WMI7"/>
    <mergeCell ref="WKV7:WKY7"/>
    <mergeCell ref="WKZ7:WLC7"/>
    <mergeCell ref="WLD7:WLG7"/>
    <mergeCell ref="WLH7:WLK7"/>
    <mergeCell ref="WLL7:WLO7"/>
    <mergeCell ref="WKB7:WKE7"/>
    <mergeCell ref="WKF7:WKI7"/>
    <mergeCell ref="WKJ7:WKM7"/>
    <mergeCell ref="WKN7:WKQ7"/>
    <mergeCell ref="WKR7:WKU7"/>
    <mergeCell ref="WPL7:WPO7"/>
    <mergeCell ref="WPP7:WPS7"/>
    <mergeCell ref="WPT7:WPW7"/>
    <mergeCell ref="WPX7:WQA7"/>
    <mergeCell ref="WQB7:WQE7"/>
    <mergeCell ref="WOR7:WOU7"/>
    <mergeCell ref="WOV7:WOY7"/>
    <mergeCell ref="WOZ7:WPC7"/>
    <mergeCell ref="WPD7:WPG7"/>
    <mergeCell ref="WPH7:WPK7"/>
    <mergeCell ref="WNX7:WOA7"/>
    <mergeCell ref="WOB7:WOE7"/>
    <mergeCell ref="WOF7:WOI7"/>
    <mergeCell ref="WOJ7:WOM7"/>
    <mergeCell ref="WON7:WOQ7"/>
    <mergeCell ref="WND7:WNG7"/>
    <mergeCell ref="WNH7:WNK7"/>
    <mergeCell ref="WNL7:WNO7"/>
    <mergeCell ref="WNP7:WNS7"/>
    <mergeCell ref="WNT7:WNW7"/>
    <mergeCell ref="WSN7:WSQ7"/>
    <mergeCell ref="WSR7:WSU7"/>
    <mergeCell ref="WSV7:WSY7"/>
    <mergeCell ref="WSZ7:WTC7"/>
    <mergeCell ref="WTD7:WTG7"/>
    <mergeCell ref="WRT7:WRW7"/>
    <mergeCell ref="WRX7:WSA7"/>
    <mergeCell ref="WSB7:WSE7"/>
    <mergeCell ref="WSF7:WSI7"/>
    <mergeCell ref="WSJ7:WSM7"/>
    <mergeCell ref="WQZ7:WRC7"/>
    <mergeCell ref="WRD7:WRG7"/>
    <mergeCell ref="WRH7:WRK7"/>
    <mergeCell ref="WRL7:WRO7"/>
    <mergeCell ref="WRP7:WRS7"/>
    <mergeCell ref="WQF7:WQI7"/>
    <mergeCell ref="WQJ7:WQM7"/>
    <mergeCell ref="WQN7:WQQ7"/>
    <mergeCell ref="WQR7:WQU7"/>
    <mergeCell ref="WQV7:WQY7"/>
    <mergeCell ref="WVP7:WVS7"/>
    <mergeCell ref="WVT7:WVW7"/>
    <mergeCell ref="WVX7:WWA7"/>
    <mergeCell ref="WWB7:WWE7"/>
    <mergeCell ref="C8:D8"/>
    <mergeCell ref="G8:H8"/>
    <mergeCell ref="WUV7:WUY7"/>
    <mergeCell ref="WUZ7:WVC7"/>
    <mergeCell ref="WVD7:WVG7"/>
    <mergeCell ref="WVH7:WVK7"/>
    <mergeCell ref="WVL7:WVO7"/>
    <mergeCell ref="WUB7:WUE7"/>
    <mergeCell ref="WUF7:WUI7"/>
    <mergeCell ref="WUJ7:WUM7"/>
    <mergeCell ref="WUN7:WUQ7"/>
    <mergeCell ref="WUR7:WUU7"/>
    <mergeCell ref="WTH7:WTK7"/>
    <mergeCell ref="WTL7:WTO7"/>
    <mergeCell ref="WTP7:WTS7"/>
    <mergeCell ref="WTT7:WTW7"/>
    <mergeCell ref="WTX7:WUA7"/>
    <mergeCell ref="EH8:EI8"/>
    <mergeCell ref="EL8:EM8"/>
    <mergeCell ref="EP8:EQ8"/>
    <mergeCell ref="ET8:EU8"/>
    <mergeCell ref="EX8:EY8"/>
    <mergeCell ref="DN8:DO8"/>
    <mergeCell ref="DR8:DS8"/>
    <mergeCell ref="DV8:DW8"/>
    <mergeCell ref="DZ8:EA8"/>
    <mergeCell ref="ED8:EE8"/>
    <mergeCell ref="CT8:CU8"/>
    <mergeCell ref="CX8:CY8"/>
    <mergeCell ref="DB8:DC8"/>
    <mergeCell ref="DF8:DG8"/>
    <mergeCell ref="DJ8:DK8"/>
    <mergeCell ref="BZ8:CA8"/>
    <mergeCell ref="CD8:CE8"/>
    <mergeCell ref="CH8:CI8"/>
    <mergeCell ref="CL8:CM8"/>
    <mergeCell ref="CP8:CQ8"/>
    <mergeCell ref="HJ8:HK8"/>
    <mergeCell ref="HN8:HO8"/>
    <mergeCell ref="HR8:HS8"/>
    <mergeCell ref="HV8:HW8"/>
    <mergeCell ref="HZ8:IA8"/>
    <mergeCell ref="GP8:GQ8"/>
    <mergeCell ref="GT8:GU8"/>
    <mergeCell ref="GX8:GY8"/>
    <mergeCell ref="HB8:HC8"/>
    <mergeCell ref="HF8:HG8"/>
    <mergeCell ref="FV8:FW8"/>
    <mergeCell ref="FZ8:GA8"/>
    <mergeCell ref="GD8:GE8"/>
    <mergeCell ref="GH8:GI8"/>
    <mergeCell ref="GL8:GM8"/>
    <mergeCell ref="FB8:FC8"/>
    <mergeCell ref="FF8:FG8"/>
    <mergeCell ref="FJ8:FK8"/>
    <mergeCell ref="FN8:FO8"/>
    <mergeCell ref="FR8:FS8"/>
    <mergeCell ref="KL8:KM8"/>
    <mergeCell ref="KP8:KQ8"/>
    <mergeCell ref="KT8:KU8"/>
    <mergeCell ref="KX8:KY8"/>
    <mergeCell ref="LB8:LC8"/>
    <mergeCell ref="JR8:JS8"/>
    <mergeCell ref="JV8:JW8"/>
    <mergeCell ref="JZ8:KA8"/>
    <mergeCell ref="KD8:KE8"/>
    <mergeCell ref="KH8:KI8"/>
    <mergeCell ref="IX8:IY8"/>
    <mergeCell ref="JB8:JC8"/>
    <mergeCell ref="JF8:JG8"/>
    <mergeCell ref="JJ8:JK8"/>
    <mergeCell ref="JN8:JO8"/>
    <mergeCell ref="ID8:IE8"/>
    <mergeCell ref="IH8:II8"/>
    <mergeCell ref="IL8:IM8"/>
    <mergeCell ref="IP8:IQ8"/>
    <mergeCell ref="IT8:IU8"/>
    <mergeCell ref="NN8:NO8"/>
    <mergeCell ref="NR8:NS8"/>
    <mergeCell ref="NV8:NW8"/>
    <mergeCell ref="NZ8:OA8"/>
    <mergeCell ref="OD8:OE8"/>
    <mergeCell ref="MT8:MU8"/>
    <mergeCell ref="MX8:MY8"/>
    <mergeCell ref="NB8:NC8"/>
    <mergeCell ref="NF8:NG8"/>
    <mergeCell ref="NJ8:NK8"/>
    <mergeCell ref="LZ8:MA8"/>
    <mergeCell ref="MD8:ME8"/>
    <mergeCell ref="MH8:MI8"/>
    <mergeCell ref="ML8:MM8"/>
    <mergeCell ref="MP8:MQ8"/>
    <mergeCell ref="LF8:LG8"/>
    <mergeCell ref="LJ8:LK8"/>
    <mergeCell ref="LN8:LO8"/>
    <mergeCell ref="LR8:LS8"/>
    <mergeCell ref="LV8:LW8"/>
    <mergeCell ref="QP8:QQ8"/>
    <mergeCell ref="QT8:QU8"/>
    <mergeCell ref="QX8:QY8"/>
    <mergeCell ref="RB8:RC8"/>
    <mergeCell ref="RF8:RG8"/>
    <mergeCell ref="PV8:PW8"/>
    <mergeCell ref="PZ8:QA8"/>
    <mergeCell ref="QD8:QE8"/>
    <mergeCell ref="QH8:QI8"/>
    <mergeCell ref="QL8:QM8"/>
    <mergeCell ref="PB8:PC8"/>
    <mergeCell ref="PF8:PG8"/>
    <mergeCell ref="PJ8:PK8"/>
    <mergeCell ref="PN8:PO8"/>
    <mergeCell ref="PR8:PS8"/>
    <mergeCell ref="OH8:OI8"/>
    <mergeCell ref="OL8:OM8"/>
    <mergeCell ref="OP8:OQ8"/>
    <mergeCell ref="OT8:OU8"/>
    <mergeCell ref="OX8:OY8"/>
    <mergeCell ref="TR8:TS8"/>
    <mergeCell ref="TV8:TW8"/>
    <mergeCell ref="TZ8:UA8"/>
    <mergeCell ref="UD8:UE8"/>
    <mergeCell ref="UH8:UI8"/>
    <mergeCell ref="SX8:SY8"/>
    <mergeCell ref="TB8:TC8"/>
    <mergeCell ref="TF8:TG8"/>
    <mergeCell ref="TJ8:TK8"/>
    <mergeCell ref="TN8:TO8"/>
    <mergeCell ref="SD8:SE8"/>
    <mergeCell ref="SH8:SI8"/>
    <mergeCell ref="SL8:SM8"/>
    <mergeCell ref="SP8:SQ8"/>
    <mergeCell ref="ST8:SU8"/>
    <mergeCell ref="RJ8:RK8"/>
    <mergeCell ref="RN8:RO8"/>
    <mergeCell ref="RR8:RS8"/>
    <mergeCell ref="RV8:RW8"/>
    <mergeCell ref="RZ8:SA8"/>
    <mergeCell ref="WT8:WU8"/>
    <mergeCell ref="WX8:WY8"/>
    <mergeCell ref="XB8:XC8"/>
    <mergeCell ref="XF8:XG8"/>
    <mergeCell ref="XJ8:XK8"/>
    <mergeCell ref="VZ8:WA8"/>
    <mergeCell ref="WD8:WE8"/>
    <mergeCell ref="WH8:WI8"/>
    <mergeCell ref="WL8:WM8"/>
    <mergeCell ref="WP8:WQ8"/>
    <mergeCell ref="VF8:VG8"/>
    <mergeCell ref="VJ8:VK8"/>
    <mergeCell ref="VN8:VO8"/>
    <mergeCell ref="VR8:VS8"/>
    <mergeCell ref="VV8:VW8"/>
    <mergeCell ref="UL8:UM8"/>
    <mergeCell ref="UP8:UQ8"/>
    <mergeCell ref="UT8:UU8"/>
    <mergeCell ref="UX8:UY8"/>
    <mergeCell ref="VB8:VC8"/>
    <mergeCell ref="ZV8:ZW8"/>
    <mergeCell ref="ZZ8:AAA8"/>
    <mergeCell ref="AAD8:AAE8"/>
    <mergeCell ref="AAH8:AAI8"/>
    <mergeCell ref="AAL8:AAM8"/>
    <mergeCell ref="ZB8:ZC8"/>
    <mergeCell ref="ZF8:ZG8"/>
    <mergeCell ref="ZJ8:ZK8"/>
    <mergeCell ref="ZN8:ZO8"/>
    <mergeCell ref="ZR8:ZS8"/>
    <mergeCell ref="YH8:YI8"/>
    <mergeCell ref="YL8:YM8"/>
    <mergeCell ref="YP8:YQ8"/>
    <mergeCell ref="YT8:YU8"/>
    <mergeCell ref="YX8:YY8"/>
    <mergeCell ref="XN8:XO8"/>
    <mergeCell ref="XR8:XS8"/>
    <mergeCell ref="XV8:XW8"/>
    <mergeCell ref="XZ8:YA8"/>
    <mergeCell ref="YD8:YE8"/>
    <mergeCell ref="ACX8:ACY8"/>
    <mergeCell ref="ADB8:ADC8"/>
    <mergeCell ref="ADF8:ADG8"/>
    <mergeCell ref="ADJ8:ADK8"/>
    <mergeCell ref="ADN8:ADO8"/>
    <mergeCell ref="ACD8:ACE8"/>
    <mergeCell ref="ACH8:ACI8"/>
    <mergeCell ref="ACL8:ACM8"/>
    <mergeCell ref="ACP8:ACQ8"/>
    <mergeCell ref="ACT8:ACU8"/>
    <mergeCell ref="ABJ8:ABK8"/>
    <mergeCell ref="ABN8:ABO8"/>
    <mergeCell ref="ABR8:ABS8"/>
    <mergeCell ref="ABV8:ABW8"/>
    <mergeCell ref="ABZ8:ACA8"/>
    <mergeCell ref="AAP8:AAQ8"/>
    <mergeCell ref="AAT8:AAU8"/>
    <mergeCell ref="AAX8:AAY8"/>
    <mergeCell ref="ABB8:ABC8"/>
    <mergeCell ref="ABF8:ABG8"/>
    <mergeCell ref="AFZ8:AGA8"/>
    <mergeCell ref="AGD8:AGE8"/>
    <mergeCell ref="AGH8:AGI8"/>
    <mergeCell ref="AGL8:AGM8"/>
    <mergeCell ref="AGP8:AGQ8"/>
    <mergeCell ref="AFF8:AFG8"/>
    <mergeCell ref="AFJ8:AFK8"/>
    <mergeCell ref="AFN8:AFO8"/>
    <mergeCell ref="AFR8:AFS8"/>
    <mergeCell ref="AFV8:AFW8"/>
    <mergeCell ref="AEL8:AEM8"/>
    <mergeCell ref="AEP8:AEQ8"/>
    <mergeCell ref="AET8:AEU8"/>
    <mergeCell ref="AEX8:AEY8"/>
    <mergeCell ref="AFB8:AFC8"/>
    <mergeCell ref="ADR8:ADS8"/>
    <mergeCell ref="ADV8:ADW8"/>
    <mergeCell ref="ADZ8:AEA8"/>
    <mergeCell ref="AED8:AEE8"/>
    <mergeCell ref="AEH8:AEI8"/>
    <mergeCell ref="AJB8:AJC8"/>
    <mergeCell ref="AJF8:AJG8"/>
    <mergeCell ref="AJJ8:AJK8"/>
    <mergeCell ref="AJN8:AJO8"/>
    <mergeCell ref="AJR8:AJS8"/>
    <mergeCell ref="AIH8:AII8"/>
    <mergeCell ref="AIL8:AIM8"/>
    <mergeCell ref="AIP8:AIQ8"/>
    <mergeCell ref="AIT8:AIU8"/>
    <mergeCell ref="AIX8:AIY8"/>
    <mergeCell ref="AHN8:AHO8"/>
    <mergeCell ref="AHR8:AHS8"/>
    <mergeCell ref="AHV8:AHW8"/>
    <mergeCell ref="AHZ8:AIA8"/>
    <mergeCell ref="AID8:AIE8"/>
    <mergeCell ref="AGT8:AGU8"/>
    <mergeCell ref="AGX8:AGY8"/>
    <mergeCell ref="AHB8:AHC8"/>
    <mergeCell ref="AHF8:AHG8"/>
    <mergeCell ref="AHJ8:AHK8"/>
    <mergeCell ref="AMD8:AME8"/>
    <mergeCell ref="AMH8:AMI8"/>
    <mergeCell ref="AML8:AMM8"/>
    <mergeCell ref="AMP8:AMQ8"/>
    <mergeCell ref="AMT8:AMU8"/>
    <mergeCell ref="ALJ8:ALK8"/>
    <mergeCell ref="ALN8:ALO8"/>
    <mergeCell ref="ALR8:ALS8"/>
    <mergeCell ref="ALV8:ALW8"/>
    <mergeCell ref="ALZ8:AMA8"/>
    <mergeCell ref="AKP8:AKQ8"/>
    <mergeCell ref="AKT8:AKU8"/>
    <mergeCell ref="AKX8:AKY8"/>
    <mergeCell ref="ALB8:ALC8"/>
    <mergeCell ref="ALF8:ALG8"/>
    <mergeCell ref="AJV8:AJW8"/>
    <mergeCell ref="AJZ8:AKA8"/>
    <mergeCell ref="AKD8:AKE8"/>
    <mergeCell ref="AKH8:AKI8"/>
    <mergeCell ref="AKL8:AKM8"/>
    <mergeCell ref="APF8:APG8"/>
    <mergeCell ref="APJ8:APK8"/>
    <mergeCell ref="APN8:APO8"/>
    <mergeCell ref="APR8:APS8"/>
    <mergeCell ref="APV8:APW8"/>
    <mergeCell ref="AOL8:AOM8"/>
    <mergeCell ref="AOP8:AOQ8"/>
    <mergeCell ref="AOT8:AOU8"/>
    <mergeCell ref="AOX8:AOY8"/>
    <mergeCell ref="APB8:APC8"/>
    <mergeCell ref="ANR8:ANS8"/>
    <mergeCell ref="ANV8:ANW8"/>
    <mergeCell ref="ANZ8:AOA8"/>
    <mergeCell ref="AOD8:AOE8"/>
    <mergeCell ref="AOH8:AOI8"/>
    <mergeCell ref="AMX8:AMY8"/>
    <mergeCell ref="ANB8:ANC8"/>
    <mergeCell ref="ANF8:ANG8"/>
    <mergeCell ref="ANJ8:ANK8"/>
    <mergeCell ref="ANN8:ANO8"/>
    <mergeCell ref="ASH8:ASI8"/>
    <mergeCell ref="ASL8:ASM8"/>
    <mergeCell ref="ASP8:ASQ8"/>
    <mergeCell ref="AST8:ASU8"/>
    <mergeCell ref="ASX8:ASY8"/>
    <mergeCell ref="ARN8:ARO8"/>
    <mergeCell ref="ARR8:ARS8"/>
    <mergeCell ref="ARV8:ARW8"/>
    <mergeCell ref="ARZ8:ASA8"/>
    <mergeCell ref="ASD8:ASE8"/>
    <mergeCell ref="AQT8:AQU8"/>
    <mergeCell ref="AQX8:AQY8"/>
    <mergeCell ref="ARB8:ARC8"/>
    <mergeCell ref="ARF8:ARG8"/>
    <mergeCell ref="ARJ8:ARK8"/>
    <mergeCell ref="APZ8:AQA8"/>
    <mergeCell ref="AQD8:AQE8"/>
    <mergeCell ref="AQH8:AQI8"/>
    <mergeCell ref="AQL8:AQM8"/>
    <mergeCell ref="AQP8:AQQ8"/>
    <mergeCell ref="AVJ8:AVK8"/>
    <mergeCell ref="AVN8:AVO8"/>
    <mergeCell ref="AVR8:AVS8"/>
    <mergeCell ref="AVV8:AVW8"/>
    <mergeCell ref="AVZ8:AWA8"/>
    <mergeCell ref="AUP8:AUQ8"/>
    <mergeCell ref="AUT8:AUU8"/>
    <mergeCell ref="AUX8:AUY8"/>
    <mergeCell ref="AVB8:AVC8"/>
    <mergeCell ref="AVF8:AVG8"/>
    <mergeCell ref="ATV8:ATW8"/>
    <mergeCell ref="ATZ8:AUA8"/>
    <mergeCell ref="AUD8:AUE8"/>
    <mergeCell ref="AUH8:AUI8"/>
    <mergeCell ref="AUL8:AUM8"/>
    <mergeCell ref="ATB8:ATC8"/>
    <mergeCell ref="ATF8:ATG8"/>
    <mergeCell ref="ATJ8:ATK8"/>
    <mergeCell ref="ATN8:ATO8"/>
    <mergeCell ref="ATR8:ATS8"/>
    <mergeCell ref="AYL8:AYM8"/>
    <mergeCell ref="AYP8:AYQ8"/>
    <mergeCell ref="AYT8:AYU8"/>
    <mergeCell ref="AYX8:AYY8"/>
    <mergeCell ref="AZB8:AZC8"/>
    <mergeCell ref="AXR8:AXS8"/>
    <mergeCell ref="AXV8:AXW8"/>
    <mergeCell ref="AXZ8:AYA8"/>
    <mergeCell ref="AYD8:AYE8"/>
    <mergeCell ref="AYH8:AYI8"/>
    <mergeCell ref="AWX8:AWY8"/>
    <mergeCell ref="AXB8:AXC8"/>
    <mergeCell ref="AXF8:AXG8"/>
    <mergeCell ref="AXJ8:AXK8"/>
    <mergeCell ref="AXN8:AXO8"/>
    <mergeCell ref="AWD8:AWE8"/>
    <mergeCell ref="AWH8:AWI8"/>
    <mergeCell ref="AWL8:AWM8"/>
    <mergeCell ref="AWP8:AWQ8"/>
    <mergeCell ref="AWT8:AWU8"/>
    <mergeCell ref="BBN8:BBO8"/>
    <mergeCell ref="BBR8:BBS8"/>
    <mergeCell ref="BBV8:BBW8"/>
    <mergeCell ref="BBZ8:BCA8"/>
    <mergeCell ref="BCD8:BCE8"/>
    <mergeCell ref="BAT8:BAU8"/>
    <mergeCell ref="BAX8:BAY8"/>
    <mergeCell ref="BBB8:BBC8"/>
    <mergeCell ref="BBF8:BBG8"/>
    <mergeCell ref="BBJ8:BBK8"/>
    <mergeCell ref="AZZ8:BAA8"/>
    <mergeCell ref="BAD8:BAE8"/>
    <mergeCell ref="BAH8:BAI8"/>
    <mergeCell ref="BAL8:BAM8"/>
    <mergeCell ref="BAP8:BAQ8"/>
    <mergeCell ref="AZF8:AZG8"/>
    <mergeCell ref="AZJ8:AZK8"/>
    <mergeCell ref="AZN8:AZO8"/>
    <mergeCell ref="AZR8:AZS8"/>
    <mergeCell ref="AZV8:AZW8"/>
    <mergeCell ref="BEP8:BEQ8"/>
    <mergeCell ref="BET8:BEU8"/>
    <mergeCell ref="BEX8:BEY8"/>
    <mergeCell ref="BFB8:BFC8"/>
    <mergeCell ref="BFF8:BFG8"/>
    <mergeCell ref="BDV8:BDW8"/>
    <mergeCell ref="BDZ8:BEA8"/>
    <mergeCell ref="BED8:BEE8"/>
    <mergeCell ref="BEH8:BEI8"/>
    <mergeCell ref="BEL8:BEM8"/>
    <mergeCell ref="BDB8:BDC8"/>
    <mergeCell ref="BDF8:BDG8"/>
    <mergeCell ref="BDJ8:BDK8"/>
    <mergeCell ref="BDN8:BDO8"/>
    <mergeCell ref="BDR8:BDS8"/>
    <mergeCell ref="BCH8:BCI8"/>
    <mergeCell ref="BCL8:BCM8"/>
    <mergeCell ref="BCP8:BCQ8"/>
    <mergeCell ref="BCT8:BCU8"/>
    <mergeCell ref="BCX8:BCY8"/>
    <mergeCell ref="BHR8:BHS8"/>
    <mergeCell ref="BHV8:BHW8"/>
    <mergeCell ref="BHZ8:BIA8"/>
    <mergeCell ref="BID8:BIE8"/>
    <mergeCell ref="BIH8:BII8"/>
    <mergeCell ref="BGX8:BGY8"/>
    <mergeCell ref="BHB8:BHC8"/>
    <mergeCell ref="BHF8:BHG8"/>
    <mergeCell ref="BHJ8:BHK8"/>
    <mergeCell ref="BHN8:BHO8"/>
    <mergeCell ref="BGD8:BGE8"/>
    <mergeCell ref="BGH8:BGI8"/>
    <mergeCell ref="BGL8:BGM8"/>
    <mergeCell ref="BGP8:BGQ8"/>
    <mergeCell ref="BGT8:BGU8"/>
    <mergeCell ref="BFJ8:BFK8"/>
    <mergeCell ref="BFN8:BFO8"/>
    <mergeCell ref="BFR8:BFS8"/>
    <mergeCell ref="BFV8:BFW8"/>
    <mergeCell ref="BFZ8:BGA8"/>
    <mergeCell ref="BKT8:BKU8"/>
    <mergeCell ref="BKX8:BKY8"/>
    <mergeCell ref="BLB8:BLC8"/>
    <mergeCell ref="BLF8:BLG8"/>
    <mergeCell ref="BLJ8:BLK8"/>
    <mergeCell ref="BJZ8:BKA8"/>
    <mergeCell ref="BKD8:BKE8"/>
    <mergeCell ref="BKH8:BKI8"/>
    <mergeCell ref="BKL8:BKM8"/>
    <mergeCell ref="BKP8:BKQ8"/>
    <mergeCell ref="BJF8:BJG8"/>
    <mergeCell ref="BJJ8:BJK8"/>
    <mergeCell ref="BJN8:BJO8"/>
    <mergeCell ref="BJR8:BJS8"/>
    <mergeCell ref="BJV8:BJW8"/>
    <mergeCell ref="BIL8:BIM8"/>
    <mergeCell ref="BIP8:BIQ8"/>
    <mergeCell ref="BIT8:BIU8"/>
    <mergeCell ref="BIX8:BIY8"/>
    <mergeCell ref="BJB8:BJC8"/>
    <mergeCell ref="BNV8:BNW8"/>
    <mergeCell ref="BNZ8:BOA8"/>
    <mergeCell ref="BOD8:BOE8"/>
    <mergeCell ref="BOH8:BOI8"/>
    <mergeCell ref="BOL8:BOM8"/>
    <mergeCell ref="BNB8:BNC8"/>
    <mergeCell ref="BNF8:BNG8"/>
    <mergeCell ref="BNJ8:BNK8"/>
    <mergeCell ref="BNN8:BNO8"/>
    <mergeCell ref="BNR8:BNS8"/>
    <mergeCell ref="BMH8:BMI8"/>
    <mergeCell ref="BML8:BMM8"/>
    <mergeCell ref="BMP8:BMQ8"/>
    <mergeCell ref="BMT8:BMU8"/>
    <mergeCell ref="BMX8:BMY8"/>
    <mergeCell ref="BLN8:BLO8"/>
    <mergeCell ref="BLR8:BLS8"/>
    <mergeCell ref="BLV8:BLW8"/>
    <mergeCell ref="BLZ8:BMA8"/>
    <mergeCell ref="BMD8:BME8"/>
    <mergeCell ref="BQX8:BQY8"/>
    <mergeCell ref="BRB8:BRC8"/>
    <mergeCell ref="BRF8:BRG8"/>
    <mergeCell ref="BRJ8:BRK8"/>
    <mergeCell ref="BRN8:BRO8"/>
    <mergeCell ref="BQD8:BQE8"/>
    <mergeCell ref="BQH8:BQI8"/>
    <mergeCell ref="BQL8:BQM8"/>
    <mergeCell ref="BQP8:BQQ8"/>
    <mergeCell ref="BQT8:BQU8"/>
    <mergeCell ref="BPJ8:BPK8"/>
    <mergeCell ref="BPN8:BPO8"/>
    <mergeCell ref="BPR8:BPS8"/>
    <mergeCell ref="BPV8:BPW8"/>
    <mergeCell ref="BPZ8:BQA8"/>
    <mergeCell ref="BOP8:BOQ8"/>
    <mergeCell ref="BOT8:BOU8"/>
    <mergeCell ref="BOX8:BOY8"/>
    <mergeCell ref="BPB8:BPC8"/>
    <mergeCell ref="BPF8:BPG8"/>
    <mergeCell ref="BTZ8:BUA8"/>
    <mergeCell ref="BUD8:BUE8"/>
    <mergeCell ref="BUH8:BUI8"/>
    <mergeCell ref="BUL8:BUM8"/>
    <mergeCell ref="BUP8:BUQ8"/>
    <mergeCell ref="BTF8:BTG8"/>
    <mergeCell ref="BTJ8:BTK8"/>
    <mergeCell ref="BTN8:BTO8"/>
    <mergeCell ref="BTR8:BTS8"/>
    <mergeCell ref="BTV8:BTW8"/>
    <mergeCell ref="BSL8:BSM8"/>
    <mergeCell ref="BSP8:BSQ8"/>
    <mergeCell ref="BST8:BSU8"/>
    <mergeCell ref="BSX8:BSY8"/>
    <mergeCell ref="BTB8:BTC8"/>
    <mergeCell ref="BRR8:BRS8"/>
    <mergeCell ref="BRV8:BRW8"/>
    <mergeCell ref="BRZ8:BSA8"/>
    <mergeCell ref="BSD8:BSE8"/>
    <mergeCell ref="BSH8:BSI8"/>
    <mergeCell ref="BXB8:BXC8"/>
    <mergeCell ref="BXF8:BXG8"/>
    <mergeCell ref="BXJ8:BXK8"/>
    <mergeCell ref="BXN8:BXO8"/>
    <mergeCell ref="BXR8:BXS8"/>
    <mergeCell ref="BWH8:BWI8"/>
    <mergeCell ref="BWL8:BWM8"/>
    <mergeCell ref="BWP8:BWQ8"/>
    <mergeCell ref="BWT8:BWU8"/>
    <mergeCell ref="BWX8:BWY8"/>
    <mergeCell ref="BVN8:BVO8"/>
    <mergeCell ref="BVR8:BVS8"/>
    <mergeCell ref="BVV8:BVW8"/>
    <mergeCell ref="BVZ8:BWA8"/>
    <mergeCell ref="BWD8:BWE8"/>
    <mergeCell ref="BUT8:BUU8"/>
    <mergeCell ref="BUX8:BUY8"/>
    <mergeCell ref="BVB8:BVC8"/>
    <mergeCell ref="BVF8:BVG8"/>
    <mergeCell ref="BVJ8:BVK8"/>
    <mergeCell ref="CAD8:CAE8"/>
    <mergeCell ref="CAH8:CAI8"/>
    <mergeCell ref="CAL8:CAM8"/>
    <mergeCell ref="CAP8:CAQ8"/>
    <mergeCell ref="CAT8:CAU8"/>
    <mergeCell ref="BZJ8:BZK8"/>
    <mergeCell ref="BZN8:BZO8"/>
    <mergeCell ref="BZR8:BZS8"/>
    <mergeCell ref="BZV8:BZW8"/>
    <mergeCell ref="BZZ8:CAA8"/>
    <mergeCell ref="BYP8:BYQ8"/>
    <mergeCell ref="BYT8:BYU8"/>
    <mergeCell ref="BYX8:BYY8"/>
    <mergeCell ref="BZB8:BZC8"/>
    <mergeCell ref="BZF8:BZG8"/>
    <mergeCell ref="BXV8:BXW8"/>
    <mergeCell ref="BXZ8:BYA8"/>
    <mergeCell ref="BYD8:BYE8"/>
    <mergeCell ref="BYH8:BYI8"/>
    <mergeCell ref="BYL8:BYM8"/>
    <mergeCell ref="CDF8:CDG8"/>
    <mergeCell ref="CDJ8:CDK8"/>
    <mergeCell ref="CDN8:CDO8"/>
    <mergeCell ref="CDR8:CDS8"/>
    <mergeCell ref="CDV8:CDW8"/>
    <mergeCell ref="CCL8:CCM8"/>
    <mergeCell ref="CCP8:CCQ8"/>
    <mergeCell ref="CCT8:CCU8"/>
    <mergeCell ref="CCX8:CCY8"/>
    <mergeCell ref="CDB8:CDC8"/>
    <mergeCell ref="CBR8:CBS8"/>
    <mergeCell ref="CBV8:CBW8"/>
    <mergeCell ref="CBZ8:CCA8"/>
    <mergeCell ref="CCD8:CCE8"/>
    <mergeCell ref="CCH8:CCI8"/>
    <mergeCell ref="CAX8:CAY8"/>
    <mergeCell ref="CBB8:CBC8"/>
    <mergeCell ref="CBF8:CBG8"/>
    <mergeCell ref="CBJ8:CBK8"/>
    <mergeCell ref="CBN8:CBO8"/>
    <mergeCell ref="CGH8:CGI8"/>
    <mergeCell ref="CGL8:CGM8"/>
    <mergeCell ref="CGP8:CGQ8"/>
    <mergeCell ref="CGT8:CGU8"/>
    <mergeCell ref="CGX8:CGY8"/>
    <mergeCell ref="CFN8:CFO8"/>
    <mergeCell ref="CFR8:CFS8"/>
    <mergeCell ref="CFV8:CFW8"/>
    <mergeCell ref="CFZ8:CGA8"/>
    <mergeCell ref="CGD8:CGE8"/>
    <mergeCell ref="CET8:CEU8"/>
    <mergeCell ref="CEX8:CEY8"/>
    <mergeCell ref="CFB8:CFC8"/>
    <mergeCell ref="CFF8:CFG8"/>
    <mergeCell ref="CFJ8:CFK8"/>
    <mergeCell ref="CDZ8:CEA8"/>
    <mergeCell ref="CED8:CEE8"/>
    <mergeCell ref="CEH8:CEI8"/>
    <mergeCell ref="CEL8:CEM8"/>
    <mergeCell ref="CEP8:CEQ8"/>
    <mergeCell ref="CJJ8:CJK8"/>
    <mergeCell ref="CJN8:CJO8"/>
    <mergeCell ref="CJR8:CJS8"/>
    <mergeCell ref="CJV8:CJW8"/>
    <mergeCell ref="CJZ8:CKA8"/>
    <mergeCell ref="CIP8:CIQ8"/>
    <mergeCell ref="CIT8:CIU8"/>
    <mergeCell ref="CIX8:CIY8"/>
    <mergeCell ref="CJB8:CJC8"/>
    <mergeCell ref="CJF8:CJG8"/>
    <mergeCell ref="CHV8:CHW8"/>
    <mergeCell ref="CHZ8:CIA8"/>
    <mergeCell ref="CID8:CIE8"/>
    <mergeCell ref="CIH8:CII8"/>
    <mergeCell ref="CIL8:CIM8"/>
    <mergeCell ref="CHB8:CHC8"/>
    <mergeCell ref="CHF8:CHG8"/>
    <mergeCell ref="CHJ8:CHK8"/>
    <mergeCell ref="CHN8:CHO8"/>
    <mergeCell ref="CHR8:CHS8"/>
    <mergeCell ref="CML8:CMM8"/>
    <mergeCell ref="CMP8:CMQ8"/>
    <mergeCell ref="CMT8:CMU8"/>
    <mergeCell ref="CMX8:CMY8"/>
    <mergeCell ref="CNB8:CNC8"/>
    <mergeCell ref="CLR8:CLS8"/>
    <mergeCell ref="CLV8:CLW8"/>
    <mergeCell ref="CLZ8:CMA8"/>
    <mergeCell ref="CMD8:CME8"/>
    <mergeCell ref="CMH8:CMI8"/>
    <mergeCell ref="CKX8:CKY8"/>
    <mergeCell ref="CLB8:CLC8"/>
    <mergeCell ref="CLF8:CLG8"/>
    <mergeCell ref="CLJ8:CLK8"/>
    <mergeCell ref="CLN8:CLO8"/>
    <mergeCell ref="CKD8:CKE8"/>
    <mergeCell ref="CKH8:CKI8"/>
    <mergeCell ref="CKL8:CKM8"/>
    <mergeCell ref="CKP8:CKQ8"/>
    <mergeCell ref="CKT8:CKU8"/>
    <mergeCell ref="CPN8:CPO8"/>
    <mergeCell ref="CPR8:CPS8"/>
    <mergeCell ref="CPV8:CPW8"/>
    <mergeCell ref="CPZ8:CQA8"/>
    <mergeCell ref="CQD8:CQE8"/>
    <mergeCell ref="COT8:COU8"/>
    <mergeCell ref="COX8:COY8"/>
    <mergeCell ref="CPB8:CPC8"/>
    <mergeCell ref="CPF8:CPG8"/>
    <mergeCell ref="CPJ8:CPK8"/>
    <mergeCell ref="CNZ8:COA8"/>
    <mergeCell ref="COD8:COE8"/>
    <mergeCell ref="COH8:COI8"/>
    <mergeCell ref="COL8:COM8"/>
    <mergeCell ref="COP8:COQ8"/>
    <mergeCell ref="CNF8:CNG8"/>
    <mergeCell ref="CNJ8:CNK8"/>
    <mergeCell ref="CNN8:CNO8"/>
    <mergeCell ref="CNR8:CNS8"/>
    <mergeCell ref="CNV8:CNW8"/>
    <mergeCell ref="CSP8:CSQ8"/>
    <mergeCell ref="CST8:CSU8"/>
    <mergeCell ref="CSX8:CSY8"/>
    <mergeCell ref="CTB8:CTC8"/>
    <mergeCell ref="CTF8:CTG8"/>
    <mergeCell ref="CRV8:CRW8"/>
    <mergeCell ref="CRZ8:CSA8"/>
    <mergeCell ref="CSD8:CSE8"/>
    <mergeCell ref="CSH8:CSI8"/>
    <mergeCell ref="CSL8:CSM8"/>
    <mergeCell ref="CRB8:CRC8"/>
    <mergeCell ref="CRF8:CRG8"/>
    <mergeCell ref="CRJ8:CRK8"/>
    <mergeCell ref="CRN8:CRO8"/>
    <mergeCell ref="CRR8:CRS8"/>
    <mergeCell ref="CQH8:CQI8"/>
    <mergeCell ref="CQL8:CQM8"/>
    <mergeCell ref="CQP8:CQQ8"/>
    <mergeCell ref="CQT8:CQU8"/>
    <mergeCell ref="CQX8:CQY8"/>
    <mergeCell ref="CVR8:CVS8"/>
    <mergeCell ref="CVV8:CVW8"/>
    <mergeCell ref="CVZ8:CWA8"/>
    <mergeCell ref="CWD8:CWE8"/>
    <mergeCell ref="CWH8:CWI8"/>
    <mergeCell ref="CUX8:CUY8"/>
    <mergeCell ref="CVB8:CVC8"/>
    <mergeCell ref="CVF8:CVG8"/>
    <mergeCell ref="CVJ8:CVK8"/>
    <mergeCell ref="CVN8:CVO8"/>
    <mergeCell ref="CUD8:CUE8"/>
    <mergeCell ref="CUH8:CUI8"/>
    <mergeCell ref="CUL8:CUM8"/>
    <mergeCell ref="CUP8:CUQ8"/>
    <mergeCell ref="CUT8:CUU8"/>
    <mergeCell ref="CTJ8:CTK8"/>
    <mergeCell ref="CTN8:CTO8"/>
    <mergeCell ref="CTR8:CTS8"/>
    <mergeCell ref="CTV8:CTW8"/>
    <mergeCell ref="CTZ8:CUA8"/>
    <mergeCell ref="CYT8:CYU8"/>
    <mergeCell ref="CYX8:CYY8"/>
    <mergeCell ref="CZB8:CZC8"/>
    <mergeCell ref="CZF8:CZG8"/>
    <mergeCell ref="CZJ8:CZK8"/>
    <mergeCell ref="CXZ8:CYA8"/>
    <mergeCell ref="CYD8:CYE8"/>
    <mergeCell ref="CYH8:CYI8"/>
    <mergeCell ref="CYL8:CYM8"/>
    <mergeCell ref="CYP8:CYQ8"/>
    <mergeCell ref="CXF8:CXG8"/>
    <mergeCell ref="CXJ8:CXK8"/>
    <mergeCell ref="CXN8:CXO8"/>
    <mergeCell ref="CXR8:CXS8"/>
    <mergeCell ref="CXV8:CXW8"/>
    <mergeCell ref="CWL8:CWM8"/>
    <mergeCell ref="CWP8:CWQ8"/>
    <mergeCell ref="CWT8:CWU8"/>
    <mergeCell ref="CWX8:CWY8"/>
    <mergeCell ref="CXB8:CXC8"/>
    <mergeCell ref="DBV8:DBW8"/>
    <mergeCell ref="DBZ8:DCA8"/>
    <mergeCell ref="DCD8:DCE8"/>
    <mergeCell ref="DCH8:DCI8"/>
    <mergeCell ref="DCL8:DCM8"/>
    <mergeCell ref="DBB8:DBC8"/>
    <mergeCell ref="DBF8:DBG8"/>
    <mergeCell ref="DBJ8:DBK8"/>
    <mergeCell ref="DBN8:DBO8"/>
    <mergeCell ref="DBR8:DBS8"/>
    <mergeCell ref="DAH8:DAI8"/>
    <mergeCell ref="DAL8:DAM8"/>
    <mergeCell ref="DAP8:DAQ8"/>
    <mergeCell ref="DAT8:DAU8"/>
    <mergeCell ref="DAX8:DAY8"/>
    <mergeCell ref="CZN8:CZO8"/>
    <mergeCell ref="CZR8:CZS8"/>
    <mergeCell ref="CZV8:CZW8"/>
    <mergeCell ref="CZZ8:DAA8"/>
    <mergeCell ref="DAD8:DAE8"/>
    <mergeCell ref="DEX8:DEY8"/>
    <mergeCell ref="DFB8:DFC8"/>
    <mergeCell ref="DFF8:DFG8"/>
    <mergeCell ref="DFJ8:DFK8"/>
    <mergeCell ref="DFN8:DFO8"/>
    <mergeCell ref="DED8:DEE8"/>
    <mergeCell ref="DEH8:DEI8"/>
    <mergeCell ref="DEL8:DEM8"/>
    <mergeCell ref="DEP8:DEQ8"/>
    <mergeCell ref="DET8:DEU8"/>
    <mergeCell ref="DDJ8:DDK8"/>
    <mergeCell ref="DDN8:DDO8"/>
    <mergeCell ref="DDR8:DDS8"/>
    <mergeCell ref="DDV8:DDW8"/>
    <mergeCell ref="DDZ8:DEA8"/>
    <mergeCell ref="DCP8:DCQ8"/>
    <mergeCell ref="DCT8:DCU8"/>
    <mergeCell ref="DCX8:DCY8"/>
    <mergeCell ref="DDB8:DDC8"/>
    <mergeCell ref="DDF8:DDG8"/>
    <mergeCell ref="DHZ8:DIA8"/>
    <mergeCell ref="DID8:DIE8"/>
    <mergeCell ref="DIH8:DII8"/>
    <mergeCell ref="DIL8:DIM8"/>
    <mergeCell ref="DIP8:DIQ8"/>
    <mergeCell ref="DHF8:DHG8"/>
    <mergeCell ref="DHJ8:DHK8"/>
    <mergeCell ref="DHN8:DHO8"/>
    <mergeCell ref="DHR8:DHS8"/>
    <mergeCell ref="DHV8:DHW8"/>
    <mergeCell ref="DGL8:DGM8"/>
    <mergeCell ref="DGP8:DGQ8"/>
    <mergeCell ref="DGT8:DGU8"/>
    <mergeCell ref="DGX8:DGY8"/>
    <mergeCell ref="DHB8:DHC8"/>
    <mergeCell ref="DFR8:DFS8"/>
    <mergeCell ref="DFV8:DFW8"/>
    <mergeCell ref="DFZ8:DGA8"/>
    <mergeCell ref="DGD8:DGE8"/>
    <mergeCell ref="DGH8:DGI8"/>
    <mergeCell ref="DLB8:DLC8"/>
    <mergeCell ref="DLF8:DLG8"/>
    <mergeCell ref="DLJ8:DLK8"/>
    <mergeCell ref="DLN8:DLO8"/>
    <mergeCell ref="DLR8:DLS8"/>
    <mergeCell ref="DKH8:DKI8"/>
    <mergeCell ref="DKL8:DKM8"/>
    <mergeCell ref="DKP8:DKQ8"/>
    <mergeCell ref="DKT8:DKU8"/>
    <mergeCell ref="DKX8:DKY8"/>
    <mergeCell ref="DJN8:DJO8"/>
    <mergeCell ref="DJR8:DJS8"/>
    <mergeCell ref="DJV8:DJW8"/>
    <mergeCell ref="DJZ8:DKA8"/>
    <mergeCell ref="DKD8:DKE8"/>
    <mergeCell ref="DIT8:DIU8"/>
    <mergeCell ref="DIX8:DIY8"/>
    <mergeCell ref="DJB8:DJC8"/>
    <mergeCell ref="DJF8:DJG8"/>
    <mergeCell ref="DJJ8:DJK8"/>
    <mergeCell ref="DOD8:DOE8"/>
    <mergeCell ref="DOH8:DOI8"/>
    <mergeCell ref="DOL8:DOM8"/>
    <mergeCell ref="DOP8:DOQ8"/>
    <mergeCell ref="DOT8:DOU8"/>
    <mergeCell ref="DNJ8:DNK8"/>
    <mergeCell ref="DNN8:DNO8"/>
    <mergeCell ref="DNR8:DNS8"/>
    <mergeCell ref="DNV8:DNW8"/>
    <mergeCell ref="DNZ8:DOA8"/>
    <mergeCell ref="DMP8:DMQ8"/>
    <mergeCell ref="DMT8:DMU8"/>
    <mergeCell ref="DMX8:DMY8"/>
    <mergeCell ref="DNB8:DNC8"/>
    <mergeCell ref="DNF8:DNG8"/>
    <mergeCell ref="DLV8:DLW8"/>
    <mergeCell ref="DLZ8:DMA8"/>
    <mergeCell ref="DMD8:DME8"/>
    <mergeCell ref="DMH8:DMI8"/>
    <mergeCell ref="DML8:DMM8"/>
    <mergeCell ref="DRF8:DRG8"/>
    <mergeCell ref="DRJ8:DRK8"/>
    <mergeCell ref="DRN8:DRO8"/>
    <mergeCell ref="DRR8:DRS8"/>
    <mergeCell ref="DRV8:DRW8"/>
    <mergeCell ref="DQL8:DQM8"/>
    <mergeCell ref="DQP8:DQQ8"/>
    <mergeCell ref="DQT8:DQU8"/>
    <mergeCell ref="DQX8:DQY8"/>
    <mergeCell ref="DRB8:DRC8"/>
    <mergeCell ref="DPR8:DPS8"/>
    <mergeCell ref="DPV8:DPW8"/>
    <mergeCell ref="DPZ8:DQA8"/>
    <mergeCell ref="DQD8:DQE8"/>
    <mergeCell ref="DQH8:DQI8"/>
    <mergeCell ref="DOX8:DOY8"/>
    <mergeCell ref="DPB8:DPC8"/>
    <mergeCell ref="DPF8:DPG8"/>
    <mergeCell ref="DPJ8:DPK8"/>
    <mergeCell ref="DPN8:DPO8"/>
    <mergeCell ref="DUH8:DUI8"/>
    <mergeCell ref="DUL8:DUM8"/>
    <mergeCell ref="DUP8:DUQ8"/>
    <mergeCell ref="DUT8:DUU8"/>
    <mergeCell ref="DUX8:DUY8"/>
    <mergeCell ref="DTN8:DTO8"/>
    <mergeCell ref="DTR8:DTS8"/>
    <mergeCell ref="DTV8:DTW8"/>
    <mergeCell ref="DTZ8:DUA8"/>
    <mergeCell ref="DUD8:DUE8"/>
    <mergeCell ref="DST8:DSU8"/>
    <mergeCell ref="DSX8:DSY8"/>
    <mergeCell ref="DTB8:DTC8"/>
    <mergeCell ref="DTF8:DTG8"/>
    <mergeCell ref="DTJ8:DTK8"/>
    <mergeCell ref="DRZ8:DSA8"/>
    <mergeCell ref="DSD8:DSE8"/>
    <mergeCell ref="DSH8:DSI8"/>
    <mergeCell ref="DSL8:DSM8"/>
    <mergeCell ref="DSP8:DSQ8"/>
    <mergeCell ref="DXJ8:DXK8"/>
    <mergeCell ref="DXN8:DXO8"/>
    <mergeCell ref="DXR8:DXS8"/>
    <mergeCell ref="DXV8:DXW8"/>
    <mergeCell ref="DXZ8:DYA8"/>
    <mergeCell ref="DWP8:DWQ8"/>
    <mergeCell ref="DWT8:DWU8"/>
    <mergeCell ref="DWX8:DWY8"/>
    <mergeCell ref="DXB8:DXC8"/>
    <mergeCell ref="DXF8:DXG8"/>
    <mergeCell ref="DVV8:DVW8"/>
    <mergeCell ref="DVZ8:DWA8"/>
    <mergeCell ref="DWD8:DWE8"/>
    <mergeCell ref="DWH8:DWI8"/>
    <mergeCell ref="DWL8:DWM8"/>
    <mergeCell ref="DVB8:DVC8"/>
    <mergeCell ref="DVF8:DVG8"/>
    <mergeCell ref="DVJ8:DVK8"/>
    <mergeCell ref="DVN8:DVO8"/>
    <mergeCell ref="DVR8:DVS8"/>
    <mergeCell ref="EAL8:EAM8"/>
    <mergeCell ref="EAP8:EAQ8"/>
    <mergeCell ref="EAT8:EAU8"/>
    <mergeCell ref="EAX8:EAY8"/>
    <mergeCell ref="EBB8:EBC8"/>
    <mergeCell ref="DZR8:DZS8"/>
    <mergeCell ref="DZV8:DZW8"/>
    <mergeCell ref="DZZ8:EAA8"/>
    <mergeCell ref="EAD8:EAE8"/>
    <mergeCell ref="EAH8:EAI8"/>
    <mergeCell ref="DYX8:DYY8"/>
    <mergeCell ref="DZB8:DZC8"/>
    <mergeCell ref="DZF8:DZG8"/>
    <mergeCell ref="DZJ8:DZK8"/>
    <mergeCell ref="DZN8:DZO8"/>
    <mergeCell ref="DYD8:DYE8"/>
    <mergeCell ref="DYH8:DYI8"/>
    <mergeCell ref="DYL8:DYM8"/>
    <mergeCell ref="DYP8:DYQ8"/>
    <mergeCell ref="DYT8:DYU8"/>
    <mergeCell ref="EDN8:EDO8"/>
    <mergeCell ref="EDR8:EDS8"/>
    <mergeCell ref="EDV8:EDW8"/>
    <mergeCell ref="EDZ8:EEA8"/>
    <mergeCell ref="EED8:EEE8"/>
    <mergeCell ref="ECT8:ECU8"/>
    <mergeCell ref="ECX8:ECY8"/>
    <mergeCell ref="EDB8:EDC8"/>
    <mergeCell ref="EDF8:EDG8"/>
    <mergeCell ref="EDJ8:EDK8"/>
    <mergeCell ref="EBZ8:ECA8"/>
    <mergeCell ref="ECD8:ECE8"/>
    <mergeCell ref="ECH8:ECI8"/>
    <mergeCell ref="ECL8:ECM8"/>
    <mergeCell ref="ECP8:ECQ8"/>
    <mergeCell ref="EBF8:EBG8"/>
    <mergeCell ref="EBJ8:EBK8"/>
    <mergeCell ref="EBN8:EBO8"/>
    <mergeCell ref="EBR8:EBS8"/>
    <mergeCell ref="EBV8:EBW8"/>
    <mergeCell ref="EGP8:EGQ8"/>
    <mergeCell ref="EGT8:EGU8"/>
    <mergeCell ref="EGX8:EGY8"/>
    <mergeCell ref="EHB8:EHC8"/>
    <mergeCell ref="EHF8:EHG8"/>
    <mergeCell ref="EFV8:EFW8"/>
    <mergeCell ref="EFZ8:EGA8"/>
    <mergeCell ref="EGD8:EGE8"/>
    <mergeCell ref="EGH8:EGI8"/>
    <mergeCell ref="EGL8:EGM8"/>
    <mergeCell ref="EFB8:EFC8"/>
    <mergeCell ref="EFF8:EFG8"/>
    <mergeCell ref="EFJ8:EFK8"/>
    <mergeCell ref="EFN8:EFO8"/>
    <mergeCell ref="EFR8:EFS8"/>
    <mergeCell ref="EEH8:EEI8"/>
    <mergeCell ref="EEL8:EEM8"/>
    <mergeCell ref="EEP8:EEQ8"/>
    <mergeCell ref="EET8:EEU8"/>
    <mergeCell ref="EEX8:EEY8"/>
    <mergeCell ref="EJR8:EJS8"/>
    <mergeCell ref="EJV8:EJW8"/>
    <mergeCell ref="EJZ8:EKA8"/>
    <mergeCell ref="EKD8:EKE8"/>
    <mergeCell ref="EKH8:EKI8"/>
    <mergeCell ref="EIX8:EIY8"/>
    <mergeCell ref="EJB8:EJC8"/>
    <mergeCell ref="EJF8:EJG8"/>
    <mergeCell ref="EJJ8:EJK8"/>
    <mergeCell ref="EJN8:EJO8"/>
    <mergeCell ref="EID8:EIE8"/>
    <mergeCell ref="EIH8:EII8"/>
    <mergeCell ref="EIL8:EIM8"/>
    <mergeCell ref="EIP8:EIQ8"/>
    <mergeCell ref="EIT8:EIU8"/>
    <mergeCell ref="EHJ8:EHK8"/>
    <mergeCell ref="EHN8:EHO8"/>
    <mergeCell ref="EHR8:EHS8"/>
    <mergeCell ref="EHV8:EHW8"/>
    <mergeCell ref="EHZ8:EIA8"/>
    <mergeCell ref="EMT8:EMU8"/>
    <mergeCell ref="EMX8:EMY8"/>
    <mergeCell ref="ENB8:ENC8"/>
    <mergeCell ref="ENF8:ENG8"/>
    <mergeCell ref="ENJ8:ENK8"/>
    <mergeCell ref="ELZ8:EMA8"/>
    <mergeCell ref="EMD8:EME8"/>
    <mergeCell ref="EMH8:EMI8"/>
    <mergeCell ref="EML8:EMM8"/>
    <mergeCell ref="EMP8:EMQ8"/>
    <mergeCell ref="ELF8:ELG8"/>
    <mergeCell ref="ELJ8:ELK8"/>
    <mergeCell ref="ELN8:ELO8"/>
    <mergeCell ref="ELR8:ELS8"/>
    <mergeCell ref="ELV8:ELW8"/>
    <mergeCell ref="EKL8:EKM8"/>
    <mergeCell ref="EKP8:EKQ8"/>
    <mergeCell ref="EKT8:EKU8"/>
    <mergeCell ref="EKX8:EKY8"/>
    <mergeCell ref="ELB8:ELC8"/>
    <mergeCell ref="EPV8:EPW8"/>
    <mergeCell ref="EPZ8:EQA8"/>
    <mergeCell ref="EQD8:EQE8"/>
    <mergeCell ref="EQH8:EQI8"/>
    <mergeCell ref="EQL8:EQM8"/>
    <mergeCell ref="EPB8:EPC8"/>
    <mergeCell ref="EPF8:EPG8"/>
    <mergeCell ref="EPJ8:EPK8"/>
    <mergeCell ref="EPN8:EPO8"/>
    <mergeCell ref="EPR8:EPS8"/>
    <mergeCell ref="EOH8:EOI8"/>
    <mergeCell ref="EOL8:EOM8"/>
    <mergeCell ref="EOP8:EOQ8"/>
    <mergeCell ref="EOT8:EOU8"/>
    <mergeCell ref="EOX8:EOY8"/>
    <mergeCell ref="ENN8:ENO8"/>
    <mergeCell ref="ENR8:ENS8"/>
    <mergeCell ref="ENV8:ENW8"/>
    <mergeCell ref="ENZ8:EOA8"/>
    <mergeCell ref="EOD8:EOE8"/>
    <mergeCell ref="ESX8:ESY8"/>
    <mergeCell ref="ETB8:ETC8"/>
    <mergeCell ref="ETF8:ETG8"/>
    <mergeCell ref="ETJ8:ETK8"/>
    <mergeCell ref="ETN8:ETO8"/>
    <mergeCell ref="ESD8:ESE8"/>
    <mergeCell ref="ESH8:ESI8"/>
    <mergeCell ref="ESL8:ESM8"/>
    <mergeCell ref="ESP8:ESQ8"/>
    <mergeCell ref="EST8:ESU8"/>
    <mergeCell ref="ERJ8:ERK8"/>
    <mergeCell ref="ERN8:ERO8"/>
    <mergeCell ref="ERR8:ERS8"/>
    <mergeCell ref="ERV8:ERW8"/>
    <mergeCell ref="ERZ8:ESA8"/>
    <mergeCell ref="EQP8:EQQ8"/>
    <mergeCell ref="EQT8:EQU8"/>
    <mergeCell ref="EQX8:EQY8"/>
    <mergeCell ref="ERB8:ERC8"/>
    <mergeCell ref="ERF8:ERG8"/>
    <mergeCell ref="EVZ8:EWA8"/>
    <mergeCell ref="EWD8:EWE8"/>
    <mergeCell ref="EWH8:EWI8"/>
    <mergeCell ref="EWL8:EWM8"/>
    <mergeCell ref="EWP8:EWQ8"/>
    <mergeCell ref="EVF8:EVG8"/>
    <mergeCell ref="EVJ8:EVK8"/>
    <mergeCell ref="EVN8:EVO8"/>
    <mergeCell ref="EVR8:EVS8"/>
    <mergeCell ref="EVV8:EVW8"/>
    <mergeCell ref="EUL8:EUM8"/>
    <mergeCell ref="EUP8:EUQ8"/>
    <mergeCell ref="EUT8:EUU8"/>
    <mergeCell ref="EUX8:EUY8"/>
    <mergeCell ref="EVB8:EVC8"/>
    <mergeCell ref="ETR8:ETS8"/>
    <mergeCell ref="ETV8:ETW8"/>
    <mergeCell ref="ETZ8:EUA8"/>
    <mergeCell ref="EUD8:EUE8"/>
    <mergeCell ref="EUH8:EUI8"/>
    <mergeCell ref="EZB8:EZC8"/>
    <mergeCell ref="EZF8:EZG8"/>
    <mergeCell ref="EZJ8:EZK8"/>
    <mergeCell ref="EZN8:EZO8"/>
    <mergeCell ref="EZR8:EZS8"/>
    <mergeCell ref="EYH8:EYI8"/>
    <mergeCell ref="EYL8:EYM8"/>
    <mergeCell ref="EYP8:EYQ8"/>
    <mergeCell ref="EYT8:EYU8"/>
    <mergeCell ref="EYX8:EYY8"/>
    <mergeCell ref="EXN8:EXO8"/>
    <mergeCell ref="EXR8:EXS8"/>
    <mergeCell ref="EXV8:EXW8"/>
    <mergeCell ref="EXZ8:EYA8"/>
    <mergeCell ref="EYD8:EYE8"/>
    <mergeCell ref="EWT8:EWU8"/>
    <mergeCell ref="EWX8:EWY8"/>
    <mergeCell ref="EXB8:EXC8"/>
    <mergeCell ref="EXF8:EXG8"/>
    <mergeCell ref="EXJ8:EXK8"/>
    <mergeCell ref="FCD8:FCE8"/>
    <mergeCell ref="FCH8:FCI8"/>
    <mergeCell ref="FCL8:FCM8"/>
    <mergeCell ref="FCP8:FCQ8"/>
    <mergeCell ref="FCT8:FCU8"/>
    <mergeCell ref="FBJ8:FBK8"/>
    <mergeCell ref="FBN8:FBO8"/>
    <mergeCell ref="FBR8:FBS8"/>
    <mergeCell ref="FBV8:FBW8"/>
    <mergeCell ref="FBZ8:FCA8"/>
    <mergeCell ref="FAP8:FAQ8"/>
    <mergeCell ref="FAT8:FAU8"/>
    <mergeCell ref="FAX8:FAY8"/>
    <mergeCell ref="FBB8:FBC8"/>
    <mergeCell ref="FBF8:FBG8"/>
    <mergeCell ref="EZV8:EZW8"/>
    <mergeCell ref="EZZ8:FAA8"/>
    <mergeCell ref="FAD8:FAE8"/>
    <mergeCell ref="FAH8:FAI8"/>
    <mergeCell ref="FAL8:FAM8"/>
    <mergeCell ref="FFF8:FFG8"/>
    <mergeCell ref="FFJ8:FFK8"/>
    <mergeCell ref="FFN8:FFO8"/>
    <mergeCell ref="FFR8:FFS8"/>
    <mergeCell ref="FFV8:FFW8"/>
    <mergeCell ref="FEL8:FEM8"/>
    <mergeCell ref="FEP8:FEQ8"/>
    <mergeCell ref="FET8:FEU8"/>
    <mergeCell ref="FEX8:FEY8"/>
    <mergeCell ref="FFB8:FFC8"/>
    <mergeCell ref="FDR8:FDS8"/>
    <mergeCell ref="FDV8:FDW8"/>
    <mergeCell ref="FDZ8:FEA8"/>
    <mergeCell ref="FED8:FEE8"/>
    <mergeCell ref="FEH8:FEI8"/>
    <mergeCell ref="FCX8:FCY8"/>
    <mergeCell ref="FDB8:FDC8"/>
    <mergeCell ref="FDF8:FDG8"/>
    <mergeCell ref="FDJ8:FDK8"/>
    <mergeCell ref="FDN8:FDO8"/>
    <mergeCell ref="FIH8:FII8"/>
    <mergeCell ref="FIL8:FIM8"/>
    <mergeCell ref="FIP8:FIQ8"/>
    <mergeCell ref="FIT8:FIU8"/>
    <mergeCell ref="FIX8:FIY8"/>
    <mergeCell ref="FHN8:FHO8"/>
    <mergeCell ref="FHR8:FHS8"/>
    <mergeCell ref="FHV8:FHW8"/>
    <mergeCell ref="FHZ8:FIA8"/>
    <mergeCell ref="FID8:FIE8"/>
    <mergeCell ref="FGT8:FGU8"/>
    <mergeCell ref="FGX8:FGY8"/>
    <mergeCell ref="FHB8:FHC8"/>
    <mergeCell ref="FHF8:FHG8"/>
    <mergeCell ref="FHJ8:FHK8"/>
    <mergeCell ref="FFZ8:FGA8"/>
    <mergeCell ref="FGD8:FGE8"/>
    <mergeCell ref="FGH8:FGI8"/>
    <mergeCell ref="FGL8:FGM8"/>
    <mergeCell ref="FGP8:FGQ8"/>
    <mergeCell ref="FLJ8:FLK8"/>
    <mergeCell ref="FLN8:FLO8"/>
    <mergeCell ref="FLR8:FLS8"/>
    <mergeCell ref="FLV8:FLW8"/>
    <mergeCell ref="FLZ8:FMA8"/>
    <mergeCell ref="FKP8:FKQ8"/>
    <mergeCell ref="FKT8:FKU8"/>
    <mergeCell ref="FKX8:FKY8"/>
    <mergeCell ref="FLB8:FLC8"/>
    <mergeCell ref="FLF8:FLG8"/>
    <mergeCell ref="FJV8:FJW8"/>
    <mergeCell ref="FJZ8:FKA8"/>
    <mergeCell ref="FKD8:FKE8"/>
    <mergeCell ref="FKH8:FKI8"/>
    <mergeCell ref="FKL8:FKM8"/>
    <mergeCell ref="FJB8:FJC8"/>
    <mergeCell ref="FJF8:FJG8"/>
    <mergeCell ref="FJJ8:FJK8"/>
    <mergeCell ref="FJN8:FJO8"/>
    <mergeCell ref="FJR8:FJS8"/>
    <mergeCell ref="FOL8:FOM8"/>
    <mergeCell ref="FOP8:FOQ8"/>
    <mergeCell ref="FOT8:FOU8"/>
    <mergeCell ref="FOX8:FOY8"/>
    <mergeCell ref="FPB8:FPC8"/>
    <mergeCell ref="FNR8:FNS8"/>
    <mergeCell ref="FNV8:FNW8"/>
    <mergeCell ref="FNZ8:FOA8"/>
    <mergeCell ref="FOD8:FOE8"/>
    <mergeCell ref="FOH8:FOI8"/>
    <mergeCell ref="FMX8:FMY8"/>
    <mergeCell ref="FNB8:FNC8"/>
    <mergeCell ref="FNF8:FNG8"/>
    <mergeCell ref="FNJ8:FNK8"/>
    <mergeCell ref="FNN8:FNO8"/>
    <mergeCell ref="FMD8:FME8"/>
    <mergeCell ref="FMH8:FMI8"/>
    <mergeCell ref="FML8:FMM8"/>
    <mergeCell ref="FMP8:FMQ8"/>
    <mergeCell ref="FMT8:FMU8"/>
    <mergeCell ref="FRN8:FRO8"/>
    <mergeCell ref="FRR8:FRS8"/>
    <mergeCell ref="FRV8:FRW8"/>
    <mergeCell ref="FRZ8:FSA8"/>
    <mergeCell ref="FSD8:FSE8"/>
    <mergeCell ref="FQT8:FQU8"/>
    <mergeCell ref="FQX8:FQY8"/>
    <mergeCell ref="FRB8:FRC8"/>
    <mergeCell ref="FRF8:FRG8"/>
    <mergeCell ref="FRJ8:FRK8"/>
    <mergeCell ref="FPZ8:FQA8"/>
    <mergeCell ref="FQD8:FQE8"/>
    <mergeCell ref="FQH8:FQI8"/>
    <mergeCell ref="FQL8:FQM8"/>
    <mergeCell ref="FQP8:FQQ8"/>
    <mergeCell ref="FPF8:FPG8"/>
    <mergeCell ref="FPJ8:FPK8"/>
    <mergeCell ref="FPN8:FPO8"/>
    <mergeCell ref="FPR8:FPS8"/>
    <mergeCell ref="FPV8:FPW8"/>
    <mergeCell ref="FUP8:FUQ8"/>
    <mergeCell ref="FUT8:FUU8"/>
    <mergeCell ref="FUX8:FUY8"/>
    <mergeCell ref="FVB8:FVC8"/>
    <mergeCell ref="FVF8:FVG8"/>
    <mergeCell ref="FTV8:FTW8"/>
    <mergeCell ref="FTZ8:FUA8"/>
    <mergeCell ref="FUD8:FUE8"/>
    <mergeCell ref="FUH8:FUI8"/>
    <mergeCell ref="FUL8:FUM8"/>
    <mergeCell ref="FTB8:FTC8"/>
    <mergeCell ref="FTF8:FTG8"/>
    <mergeCell ref="FTJ8:FTK8"/>
    <mergeCell ref="FTN8:FTO8"/>
    <mergeCell ref="FTR8:FTS8"/>
    <mergeCell ref="FSH8:FSI8"/>
    <mergeCell ref="FSL8:FSM8"/>
    <mergeCell ref="FSP8:FSQ8"/>
    <mergeCell ref="FST8:FSU8"/>
    <mergeCell ref="FSX8:FSY8"/>
    <mergeCell ref="FXR8:FXS8"/>
    <mergeCell ref="FXV8:FXW8"/>
    <mergeCell ref="FXZ8:FYA8"/>
    <mergeCell ref="FYD8:FYE8"/>
    <mergeCell ref="FYH8:FYI8"/>
    <mergeCell ref="FWX8:FWY8"/>
    <mergeCell ref="FXB8:FXC8"/>
    <mergeCell ref="FXF8:FXG8"/>
    <mergeCell ref="FXJ8:FXK8"/>
    <mergeCell ref="FXN8:FXO8"/>
    <mergeCell ref="FWD8:FWE8"/>
    <mergeCell ref="FWH8:FWI8"/>
    <mergeCell ref="FWL8:FWM8"/>
    <mergeCell ref="FWP8:FWQ8"/>
    <mergeCell ref="FWT8:FWU8"/>
    <mergeCell ref="FVJ8:FVK8"/>
    <mergeCell ref="FVN8:FVO8"/>
    <mergeCell ref="FVR8:FVS8"/>
    <mergeCell ref="FVV8:FVW8"/>
    <mergeCell ref="FVZ8:FWA8"/>
    <mergeCell ref="GAT8:GAU8"/>
    <mergeCell ref="GAX8:GAY8"/>
    <mergeCell ref="GBB8:GBC8"/>
    <mergeCell ref="GBF8:GBG8"/>
    <mergeCell ref="GBJ8:GBK8"/>
    <mergeCell ref="FZZ8:GAA8"/>
    <mergeCell ref="GAD8:GAE8"/>
    <mergeCell ref="GAH8:GAI8"/>
    <mergeCell ref="GAL8:GAM8"/>
    <mergeCell ref="GAP8:GAQ8"/>
    <mergeCell ref="FZF8:FZG8"/>
    <mergeCell ref="FZJ8:FZK8"/>
    <mergeCell ref="FZN8:FZO8"/>
    <mergeCell ref="FZR8:FZS8"/>
    <mergeCell ref="FZV8:FZW8"/>
    <mergeCell ref="FYL8:FYM8"/>
    <mergeCell ref="FYP8:FYQ8"/>
    <mergeCell ref="FYT8:FYU8"/>
    <mergeCell ref="FYX8:FYY8"/>
    <mergeCell ref="FZB8:FZC8"/>
    <mergeCell ref="GDV8:GDW8"/>
    <mergeCell ref="GDZ8:GEA8"/>
    <mergeCell ref="GED8:GEE8"/>
    <mergeCell ref="GEH8:GEI8"/>
    <mergeCell ref="GEL8:GEM8"/>
    <mergeCell ref="GDB8:GDC8"/>
    <mergeCell ref="GDF8:GDG8"/>
    <mergeCell ref="GDJ8:GDK8"/>
    <mergeCell ref="GDN8:GDO8"/>
    <mergeCell ref="GDR8:GDS8"/>
    <mergeCell ref="GCH8:GCI8"/>
    <mergeCell ref="GCL8:GCM8"/>
    <mergeCell ref="GCP8:GCQ8"/>
    <mergeCell ref="GCT8:GCU8"/>
    <mergeCell ref="GCX8:GCY8"/>
    <mergeCell ref="GBN8:GBO8"/>
    <mergeCell ref="GBR8:GBS8"/>
    <mergeCell ref="GBV8:GBW8"/>
    <mergeCell ref="GBZ8:GCA8"/>
    <mergeCell ref="GCD8:GCE8"/>
    <mergeCell ref="GGX8:GGY8"/>
    <mergeCell ref="GHB8:GHC8"/>
    <mergeCell ref="GHF8:GHG8"/>
    <mergeCell ref="GHJ8:GHK8"/>
    <mergeCell ref="GHN8:GHO8"/>
    <mergeCell ref="GGD8:GGE8"/>
    <mergeCell ref="GGH8:GGI8"/>
    <mergeCell ref="GGL8:GGM8"/>
    <mergeCell ref="GGP8:GGQ8"/>
    <mergeCell ref="GGT8:GGU8"/>
    <mergeCell ref="GFJ8:GFK8"/>
    <mergeCell ref="GFN8:GFO8"/>
    <mergeCell ref="GFR8:GFS8"/>
    <mergeCell ref="GFV8:GFW8"/>
    <mergeCell ref="GFZ8:GGA8"/>
    <mergeCell ref="GEP8:GEQ8"/>
    <mergeCell ref="GET8:GEU8"/>
    <mergeCell ref="GEX8:GEY8"/>
    <mergeCell ref="GFB8:GFC8"/>
    <mergeCell ref="GFF8:GFG8"/>
    <mergeCell ref="GJZ8:GKA8"/>
    <mergeCell ref="GKD8:GKE8"/>
    <mergeCell ref="GKH8:GKI8"/>
    <mergeCell ref="GKL8:GKM8"/>
    <mergeCell ref="GKP8:GKQ8"/>
    <mergeCell ref="GJF8:GJG8"/>
    <mergeCell ref="GJJ8:GJK8"/>
    <mergeCell ref="GJN8:GJO8"/>
    <mergeCell ref="GJR8:GJS8"/>
    <mergeCell ref="GJV8:GJW8"/>
    <mergeCell ref="GIL8:GIM8"/>
    <mergeCell ref="GIP8:GIQ8"/>
    <mergeCell ref="GIT8:GIU8"/>
    <mergeCell ref="GIX8:GIY8"/>
    <mergeCell ref="GJB8:GJC8"/>
    <mergeCell ref="GHR8:GHS8"/>
    <mergeCell ref="GHV8:GHW8"/>
    <mergeCell ref="GHZ8:GIA8"/>
    <mergeCell ref="GID8:GIE8"/>
    <mergeCell ref="GIH8:GII8"/>
    <mergeCell ref="GNB8:GNC8"/>
    <mergeCell ref="GNF8:GNG8"/>
    <mergeCell ref="GNJ8:GNK8"/>
    <mergeCell ref="GNN8:GNO8"/>
    <mergeCell ref="GNR8:GNS8"/>
    <mergeCell ref="GMH8:GMI8"/>
    <mergeCell ref="GML8:GMM8"/>
    <mergeCell ref="GMP8:GMQ8"/>
    <mergeCell ref="GMT8:GMU8"/>
    <mergeCell ref="GMX8:GMY8"/>
    <mergeCell ref="GLN8:GLO8"/>
    <mergeCell ref="GLR8:GLS8"/>
    <mergeCell ref="GLV8:GLW8"/>
    <mergeCell ref="GLZ8:GMA8"/>
    <mergeCell ref="GMD8:GME8"/>
    <mergeCell ref="GKT8:GKU8"/>
    <mergeCell ref="GKX8:GKY8"/>
    <mergeCell ref="GLB8:GLC8"/>
    <mergeCell ref="GLF8:GLG8"/>
    <mergeCell ref="GLJ8:GLK8"/>
    <mergeCell ref="GQD8:GQE8"/>
    <mergeCell ref="GQH8:GQI8"/>
    <mergeCell ref="GQL8:GQM8"/>
    <mergeCell ref="GQP8:GQQ8"/>
    <mergeCell ref="GQT8:GQU8"/>
    <mergeCell ref="GPJ8:GPK8"/>
    <mergeCell ref="GPN8:GPO8"/>
    <mergeCell ref="GPR8:GPS8"/>
    <mergeCell ref="GPV8:GPW8"/>
    <mergeCell ref="GPZ8:GQA8"/>
    <mergeCell ref="GOP8:GOQ8"/>
    <mergeCell ref="GOT8:GOU8"/>
    <mergeCell ref="GOX8:GOY8"/>
    <mergeCell ref="GPB8:GPC8"/>
    <mergeCell ref="GPF8:GPG8"/>
    <mergeCell ref="GNV8:GNW8"/>
    <mergeCell ref="GNZ8:GOA8"/>
    <mergeCell ref="GOD8:GOE8"/>
    <mergeCell ref="GOH8:GOI8"/>
    <mergeCell ref="GOL8:GOM8"/>
    <mergeCell ref="GTF8:GTG8"/>
    <mergeCell ref="GTJ8:GTK8"/>
    <mergeCell ref="GTN8:GTO8"/>
    <mergeCell ref="GTR8:GTS8"/>
    <mergeCell ref="GTV8:GTW8"/>
    <mergeCell ref="GSL8:GSM8"/>
    <mergeCell ref="GSP8:GSQ8"/>
    <mergeCell ref="GST8:GSU8"/>
    <mergeCell ref="GSX8:GSY8"/>
    <mergeCell ref="GTB8:GTC8"/>
    <mergeCell ref="GRR8:GRS8"/>
    <mergeCell ref="GRV8:GRW8"/>
    <mergeCell ref="GRZ8:GSA8"/>
    <mergeCell ref="GSD8:GSE8"/>
    <mergeCell ref="GSH8:GSI8"/>
    <mergeCell ref="GQX8:GQY8"/>
    <mergeCell ref="GRB8:GRC8"/>
    <mergeCell ref="GRF8:GRG8"/>
    <mergeCell ref="GRJ8:GRK8"/>
    <mergeCell ref="GRN8:GRO8"/>
    <mergeCell ref="GWH8:GWI8"/>
    <mergeCell ref="GWL8:GWM8"/>
    <mergeCell ref="GWP8:GWQ8"/>
    <mergeCell ref="GWT8:GWU8"/>
    <mergeCell ref="GWX8:GWY8"/>
    <mergeCell ref="GVN8:GVO8"/>
    <mergeCell ref="GVR8:GVS8"/>
    <mergeCell ref="GVV8:GVW8"/>
    <mergeCell ref="GVZ8:GWA8"/>
    <mergeCell ref="GWD8:GWE8"/>
    <mergeCell ref="GUT8:GUU8"/>
    <mergeCell ref="GUX8:GUY8"/>
    <mergeCell ref="GVB8:GVC8"/>
    <mergeCell ref="GVF8:GVG8"/>
    <mergeCell ref="GVJ8:GVK8"/>
    <mergeCell ref="GTZ8:GUA8"/>
    <mergeCell ref="GUD8:GUE8"/>
    <mergeCell ref="GUH8:GUI8"/>
    <mergeCell ref="GUL8:GUM8"/>
    <mergeCell ref="GUP8:GUQ8"/>
    <mergeCell ref="GZJ8:GZK8"/>
    <mergeCell ref="GZN8:GZO8"/>
    <mergeCell ref="GZR8:GZS8"/>
    <mergeCell ref="GZV8:GZW8"/>
    <mergeCell ref="GZZ8:HAA8"/>
    <mergeCell ref="GYP8:GYQ8"/>
    <mergeCell ref="GYT8:GYU8"/>
    <mergeCell ref="GYX8:GYY8"/>
    <mergeCell ref="GZB8:GZC8"/>
    <mergeCell ref="GZF8:GZG8"/>
    <mergeCell ref="GXV8:GXW8"/>
    <mergeCell ref="GXZ8:GYA8"/>
    <mergeCell ref="GYD8:GYE8"/>
    <mergeCell ref="GYH8:GYI8"/>
    <mergeCell ref="GYL8:GYM8"/>
    <mergeCell ref="GXB8:GXC8"/>
    <mergeCell ref="GXF8:GXG8"/>
    <mergeCell ref="GXJ8:GXK8"/>
    <mergeCell ref="GXN8:GXO8"/>
    <mergeCell ref="GXR8:GXS8"/>
    <mergeCell ref="HCL8:HCM8"/>
    <mergeCell ref="HCP8:HCQ8"/>
    <mergeCell ref="HCT8:HCU8"/>
    <mergeCell ref="HCX8:HCY8"/>
    <mergeCell ref="HDB8:HDC8"/>
    <mergeCell ref="HBR8:HBS8"/>
    <mergeCell ref="HBV8:HBW8"/>
    <mergeCell ref="HBZ8:HCA8"/>
    <mergeCell ref="HCD8:HCE8"/>
    <mergeCell ref="HCH8:HCI8"/>
    <mergeCell ref="HAX8:HAY8"/>
    <mergeCell ref="HBB8:HBC8"/>
    <mergeCell ref="HBF8:HBG8"/>
    <mergeCell ref="HBJ8:HBK8"/>
    <mergeCell ref="HBN8:HBO8"/>
    <mergeCell ref="HAD8:HAE8"/>
    <mergeCell ref="HAH8:HAI8"/>
    <mergeCell ref="HAL8:HAM8"/>
    <mergeCell ref="HAP8:HAQ8"/>
    <mergeCell ref="HAT8:HAU8"/>
    <mergeCell ref="HFN8:HFO8"/>
    <mergeCell ref="HFR8:HFS8"/>
    <mergeCell ref="HFV8:HFW8"/>
    <mergeCell ref="HFZ8:HGA8"/>
    <mergeCell ref="HGD8:HGE8"/>
    <mergeCell ref="HET8:HEU8"/>
    <mergeCell ref="HEX8:HEY8"/>
    <mergeCell ref="HFB8:HFC8"/>
    <mergeCell ref="HFF8:HFG8"/>
    <mergeCell ref="HFJ8:HFK8"/>
    <mergeCell ref="HDZ8:HEA8"/>
    <mergeCell ref="HED8:HEE8"/>
    <mergeCell ref="HEH8:HEI8"/>
    <mergeCell ref="HEL8:HEM8"/>
    <mergeCell ref="HEP8:HEQ8"/>
    <mergeCell ref="HDF8:HDG8"/>
    <mergeCell ref="HDJ8:HDK8"/>
    <mergeCell ref="HDN8:HDO8"/>
    <mergeCell ref="HDR8:HDS8"/>
    <mergeCell ref="HDV8:HDW8"/>
    <mergeCell ref="HIP8:HIQ8"/>
    <mergeCell ref="HIT8:HIU8"/>
    <mergeCell ref="HIX8:HIY8"/>
    <mergeCell ref="HJB8:HJC8"/>
    <mergeCell ref="HJF8:HJG8"/>
    <mergeCell ref="HHV8:HHW8"/>
    <mergeCell ref="HHZ8:HIA8"/>
    <mergeCell ref="HID8:HIE8"/>
    <mergeCell ref="HIH8:HII8"/>
    <mergeCell ref="HIL8:HIM8"/>
    <mergeCell ref="HHB8:HHC8"/>
    <mergeCell ref="HHF8:HHG8"/>
    <mergeCell ref="HHJ8:HHK8"/>
    <mergeCell ref="HHN8:HHO8"/>
    <mergeCell ref="HHR8:HHS8"/>
    <mergeCell ref="HGH8:HGI8"/>
    <mergeCell ref="HGL8:HGM8"/>
    <mergeCell ref="HGP8:HGQ8"/>
    <mergeCell ref="HGT8:HGU8"/>
    <mergeCell ref="HGX8:HGY8"/>
    <mergeCell ref="HLR8:HLS8"/>
    <mergeCell ref="HLV8:HLW8"/>
    <mergeCell ref="HLZ8:HMA8"/>
    <mergeCell ref="HMD8:HME8"/>
    <mergeCell ref="HMH8:HMI8"/>
    <mergeCell ref="HKX8:HKY8"/>
    <mergeCell ref="HLB8:HLC8"/>
    <mergeCell ref="HLF8:HLG8"/>
    <mergeCell ref="HLJ8:HLK8"/>
    <mergeCell ref="HLN8:HLO8"/>
    <mergeCell ref="HKD8:HKE8"/>
    <mergeCell ref="HKH8:HKI8"/>
    <mergeCell ref="HKL8:HKM8"/>
    <mergeCell ref="HKP8:HKQ8"/>
    <mergeCell ref="HKT8:HKU8"/>
    <mergeCell ref="HJJ8:HJK8"/>
    <mergeCell ref="HJN8:HJO8"/>
    <mergeCell ref="HJR8:HJS8"/>
    <mergeCell ref="HJV8:HJW8"/>
    <mergeCell ref="HJZ8:HKA8"/>
    <mergeCell ref="HOT8:HOU8"/>
    <mergeCell ref="HOX8:HOY8"/>
    <mergeCell ref="HPB8:HPC8"/>
    <mergeCell ref="HPF8:HPG8"/>
    <mergeCell ref="HPJ8:HPK8"/>
    <mergeCell ref="HNZ8:HOA8"/>
    <mergeCell ref="HOD8:HOE8"/>
    <mergeCell ref="HOH8:HOI8"/>
    <mergeCell ref="HOL8:HOM8"/>
    <mergeCell ref="HOP8:HOQ8"/>
    <mergeCell ref="HNF8:HNG8"/>
    <mergeCell ref="HNJ8:HNK8"/>
    <mergeCell ref="HNN8:HNO8"/>
    <mergeCell ref="HNR8:HNS8"/>
    <mergeCell ref="HNV8:HNW8"/>
    <mergeCell ref="HML8:HMM8"/>
    <mergeCell ref="HMP8:HMQ8"/>
    <mergeCell ref="HMT8:HMU8"/>
    <mergeCell ref="HMX8:HMY8"/>
    <mergeCell ref="HNB8:HNC8"/>
    <mergeCell ref="HRV8:HRW8"/>
    <mergeCell ref="HRZ8:HSA8"/>
    <mergeCell ref="HSD8:HSE8"/>
    <mergeCell ref="HSH8:HSI8"/>
    <mergeCell ref="HSL8:HSM8"/>
    <mergeCell ref="HRB8:HRC8"/>
    <mergeCell ref="HRF8:HRG8"/>
    <mergeCell ref="HRJ8:HRK8"/>
    <mergeCell ref="HRN8:HRO8"/>
    <mergeCell ref="HRR8:HRS8"/>
    <mergeCell ref="HQH8:HQI8"/>
    <mergeCell ref="HQL8:HQM8"/>
    <mergeCell ref="HQP8:HQQ8"/>
    <mergeCell ref="HQT8:HQU8"/>
    <mergeCell ref="HQX8:HQY8"/>
    <mergeCell ref="HPN8:HPO8"/>
    <mergeCell ref="HPR8:HPS8"/>
    <mergeCell ref="HPV8:HPW8"/>
    <mergeCell ref="HPZ8:HQA8"/>
    <mergeCell ref="HQD8:HQE8"/>
    <mergeCell ref="HUX8:HUY8"/>
    <mergeCell ref="HVB8:HVC8"/>
    <mergeCell ref="HVF8:HVG8"/>
    <mergeCell ref="HVJ8:HVK8"/>
    <mergeCell ref="HVN8:HVO8"/>
    <mergeCell ref="HUD8:HUE8"/>
    <mergeCell ref="HUH8:HUI8"/>
    <mergeCell ref="HUL8:HUM8"/>
    <mergeCell ref="HUP8:HUQ8"/>
    <mergeCell ref="HUT8:HUU8"/>
    <mergeCell ref="HTJ8:HTK8"/>
    <mergeCell ref="HTN8:HTO8"/>
    <mergeCell ref="HTR8:HTS8"/>
    <mergeCell ref="HTV8:HTW8"/>
    <mergeCell ref="HTZ8:HUA8"/>
    <mergeCell ref="HSP8:HSQ8"/>
    <mergeCell ref="HST8:HSU8"/>
    <mergeCell ref="HSX8:HSY8"/>
    <mergeCell ref="HTB8:HTC8"/>
    <mergeCell ref="HTF8:HTG8"/>
    <mergeCell ref="HXZ8:HYA8"/>
    <mergeCell ref="HYD8:HYE8"/>
    <mergeCell ref="HYH8:HYI8"/>
    <mergeCell ref="HYL8:HYM8"/>
    <mergeCell ref="HYP8:HYQ8"/>
    <mergeCell ref="HXF8:HXG8"/>
    <mergeCell ref="HXJ8:HXK8"/>
    <mergeCell ref="HXN8:HXO8"/>
    <mergeCell ref="HXR8:HXS8"/>
    <mergeCell ref="HXV8:HXW8"/>
    <mergeCell ref="HWL8:HWM8"/>
    <mergeCell ref="HWP8:HWQ8"/>
    <mergeCell ref="HWT8:HWU8"/>
    <mergeCell ref="HWX8:HWY8"/>
    <mergeCell ref="HXB8:HXC8"/>
    <mergeCell ref="HVR8:HVS8"/>
    <mergeCell ref="HVV8:HVW8"/>
    <mergeCell ref="HVZ8:HWA8"/>
    <mergeCell ref="HWD8:HWE8"/>
    <mergeCell ref="HWH8:HWI8"/>
    <mergeCell ref="IBB8:IBC8"/>
    <mergeCell ref="IBF8:IBG8"/>
    <mergeCell ref="IBJ8:IBK8"/>
    <mergeCell ref="IBN8:IBO8"/>
    <mergeCell ref="IBR8:IBS8"/>
    <mergeCell ref="IAH8:IAI8"/>
    <mergeCell ref="IAL8:IAM8"/>
    <mergeCell ref="IAP8:IAQ8"/>
    <mergeCell ref="IAT8:IAU8"/>
    <mergeCell ref="IAX8:IAY8"/>
    <mergeCell ref="HZN8:HZO8"/>
    <mergeCell ref="HZR8:HZS8"/>
    <mergeCell ref="HZV8:HZW8"/>
    <mergeCell ref="HZZ8:IAA8"/>
    <mergeCell ref="IAD8:IAE8"/>
    <mergeCell ref="HYT8:HYU8"/>
    <mergeCell ref="HYX8:HYY8"/>
    <mergeCell ref="HZB8:HZC8"/>
    <mergeCell ref="HZF8:HZG8"/>
    <mergeCell ref="HZJ8:HZK8"/>
    <mergeCell ref="IED8:IEE8"/>
    <mergeCell ref="IEH8:IEI8"/>
    <mergeCell ref="IEL8:IEM8"/>
    <mergeCell ref="IEP8:IEQ8"/>
    <mergeCell ref="IET8:IEU8"/>
    <mergeCell ref="IDJ8:IDK8"/>
    <mergeCell ref="IDN8:IDO8"/>
    <mergeCell ref="IDR8:IDS8"/>
    <mergeCell ref="IDV8:IDW8"/>
    <mergeCell ref="IDZ8:IEA8"/>
    <mergeCell ref="ICP8:ICQ8"/>
    <mergeCell ref="ICT8:ICU8"/>
    <mergeCell ref="ICX8:ICY8"/>
    <mergeCell ref="IDB8:IDC8"/>
    <mergeCell ref="IDF8:IDG8"/>
    <mergeCell ref="IBV8:IBW8"/>
    <mergeCell ref="IBZ8:ICA8"/>
    <mergeCell ref="ICD8:ICE8"/>
    <mergeCell ref="ICH8:ICI8"/>
    <mergeCell ref="ICL8:ICM8"/>
    <mergeCell ref="IHF8:IHG8"/>
    <mergeCell ref="IHJ8:IHK8"/>
    <mergeCell ref="IHN8:IHO8"/>
    <mergeCell ref="IHR8:IHS8"/>
    <mergeCell ref="IHV8:IHW8"/>
    <mergeCell ref="IGL8:IGM8"/>
    <mergeCell ref="IGP8:IGQ8"/>
    <mergeCell ref="IGT8:IGU8"/>
    <mergeCell ref="IGX8:IGY8"/>
    <mergeCell ref="IHB8:IHC8"/>
    <mergeCell ref="IFR8:IFS8"/>
    <mergeCell ref="IFV8:IFW8"/>
    <mergeCell ref="IFZ8:IGA8"/>
    <mergeCell ref="IGD8:IGE8"/>
    <mergeCell ref="IGH8:IGI8"/>
    <mergeCell ref="IEX8:IEY8"/>
    <mergeCell ref="IFB8:IFC8"/>
    <mergeCell ref="IFF8:IFG8"/>
    <mergeCell ref="IFJ8:IFK8"/>
    <mergeCell ref="IFN8:IFO8"/>
    <mergeCell ref="IKH8:IKI8"/>
    <mergeCell ref="IKL8:IKM8"/>
    <mergeCell ref="IKP8:IKQ8"/>
    <mergeCell ref="IKT8:IKU8"/>
    <mergeCell ref="IKX8:IKY8"/>
    <mergeCell ref="IJN8:IJO8"/>
    <mergeCell ref="IJR8:IJS8"/>
    <mergeCell ref="IJV8:IJW8"/>
    <mergeCell ref="IJZ8:IKA8"/>
    <mergeCell ref="IKD8:IKE8"/>
    <mergeCell ref="IIT8:IIU8"/>
    <mergeCell ref="IIX8:IIY8"/>
    <mergeCell ref="IJB8:IJC8"/>
    <mergeCell ref="IJF8:IJG8"/>
    <mergeCell ref="IJJ8:IJK8"/>
    <mergeCell ref="IHZ8:IIA8"/>
    <mergeCell ref="IID8:IIE8"/>
    <mergeCell ref="IIH8:III8"/>
    <mergeCell ref="IIL8:IIM8"/>
    <mergeCell ref="IIP8:IIQ8"/>
    <mergeCell ref="INJ8:INK8"/>
    <mergeCell ref="INN8:INO8"/>
    <mergeCell ref="INR8:INS8"/>
    <mergeCell ref="INV8:INW8"/>
    <mergeCell ref="INZ8:IOA8"/>
    <mergeCell ref="IMP8:IMQ8"/>
    <mergeCell ref="IMT8:IMU8"/>
    <mergeCell ref="IMX8:IMY8"/>
    <mergeCell ref="INB8:INC8"/>
    <mergeCell ref="INF8:ING8"/>
    <mergeCell ref="ILV8:ILW8"/>
    <mergeCell ref="ILZ8:IMA8"/>
    <mergeCell ref="IMD8:IME8"/>
    <mergeCell ref="IMH8:IMI8"/>
    <mergeCell ref="IML8:IMM8"/>
    <mergeCell ref="ILB8:ILC8"/>
    <mergeCell ref="ILF8:ILG8"/>
    <mergeCell ref="ILJ8:ILK8"/>
    <mergeCell ref="ILN8:ILO8"/>
    <mergeCell ref="ILR8:ILS8"/>
    <mergeCell ref="IQL8:IQM8"/>
    <mergeCell ref="IQP8:IQQ8"/>
    <mergeCell ref="IQT8:IQU8"/>
    <mergeCell ref="IQX8:IQY8"/>
    <mergeCell ref="IRB8:IRC8"/>
    <mergeCell ref="IPR8:IPS8"/>
    <mergeCell ref="IPV8:IPW8"/>
    <mergeCell ref="IPZ8:IQA8"/>
    <mergeCell ref="IQD8:IQE8"/>
    <mergeCell ref="IQH8:IQI8"/>
    <mergeCell ref="IOX8:IOY8"/>
    <mergeCell ref="IPB8:IPC8"/>
    <mergeCell ref="IPF8:IPG8"/>
    <mergeCell ref="IPJ8:IPK8"/>
    <mergeCell ref="IPN8:IPO8"/>
    <mergeCell ref="IOD8:IOE8"/>
    <mergeCell ref="IOH8:IOI8"/>
    <mergeCell ref="IOL8:IOM8"/>
    <mergeCell ref="IOP8:IOQ8"/>
    <mergeCell ref="IOT8:IOU8"/>
    <mergeCell ref="ITN8:ITO8"/>
    <mergeCell ref="ITR8:ITS8"/>
    <mergeCell ref="ITV8:ITW8"/>
    <mergeCell ref="ITZ8:IUA8"/>
    <mergeCell ref="IUD8:IUE8"/>
    <mergeCell ref="IST8:ISU8"/>
    <mergeCell ref="ISX8:ISY8"/>
    <mergeCell ref="ITB8:ITC8"/>
    <mergeCell ref="ITF8:ITG8"/>
    <mergeCell ref="ITJ8:ITK8"/>
    <mergeCell ref="IRZ8:ISA8"/>
    <mergeCell ref="ISD8:ISE8"/>
    <mergeCell ref="ISH8:ISI8"/>
    <mergeCell ref="ISL8:ISM8"/>
    <mergeCell ref="ISP8:ISQ8"/>
    <mergeCell ref="IRF8:IRG8"/>
    <mergeCell ref="IRJ8:IRK8"/>
    <mergeCell ref="IRN8:IRO8"/>
    <mergeCell ref="IRR8:IRS8"/>
    <mergeCell ref="IRV8:IRW8"/>
    <mergeCell ref="IWP8:IWQ8"/>
    <mergeCell ref="IWT8:IWU8"/>
    <mergeCell ref="IWX8:IWY8"/>
    <mergeCell ref="IXB8:IXC8"/>
    <mergeCell ref="IXF8:IXG8"/>
    <mergeCell ref="IVV8:IVW8"/>
    <mergeCell ref="IVZ8:IWA8"/>
    <mergeCell ref="IWD8:IWE8"/>
    <mergeCell ref="IWH8:IWI8"/>
    <mergeCell ref="IWL8:IWM8"/>
    <mergeCell ref="IVB8:IVC8"/>
    <mergeCell ref="IVF8:IVG8"/>
    <mergeCell ref="IVJ8:IVK8"/>
    <mergeCell ref="IVN8:IVO8"/>
    <mergeCell ref="IVR8:IVS8"/>
    <mergeCell ref="IUH8:IUI8"/>
    <mergeCell ref="IUL8:IUM8"/>
    <mergeCell ref="IUP8:IUQ8"/>
    <mergeCell ref="IUT8:IUU8"/>
    <mergeCell ref="IUX8:IUY8"/>
    <mergeCell ref="IZR8:IZS8"/>
    <mergeCell ref="IZV8:IZW8"/>
    <mergeCell ref="IZZ8:JAA8"/>
    <mergeCell ref="JAD8:JAE8"/>
    <mergeCell ref="JAH8:JAI8"/>
    <mergeCell ref="IYX8:IYY8"/>
    <mergeCell ref="IZB8:IZC8"/>
    <mergeCell ref="IZF8:IZG8"/>
    <mergeCell ref="IZJ8:IZK8"/>
    <mergeCell ref="IZN8:IZO8"/>
    <mergeCell ref="IYD8:IYE8"/>
    <mergeCell ref="IYH8:IYI8"/>
    <mergeCell ref="IYL8:IYM8"/>
    <mergeCell ref="IYP8:IYQ8"/>
    <mergeCell ref="IYT8:IYU8"/>
    <mergeCell ref="IXJ8:IXK8"/>
    <mergeCell ref="IXN8:IXO8"/>
    <mergeCell ref="IXR8:IXS8"/>
    <mergeCell ref="IXV8:IXW8"/>
    <mergeCell ref="IXZ8:IYA8"/>
    <mergeCell ref="JCT8:JCU8"/>
    <mergeCell ref="JCX8:JCY8"/>
    <mergeCell ref="JDB8:JDC8"/>
    <mergeCell ref="JDF8:JDG8"/>
    <mergeCell ref="JDJ8:JDK8"/>
    <mergeCell ref="JBZ8:JCA8"/>
    <mergeCell ref="JCD8:JCE8"/>
    <mergeCell ref="JCH8:JCI8"/>
    <mergeCell ref="JCL8:JCM8"/>
    <mergeCell ref="JCP8:JCQ8"/>
    <mergeCell ref="JBF8:JBG8"/>
    <mergeCell ref="JBJ8:JBK8"/>
    <mergeCell ref="JBN8:JBO8"/>
    <mergeCell ref="JBR8:JBS8"/>
    <mergeCell ref="JBV8:JBW8"/>
    <mergeCell ref="JAL8:JAM8"/>
    <mergeCell ref="JAP8:JAQ8"/>
    <mergeCell ref="JAT8:JAU8"/>
    <mergeCell ref="JAX8:JAY8"/>
    <mergeCell ref="JBB8:JBC8"/>
    <mergeCell ref="JFV8:JFW8"/>
    <mergeCell ref="JFZ8:JGA8"/>
    <mergeCell ref="JGD8:JGE8"/>
    <mergeCell ref="JGH8:JGI8"/>
    <mergeCell ref="JGL8:JGM8"/>
    <mergeCell ref="JFB8:JFC8"/>
    <mergeCell ref="JFF8:JFG8"/>
    <mergeCell ref="JFJ8:JFK8"/>
    <mergeCell ref="JFN8:JFO8"/>
    <mergeCell ref="JFR8:JFS8"/>
    <mergeCell ref="JEH8:JEI8"/>
    <mergeCell ref="JEL8:JEM8"/>
    <mergeCell ref="JEP8:JEQ8"/>
    <mergeCell ref="JET8:JEU8"/>
    <mergeCell ref="JEX8:JEY8"/>
    <mergeCell ref="JDN8:JDO8"/>
    <mergeCell ref="JDR8:JDS8"/>
    <mergeCell ref="JDV8:JDW8"/>
    <mergeCell ref="JDZ8:JEA8"/>
    <mergeCell ref="JED8:JEE8"/>
    <mergeCell ref="JIX8:JIY8"/>
    <mergeCell ref="JJB8:JJC8"/>
    <mergeCell ref="JJF8:JJG8"/>
    <mergeCell ref="JJJ8:JJK8"/>
    <mergeCell ref="JJN8:JJO8"/>
    <mergeCell ref="JID8:JIE8"/>
    <mergeCell ref="JIH8:JII8"/>
    <mergeCell ref="JIL8:JIM8"/>
    <mergeCell ref="JIP8:JIQ8"/>
    <mergeCell ref="JIT8:JIU8"/>
    <mergeCell ref="JHJ8:JHK8"/>
    <mergeCell ref="JHN8:JHO8"/>
    <mergeCell ref="JHR8:JHS8"/>
    <mergeCell ref="JHV8:JHW8"/>
    <mergeCell ref="JHZ8:JIA8"/>
    <mergeCell ref="JGP8:JGQ8"/>
    <mergeCell ref="JGT8:JGU8"/>
    <mergeCell ref="JGX8:JGY8"/>
    <mergeCell ref="JHB8:JHC8"/>
    <mergeCell ref="JHF8:JHG8"/>
    <mergeCell ref="JLZ8:JMA8"/>
    <mergeCell ref="JMD8:JME8"/>
    <mergeCell ref="JMH8:JMI8"/>
    <mergeCell ref="JML8:JMM8"/>
    <mergeCell ref="JMP8:JMQ8"/>
    <mergeCell ref="JLF8:JLG8"/>
    <mergeCell ref="JLJ8:JLK8"/>
    <mergeCell ref="JLN8:JLO8"/>
    <mergeCell ref="JLR8:JLS8"/>
    <mergeCell ref="JLV8:JLW8"/>
    <mergeCell ref="JKL8:JKM8"/>
    <mergeCell ref="JKP8:JKQ8"/>
    <mergeCell ref="JKT8:JKU8"/>
    <mergeCell ref="JKX8:JKY8"/>
    <mergeCell ref="JLB8:JLC8"/>
    <mergeCell ref="JJR8:JJS8"/>
    <mergeCell ref="JJV8:JJW8"/>
    <mergeCell ref="JJZ8:JKA8"/>
    <mergeCell ref="JKD8:JKE8"/>
    <mergeCell ref="JKH8:JKI8"/>
    <mergeCell ref="JPB8:JPC8"/>
    <mergeCell ref="JPF8:JPG8"/>
    <mergeCell ref="JPJ8:JPK8"/>
    <mergeCell ref="JPN8:JPO8"/>
    <mergeCell ref="JPR8:JPS8"/>
    <mergeCell ref="JOH8:JOI8"/>
    <mergeCell ref="JOL8:JOM8"/>
    <mergeCell ref="JOP8:JOQ8"/>
    <mergeCell ref="JOT8:JOU8"/>
    <mergeCell ref="JOX8:JOY8"/>
    <mergeCell ref="JNN8:JNO8"/>
    <mergeCell ref="JNR8:JNS8"/>
    <mergeCell ref="JNV8:JNW8"/>
    <mergeCell ref="JNZ8:JOA8"/>
    <mergeCell ref="JOD8:JOE8"/>
    <mergeCell ref="JMT8:JMU8"/>
    <mergeCell ref="JMX8:JMY8"/>
    <mergeCell ref="JNB8:JNC8"/>
    <mergeCell ref="JNF8:JNG8"/>
    <mergeCell ref="JNJ8:JNK8"/>
    <mergeCell ref="JSD8:JSE8"/>
    <mergeCell ref="JSH8:JSI8"/>
    <mergeCell ref="JSL8:JSM8"/>
    <mergeCell ref="JSP8:JSQ8"/>
    <mergeCell ref="JST8:JSU8"/>
    <mergeCell ref="JRJ8:JRK8"/>
    <mergeCell ref="JRN8:JRO8"/>
    <mergeCell ref="JRR8:JRS8"/>
    <mergeCell ref="JRV8:JRW8"/>
    <mergeCell ref="JRZ8:JSA8"/>
    <mergeCell ref="JQP8:JQQ8"/>
    <mergeCell ref="JQT8:JQU8"/>
    <mergeCell ref="JQX8:JQY8"/>
    <mergeCell ref="JRB8:JRC8"/>
    <mergeCell ref="JRF8:JRG8"/>
    <mergeCell ref="JPV8:JPW8"/>
    <mergeCell ref="JPZ8:JQA8"/>
    <mergeCell ref="JQD8:JQE8"/>
    <mergeCell ref="JQH8:JQI8"/>
    <mergeCell ref="JQL8:JQM8"/>
    <mergeCell ref="JVF8:JVG8"/>
    <mergeCell ref="JVJ8:JVK8"/>
    <mergeCell ref="JVN8:JVO8"/>
    <mergeCell ref="JVR8:JVS8"/>
    <mergeCell ref="JVV8:JVW8"/>
    <mergeCell ref="JUL8:JUM8"/>
    <mergeCell ref="JUP8:JUQ8"/>
    <mergeCell ref="JUT8:JUU8"/>
    <mergeCell ref="JUX8:JUY8"/>
    <mergeCell ref="JVB8:JVC8"/>
    <mergeCell ref="JTR8:JTS8"/>
    <mergeCell ref="JTV8:JTW8"/>
    <mergeCell ref="JTZ8:JUA8"/>
    <mergeCell ref="JUD8:JUE8"/>
    <mergeCell ref="JUH8:JUI8"/>
    <mergeCell ref="JSX8:JSY8"/>
    <mergeCell ref="JTB8:JTC8"/>
    <mergeCell ref="JTF8:JTG8"/>
    <mergeCell ref="JTJ8:JTK8"/>
    <mergeCell ref="JTN8:JTO8"/>
    <mergeCell ref="JYH8:JYI8"/>
    <mergeCell ref="JYL8:JYM8"/>
    <mergeCell ref="JYP8:JYQ8"/>
    <mergeCell ref="JYT8:JYU8"/>
    <mergeCell ref="JYX8:JYY8"/>
    <mergeCell ref="JXN8:JXO8"/>
    <mergeCell ref="JXR8:JXS8"/>
    <mergeCell ref="JXV8:JXW8"/>
    <mergeCell ref="JXZ8:JYA8"/>
    <mergeCell ref="JYD8:JYE8"/>
    <mergeCell ref="JWT8:JWU8"/>
    <mergeCell ref="JWX8:JWY8"/>
    <mergeCell ref="JXB8:JXC8"/>
    <mergeCell ref="JXF8:JXG8"/>
    <mergeCell ref="JXJ8:JXK8"/>
    <mergeCell ref="JVZ8:JWA8"/>
    <mergeCell ref="JWD8:JWE8"/>
    <mergeCell ref="JWH8:JWI8"/>
    <mergeCell ref="JWL8:JWM8"/>
    <mergeCell ref="JWP8:JWQ8"/>
    <mergeCell ref="KBJ8:KBK8"/>
    <mergeCell ref="KBN8:KBO8"/>
    <mergeCell ref="KBR8:KBS8"/>
    <mergeCell ref="KBV8:KBW8"/>
    <mergeCell ref="KBZ8:KCA8"/>
    <mergeCell ref="KAP8:KAQ8"/>
    <mergeCell ref="KAT8:KAU8"/>
    <mergeCell ref="KAX8:KAY8"/>
    <mergeCell ref="KBB8:KBC8"/>
    <mergeCell ref="KBF8:KBG8"/>
    <mergeCell ref="JZV8:JZW8"/>
    <mergeCell ref="JZZ8:KAA8"/>
    <mergeCell ref="KAD8:KAE8"/>
    <mergeCell ref="KAH8:KAI8"/>
    <mergeCell ref="KAL8:KAM8"/>
    <mergeCell ref="JZB8:JZC8"/>
    <mergeCell ref="JZF8:JZG8"/>
    <mergeCell ref="JZJ8:JZK8"/>
    <mergeCell ref="JZN8:JZO8"/>
    <mergeCell ref="JZR8:JZS8"/>
    <mergeCell ref="KEL8:KEM8"/>
    <mergeCell ref="KEP8:KEQ8"/>
    <mergeCell ref="KET8:KEU8"/>
    <mergeCell ref="KEX8:KEY8"/>
    <mergeCell ref="KFB8:KFC8"/>
    <mergeCell ref="KDR8:KDS8"/>
    <mergeCell ref="KDV8:KDW8"/>
    <mergeCell ref="KDZ8:KEA8"/>
    <mergeCell ref="KED8:KEE8"/>
    <mergeCell ref="KEH8:KEI8"/>
    <mergeCell ref="KCX8:KCY8"/>
    <mergeCell ref="KDB8:KDC8"/>
    <mergeCell ref="KDF8:KDG8"/>
    <mergeCell ref="KDJ8:KDK8"/>
    <mergeCell ref="KDN8:KDO8"/>
    <mergeCell ref="KCD8:KCE8"/>
    <mergeCell ref="KCH8:KCI8"/>
    <mergeCell ref="KCL8:KCM8"/>
    <mergeCell ref="KCP8:KCQ8"/>
    <mergeCell ref="KCT8:KCU8"/>
    <mergeCell ref="KHN8:KHO8"/>
    <mergeCell ref="KHR8:KHS8"/>
    <mergeCell ref="KHV8:KHW8"/>
    <mergeCell ref="KHZ8:KIA8"/>
    <mergeCell ref="KID8:KIE8"/>
    <mergeCell ref="KGT8:KGU8"/>
    <mergeCell ref="KGX8:KGY8"/>
    <mergeCell ref="KHB8:KHC8"/>
    <mergeCell ref="KHF8:KHG8"/>
    <mergeCell ref="KHJ8:KHK8"/>
    <mergeCell ref="KFZ8:KGA8"/>
    <mergeCell ref="KGD8:KGE8"/>
    <mergeCell ref="KGH8:KGI8"/>
    <mergeCell ref="KGL8:KGM8"/>
    <mergeCell ref="KGP8:KGQ8"/>
    <mergeCell ref="KFF8:KFG8"/>
    <mergeCell ref="KFJ8:KFK8"/>
    <mergeCell ref="KFN8:KFO8"/>
    <mergeCell ref="KFR8:KFS8"/>
    <mergeCell ref="KFV8:KFW8"/>
    <mergeCell ref="KKP8:KKQ8"/>
    <mergeCell ref="KKT8:KKU8"/>
    <mergeCell ref="KKX8:KKY8"/>
    <mergeCell ref="KLB8:KLC8"/>
    <mergeCell ref="KLF8:KLG8"/>
    <mergeCell ref="KJV8:KJW8"/>
    <mergeCell ref="KJZ8:KKA8"/>
    <mergeCell ref="KKD8:KKE8"/>
    <mergeCell ref="KKH8:KKI8"/>
    <mergeCell ref="KKL8:KKM8"/>
    <mergeCell ref="KJB8:KJC8"/>
    <mergeCell ref="KJF8:KJG8"/>
    <mergeCell ref="KJJ8:KJK8"/>
    <mergeCell ref="KJN8:KJO8"/>
    <mergeCell ref="KJR8:KJS8"/>
    <mergeCell ref="KIH8:KII8"/>
    <mergeCell ref="KIL8:KIM8"/>
    <mergeCell ref="KIP8:KIQ8"/>
    <mergeCell ref="KIT8:KIU8"/>
    <mergeCell ref="KIX8:KIY8"/>
    <mergeCell ref="KNR8:KNS8"/>
    <mergeCell ref="KNV8:KNW8"/>
    <mergeCell ref="KNZ8:KOA8"/>
    <mergeCell ref="KOD8:KOE8"/>
    <mergeCell ref="KOH8:KOI8"/>
    <mergeCell ref="KMX8:KMY8"/>
    <mergeCell ref="KNB8:KNC8"/>
    <mergeCell ref="KNF8:KNG8"/>
    <mergeCell ref="KNJ8:KNK8"/>
    <mergeCell ref="KNN8:KNO8"/>
    <mergeCell ref="KMD8:KME8"/>
    <mergeCell ref="KMH8:KMI8"/>
    <mergeCell ref="KML8:KMM8"/>
    <mergeCell ref="KMP8:KMQ8"/>
    <mergeCell ref="KMT8:KMU8"/>
    <mergeCell ref="KLJ8:KLK8"/>
    <mergeCell ref="KLN8:KLO8"/>
    <mergeCell ref="KLR8:KLS8"/>
    <mergeCell ref="KLV8:KLW8"/>
    <mergeCell ref="KLZ8:KMA8"/>
    <mergeCell ref="KQT8:KQU8"/>
    <mergeCell ref="KQX8:KQY8"/>
    <mergeCell ref="KRB8:KRC8"/>
    <mergeCell ref="KRF8:KRG8"/>
    <mergeCell ref="KRJ8:KRK8"/>
    <mergeCell ref="KPZ8:KQA8"/>
    <mergeCell ref="KQD8:KQE8"/>
    <mergeCell ref="KQH8:KQI8"/>
    <mergeCell ref="KQL8:KQM8"/>
    <mergeCell ref="KQP8:KQQ8"/>
    <mergeCell ref="KPF8:KPG8"/>
    <mergeCell ref="KPJ8:KPK8"/>
    <mergeCell ref="KPN8:KPO8"/>
    <mergeCell ref="KPR8:KPS8"/>
    <mergeCell ref="KPV8:KPW8"/>
    <mergeCell ref="KOL8:KOM8"/>
    <mergeCell ref="KOP8:KOQ8"/>
    <mergeCell ref="KOT8:KOU8"/>
    <mergeCell ref="KOX8:KOY8"/>
    <mergeCell ref="KPB8:KPC8"/>
    <mergeCell ref="KTV8:KTW8"/>
    <mergeCell ref="KTZ8:KUA8"/>
    <mergeCell ref="KUD8:KUE8"/>
    <mergeCell ref="KUH8:KUI8"/>
    <mergeCell ref="KUL8:KUM8"/>
    <mergeCell ref="KTB8:KTC8"/>
    <mergeCell ref="KTF8:KTG8"/>
    <mergeCell ref="KTJ8:KTK8"/>
    <mergeCell ref="KTN8:KTO8"/>
    <mergeCell ref="KTR8:KTS8"/>
    <mergeCell ref="KSH8:KSI8"/>
    <mergeCell ref="KSL8:KSM8"/>
    <mergeCell ref="KSP8:KSQ8"/>
    <mergeCell ref="KST8:KSU8"/>
    <mergeCell ref="KSX8:KSY8"/>
    <mergeCell ref="KRN8:KRO8"/>
    <mergeCell ref="KRR8:KRS8"/>
    <mergeCell ref="KRV8:KRW8"/>
    <mergeCell ref="KRZ8:KSA8"/>
    <mergeCell ref="KSD8:KSE8"/>
    <mergeCell ref="KWX8:KWY8"/>
    <mergeCell ref="KXB8:KXC8"/>
    <mergeCell ref="KXF8:KXG8"/>
    <mergeCell ref="KXJ8:KXK8"/>
    <mergeCell ref="KXN8:KXO8"/>
    <mergeCell ref="KWD8:KWE8"/>
    <mergeCell ref="KWH8:KWI8"/>
    <mergeCell ref="KWL8:KWM8"/>
    <mergeCell ref="KWP8:KWQ8"/>
    <mergeCell ref="KWT8:KWU8"/>
    <mergeCell ref="KVJ8:KVK8"/>
    <mergeCell ref="KVN8:KVO8"/>
    <mergeCell ref="KVR8:KVS8"/>
    <mergeCell ref="KVV8:KVW8"/>
    <mergeCell ref="KVZ8:KWA8"/>
    <mergeCell ref="KUP8:KUQ8"/>
    <mergeCell ref="KUT8:KUU8"/>
    <mergeCell ref="KUX8:KUY8"/>
    <mergeCell ref="KVB8:KVC8"/>
    <mergeCell ref="KVF8:KVG8"/>
    <mergeCell ref="KZZ8:LAA8"/>
    <mergeCell ref="LAD8:LAE8"/>
    <mergeCell ref="LAH8:LAI8"/>
    <mergeCell ref="LAL8:LAM8"/>
    <mergeCell ref="LAP8:LAQ8"/>
    <mergeCell ref="KZF8:KZG8"/>
    <mergeCell ref="KZJ8:KZK8"/>
    <mergeCell ref="KZN8:KZO8"/>
    <mergeCell ref="KZR8:KZS8"/>
    <mergeCell ref="KZV8:KZW8"/>
    <mergeCell ref="KYL8:KYM8"/>
    <mergeCell ref="KYP8:KYQ8"/>
    <mergeCell ref="KYT8:KYU8"/>
    <mergeCell ref="KYX8:KYY8"/>
    <mergeCell ref="KZB8:KZC8"/>
    <mergeCell ref="KXR8:KXS8"/>
    <mergeCell ref="KXV8:KXW8"/>
    <mergeCell ref="KXZ8:KYA8"/>
    <mergeCell ref="KYD8:KYE8"/>
    <mergeCell ref="KYH8:KYI8"/>
    <mergeCell ref="LDB8:LDC8"/>
    <mergeCell ref="LDF8:LDG8"/>
    <mergeCell ref="LDJ8:LDK8"/>
    <mergeCell ref="LDN8:LDO8"/>
    <mergeCell ref="LDR8:LDS8"/>
    <mergeCell ref="LCH8:LCI8"/>
    <mergeCell ref="LCL8:LCM8"/>
    <mergeCell ref="LCP8:LCQ8"/>
    <mergeCell ref="LCT8:LCU8"/>
    <mergeCell ref="LCX8:LCY8"/>
    <mergeCell ref="LBN8:LBO8"/>
    <mergeCell ref="LBR8:LBS8"/>
    <mergeCell ref="LBV8:LBW8"/>
    <mergeCell ref="LBZ8:LCA8"/>
    <mergeCell ref="LCD8:LCE8"/>
    <mergeCell ref="LAT8:LAU8"/>
    <mergeCell ref="LAX8:LAY8"/>
    <mergeCell ref="LBB8:LBC8"/>
    <mergeCell ref="LBF8:LBG8"/>
    <mergeCell ref="LBJ8:LBK8"/>
    <mergeCell ref="LGD8:LGE8"/>
    <mergeCell ref="LGH8:LGI8"/>
    <mergeCell ref="LGL8:LGM8"/>
    <mergeCell ref="LGP8:LGQ8"/>
    <mergeCell ref="LGT8:LGU8"/>
    <mergeCell ref="LFJ8:LFK8"/>
    <mergeCell ref="LFN8:LFO8"/>
    <mergeCell ref="LFR8:LFS8"/>
    <mergeCell ref="LFV8:LFW8"/>
    <mergeCell ref="LFZ8:LGA8"/>
    <mergeCell ref="LEP8:LEQ8"/>
    <mergeCell ref="LET8:LEU8"/>
    <mergeCell ref="LEX8:LEY8"/>
    <mergeCell ref="LFB8:LFC8"/>
    <mergeCell ref="LFF8:LFG8"/>
    <mergeCell ref="LDV8:LDW8"/>
    <mergeCell ref="LDZ8:LEA8"/>
    <mergeCell ref="LED8:LEE8"/>
    <mergeCell ref="LEH8:LEI8"/>
    <mergeCell ref="LEL8:LEM8"/>
    <mergeCell ref="LJF8:LJG8"/>
    <mergeCell ref="LJJ8:LJK8"/>
    <mergeCell ref="LJN8:LJO8"/>
    <mergeCell ref="LJR8:LJS8"/>
    <mergeCell ref="LJV8:LJW8"/>
    <mergeCell ref="LIL8:LIM8"/>
    <mergeCell ref="LIP8:LIQ8"/>
    <mergeCell ref="LIT8:LIU8"/>
    <mergeCell ref="LIX8:LIY8"/>
    <mergeCell ref="LJB8:LJC8"/>
    <mergeCell ref="LHR8:LHS8"/>
    <mergeCell ref="LHV8:LHW8"/>
    <mergeCell ref="LHZ8:LIA8"/>
    <mergeCell ref="LID8:LIE8"/>
    <mergeCell ref="LIH8:LII8"/>
    <mergeCell ref="LGX8:LGY8"/>
    <mergeCell ref="LHB8:LHC8"/>
    <mergeCell ref="LHF8:LHG8"/>
    <mergeCell ref="LHJ8:LHK8"/>
    <mergeCell ref="LHN8:LHO8"/>
    <mergeCell ref="LMH8:LMI8"/>
    <mergeCell ref="LML8:LMM8"/>
    <mergeCell ref="LMP8:LMQ8"/>
    <mergeCell ref="LMT8:LMU8"/>
    <mergeCell ref="LMX8:LMY8"/>
    <mergeCell ref="LLN8:LLO8"/>
    <mergeCell ref="LLR8:LLS8"/>
    <mergeCell ref="LLV8:LLW8"/>
    <mergeCell ref="LLZ8:LMA8"/>
    <mergeCell ref="LMD8:LME8"/>
    <mergeCell ref="LKT8:LKU8"/>
    <mergeCell ref="LKX8:LKY8"/>
    <mergeCell ref="LLB8:LLC8"/>
    <mergeCell ref="LLF8:LLG8"/>
    <mergeCell ref="LLJ8:LLK8"/>
    <mergeCell ref="LJZ8:LKA8"/>
    <mergeCell ref="LKD8:LKE8"/>
    <mergeCell ref="LKH8:LKI8"/>
    <mergeCell ref="LKL8:LKM8"/>
    <mergeCell ref="LKP8:LKQ8"/>
    <mergeCell ref="LPJ8:LPK8"/>
    <mergeCell ref="LPN8:LPO8"/>
    <mergeCell ref="LPR8:LPS8"/>
    <mergeCell ref="LPV8:LPW8"/>
    <mergeCell ref="LPZ8:LQA8"/>
    <mergeCell ref="LOP8:LOQ8"/>
    <mergeCell ref="LOT8:LOU8"/>
    <mergeCell ref="LOX8:LOY8"/>
    <mergeCell ref="LPB8:LPC8"/>
    <mergeCell ref="LPF8:LPG8"/>
    <mergeCell ref="LNV8:LNW8"/>
    <mergeCell ref="LNZ8:LOA8"/>
    <mergeCell ref="LOD8:LOE8"/>
    <mergeCell ref="LOH8:LOI8"/>
    <mergeCell ref="LOL8:LOM8"/>
    <mergeCell ref="LNB8:LNC8"/>
    <mergeCell ref="LNF8:LNG8"/>
    <mergeCell ref="LNJ8:LNK8"/>
    <mergeCell ref="LNN8:LNO8"/>
    <mergeCell ref="LNR8:LNS8"/>
    <mergeCell ref="LSL8:LSM8"/>
    <mergeCell ref="LSP8:LSQ8"/>
    <mergeCell ref="LST8:LSU8"/>
    <mergeCell ref="LSX8:LSY8"/>
    <mergeCell ref="LTB8:LTC8"/>
    <mergeCell ref="LRR8:LRS8"/>
    <mergeCell ref="LRV8:LRW8"/>
    <mergeCell ref="LRZ8:LSA8"/>
    <mergeCell ref="LSD8:LSE8"/>
    <mergeCell ref="LSH8:LSI8"/>
    <mergeCell ref="LQX8:LQY8"/>
    <mergeCell ref="LRB8:LRC8"/>
    <mergeCell ref="LRF8:LRG8"/>
    <mergeCell ref="LRJ8:LRK8"/>
    <mergeCell ref="LRN8:LRO8"/>
    <mergeCell ref="LQD8:LQE8"/>
    <mergeCell ref="LQH8:LQI8"/>
    <mergeCell ref="LQL8:LQM8"/>
    <mergeCell ref="LQP8:LQQ8"/>
    <mergeCell ref="LQT8:LQU8"/>
    <mergeCell ref="LVN8:LVO8"/>
    <mergeCell ref="LVR8:LVS8"/>
    <mergeCell ref="LVV8:LVW8"/>
    <mergeCell ref="LVZ8:LWA8"/>
    <mergeCell ref="LWD8:LWE8"/>
    <mergeCell ref="LUT8:LUU8"/>
    <mergeCell ref="LUX8:LUY8"/>
    <mergeCell ref="LVB8:LVC8"/>
    <mergeCell ref="LVF8:LVG8"/>
    <mergeCell ref="LVJ8:LVK8"/>
    <mergeCell ref="LTZ8:LUA8"/>
    <mergeCell ref="LUD8:LUE8"/>
    <mergeCell ref="LUH8:LUI8"/>
    <mergeCell ref="LUL8:LUM8"/>
    <mergeCell ref="LUP8:LUQ8"/>
    <mergeCell ref="LTF8:LTG8"/>
    <mergeCell ref="LTJ8:LTK8"/>
    <mergeCell ref="LTN8:LTO8"/>
    <mergeCell ref="LTR8:LTS8"/>
    <mergeCell ref="LTV8:LTW8"/>
    <mergeCell ref="LYP8:LYQ8"/>
    <mergeCell ref="LYT8:LYU8"/>
    <mergeCell ref="LYX8:LYY8"/>
    <mergeCell ref="LZB8:LZC8"/>
    <mergeCell ref="LZF8:LZG8"/>
    <mergeCell ref="LXV8:LXW8"/>
    <mergeCell ref="LXZ8:LYA8"/>
    <mergeCell ref="LYD8:LYE8"/>
    <mergeCell ref="LYH8:LYI8"/>
    <mergeCell ref="LYL8:LYM8"/>
    <mergeCell ref="LXB8:LXC8"/>
    <mergeCell ref="LXF8:LXG8"/>
    <mergeCell ref="LXJ8:LXK8"/>
    <mergeCell ref="LXN8:LXO8"/>
    <mergeCell ref="LXR8:LXS8"/>
    <mergeCell ref="LWH8:LWI8"/>
    <mergeCell ref="LWL8:LWM8"/>
    <mergeCell ref="LWP8:LWQ8"/>
    <mergeCell ref="LWT8:LWU8"/>
    <mergeCell ref="LWX8:LWY8"/>
    <mergeCell ref="MBR8:MBS8"/>
    <mergeCell ref="MBV8:MBW8"/>
    <mergeCell ref="MBZ8:MCA8"/>
    <mergeCell ref="MCD8:MCE8"/>
    <mergeCell ref="MCH8:MCI8"/>
    <mergeCell ref="MAX8:MAY8"/>
    <mergeCell ref="MBB8:MBC8"/>
    <mergeCell ref="MBF8:MBG8"/>
    <mergeCell ref="MBJ8:MBK8"/>
    <mergeCell ref="MBN8:MBO8"/>
    <mergeCell ref="MAD8:MAE8"/>
    <mergeCell ref="MAH8:MAI8"/>
    <mergeCell ref="MAL8:MAM8"/>
    <mergeCell ref="MAP8:MAQ8"/>
    <mergeCell ref="MAT8:MAU8"/>
    <mergeCell ref="LZJ8:LZK8"/>
    <mergeCell ref="LZN8:LZO8"/>
    <mergeCell ref="LZR8:LZS8"/>
    <mergeCell ref="LZV8:LZW8"/>
    <mergeCell ref="LZZ8:MAA8"/>
    <mergeCell ref="MET8:MEU8"/>
    <mergeCell ref="MEX8:MEY8"/>
    <mergeCell ref="MFB8:MFC8"/>
    <mergeCell ref="MFF8:MFG8"/>
    <mergeCell ref="MFJ8:MFK8"/>
    <mergeCell ref="MDZ8:MEA8"/>
    <mergeCell ref="MED8:MEE8"/>
    <mergeCell ref="MEH8:MEI8"/>
    <mergeCell ref="MEL8:MEM8"/>
    <mergeCell ref="MEP8:MEQ8"/>
    <mergeCell ref="MDF8:MDG8"/>
    <mergeCell ref="MDJ8:MDK8"/>
    <mergeCell ref="MDN8:MDO8"/>
    <mergeCell ref="MDR8:MDS8"/>
    <mergeCell ref="MDV8:MDW8"/>
    <mergeCell ref="MCL8:MCM8"/>
    <mergeCell ref="MCP8:MCQ8"/>
    <mergeCell ref="MCT8:MCU8"/>
    <mergeCell ref="MCX8:MCY8"/>
    <mergeCell ref="MDB8:MDC8"/>
    <mergeCell ref="MHV8:MHW8"/>
    <mergeCell ref="MHZ8:MIA8"/>
    <mergeCell ref="MID8:MIE8"/>
    <mergeCell ref="MIH8:MII8"/>
    <mergeCell ref="MIL8:MIM8"/>
    <mergeCell ref="MHB8:MHC8"/>
    <mergeCell ref="MHF8:MHG8"/>
    <mergeCell ref="MHJ8:MHK8"/>
    <mergeCell ref="MHN8:MHO8"/>
    <mergeCell ref="MHR8:MHS8"/>
    <mergeCell ref="MGH8:MGI8"/>
    <mergeCell ref="MGL8:MGM8"/>
    <mergeCell ref="MGP8:MGQ8"/>
    <mergeCell ref="MGT8:MGU8"/>
    <mergeCell ref="MGX8:MGY8"/>
    <mergeCell ref="MFN8:MFO8"/>
    <mergeCell ref="MFR8:MFS8"/>
    <mergeCell ref="MFV8:MFW8"/>
    <mergeCell ref="MFZ8:MGA8"/>
    <mergeCell ref="MGD8:MGE8"/>
    <mergeCell ref="MKX8:MKY8"/>
    <mergeCell ref="MLB8:MLC8"/>
    <mergeCell ref="MLF8:MLG8"/>
    <mergeCell ref="MLJ8:MLK8"/>
    <mergeCell ref="MLN8:MLO8"/>
    <mergeCell ref="MKD8:MKE8"/>
    <mergeCell ref="MKH8:MKI8"/>
    <mergeCell ref="MKL8:MKM8"/>
    <mergeCell ref="MKP8:MKQ8"/>
    <mergeCell ref="MKT8:MKU8"/>
    <mergeCell ref="MJJ8:MJK8"/>
    <mergeCell ref="MJN8:MJO8"/>
    <mergeCell ref="MJR8:MJS8"/>
    <mergeCell ref="MJV8:MJW8"/>
    <mergeCell ref="MJZ8:MKA8"/>
    <mergeCell ref="MIP8:MIQ8"/>
    <mergeCell ref="MIT8:MIU8"/>
    <mergeCell ref="MIX8:MIY8"/>
    <mergeCell ref="MJB8:MJC8"/>
    <mergeCell ref="MJF8:MJG8"/>
    <mergeCell ref="MNZ8:MOA8"/>
    <mergeCell ref="MOD8:MOE8"/>
    <mergeCell ref="MOH8:MOI8"/>
    <mergeCell ref="MOL8:MOM8"/>
    <mergeCell ref="MOP8:MOQ8"/>
    <mergeCell ref="MNF8:MNG8"/>
    <mergeCell ref="MNJ8:MNK8"/>
    <mergeCell ref="MNN8:MNO8"/>
    <mergeCell ref="MNR8:MNS8"/>
    <mergeCell ref="MNV8:MNW8"/>
    <mergeCell ref="MML8:MMM8"/>
    <mergeCell ref="MMP8:MMQ8"/>
    <mergeCell ref="MMT8:MMU8"/>
    <mergeCell ref="MMX8:MMY8"/>
    <mergeCell ref="MNB8:MNC8"/>
    <mergeCell ref="MLR8:MLS8"/>
    <mergeCell ref="MLV8:MLW8"/>
    <mergeCell ref="MLZ8:MMA8"/>
    <mergeCell ref="MMD8:MME8"/>
    <mergeCell ref="MMH8:MMI8"/>
    <mergeCell ref="MRB8:MRC8"/>
    <mergeCell ref="MRF8:MRG8"/>
    <mergeCell ref="MRJ8:MRK8"/>
    <mergeCell ref="MRN8:MRO8"/>
    <mergeCell ref="MRR8:MRS8"/>
    <mergeCell ref="MQH8:MQI8"/>
    <mergeCell ref="MQL8:MQM8"/>
    <mergeCell ref="MQP8:MQQ8"/>
    <mergeCell ref="MQT8:MQU8"/>
    <mergeCell ref="MQX8:MQY8"/>
    <mergeCell ref="MPN8:MPO8"/>
    <mergeCell ref="MPR8:MPS8"/>
    <mergeCell ref="MPV8:MPW8"/>
    <mergeCell ref="MPZ8:MQA8"/>
    <mergeCell ref="MQD8:MQE8"/>
    <mergeCell ref="MOT8:MOU8"/>
    <mergeCell ref="MOX8:MOY8"/>
    <mergeCell ref="MPB8:MPC8"/>
    <mergeCell ref="MPF8:MPG8"/>
    <mergeCell ref="MPJ8:MPK8"/>
    <mergeCell ref="MUD8:MUE8"/>
    <mergeCell ref="MUH8:MUI8"/>
    <mergeCell ref="MUL8:MUM8"/>
    <mergeCell ref="MUP8:MUQ8"/>
    <mergeCell ref="MUT8:MUU8"/>
    <mergeCell ref="MTJ8:MTK8"/>
    <mergeCell ref="MTN8:MTO8"/>
    <mergeCell ref="MTR8:MTS8"/>
    <mergeCell ref="MTV8:MTW8"/>
    <mergeCell ref="MTZ8:MUA8"/>
    <mergeCell ref="MSP8:MSQ8"/>
    <mergeCell ref="MST8:MSU8"/>
    <mergeCell ref="MSX8:MSY8"/>
    <mergeCell ref="MTB8:MTC8"/>
    <mergeCell ref="MTF8:MTG8"/>
    <mergeCell ref="MRV8:MRW8"/>
    <mergeCell ref="MRZ8:MSA8"/>
    <mergeCell ref="MSD8:MSE8"/>
    <mergeCell ref="MSH8:MSI8"/>
    <mergeCell ref="MSL8:MSM8"/>
    <mergeCell ref="MXF8:MXG8"/>
    <mergeCell ref="MXJ8:MXK8"/>
    <mergeCell ref="MXN8:MXO8"/>
    <mergeCell ref="MXR8:MXS8"/>
    <mergeCell ref="MXV8:MXW8"/>
    <mergeCell ref="MWL8:MWM8"/>
    <mergeCell ref="MWP8:MWQ8"/>
    <mergeCell ref="MWT8:MWU8"/>
    <mergeCell ref="MWX8:MWY8"/>
    <mergeCell ref="MXB8:MXC8"/>
    <mergeCell ref="MVR8:MVS8"/>
    <mergeCell ref="MVV8:MVW8"/>
    <mergeCell ref="MVZ8:MWA8"/>
    <mergeCell ref="MWD8:MWE8"/>
    <mergeCell ref="MWH8:MWI8"/>
    <mergeCell ref="MUX8:MUY8"/>
    <mergeCell ref="MVB8:MVC8"/>
    <mergeCell ref="MVF8:MVG8"/>
    <mergeCell ref="MVJ8:MVK8"/>
    <mergeCell ref="MVN8:MVO8"/>
    <mergeCell ref="NAH8:NAI8"/>
    <mergeCell ref="NAL8:NAM8"/>
    <mergeCell ref="NAP8:NAQ8"/>
    <mergeCell ref="NAT8:NAU8"/>
    <mergeCell ref="NAX8:NAY8"/>
    <mergeCell ref="MZN8:MZO8"/>
    <mergeCell ref="MZR8:MZS8"/>
    <mergeCell ref="MZV8:MZW8"/>
    <mergeCell ref="MZZ8:NAA8"/>
    <mergeCell ref="NAD8:NAE8"/>
    <mergeCell ref="MYT8:MYU8"/>
    <mergeCell ref="MYX8:MYY8"/>
    <mergeCell ref="MZB8:MZC8"/>
    <mergeCell ref="MZF8:MZG8"/>
    <mergeCell ref="MZJ8:MZK8"/>
    <mergeCell ref="MXZ8:MYA8"/>
    <mergeCell ref="MYD8:MYE8"/>
    <mergeCell ref="MYH8:MYI8"/>
    <mergeCell ref="MYL8:MYM8"/>
    <mergeCell ref="MYP8:MYQ8"/>
    <mergeCell ref="NDJ8:NDK8"/>
    <mergeCell ref="NDN8:NDO8"/>
    <mergeCell ref="NDR8:NDS8"/>
    <mergeCell ref="NDV8:NDW8"/>
    <mergeCell ref="NDZ8:NEA8"/>
    <mergeCell ref="NCP8:NCQ8"/>
    <mergeCell ref="NCT8:NCU8"/>
    <mergeCell ref="NCX8:NCY8"/>
    <mergeCell ref="NDB8:NDC8"/>
    <mergeCell ref="NDF8:NDG8"/>
    <mergeCell ref="NBV8:NBW8"/>
    <mergeCell ref="NBZ8:NCA8"/>
    <mergeCell ref="NCD8:NCE8"/>
    <mergeCell ref="NCH8:NCI8"/>
    <mergeCell ref="NCL8:NCM8"/>
    <mergeCell ref="NBB8:NBC8"/>
    <mergeCell ref="NBF8:NBG8"/>
    <mergeCell ref="NBJ8:NBK8"/>
    <mergeCell ref="NBN8:NBO8"/>
    <mergeCell ref="NBR8:NBS8"/>
    <mergeCell ref="NGL8:NGM8"/>
    <mergeCell ref="NGP8:NGQ8"/>
    <mergeCell ref="NGT8:NGU8"/>
    <mergeCell ref="NGX8:NGY8"/>
    <mergeCell ref="NHB8:NHC8"/>
    <mergeCell ref="NFR8:NFS8"/>
    <mergeCell ref="NFV8:NFW8"/>
    <mergeCell ref="NFZ8:NGA8"/>
    <mergeCell ref="NGD8:NGE8"/>
    <mergeCell ref="NGH8:NGI8"/>
    <mergeCell ref="NEX8:NEY8"/>
    <mergeCell ref="NFB8:NFC8"/>
    <mergeCell ref="NFF8:NFG8"/>
    <mergeCell ref="NFJ8:NFK8"/>
    <mergeCell ref="NFN8:NFO8"/>
    <mergeCell ref="NED8:NEE8"/>
    <mergeCell ref="NEH8:NEI8"/>
    <mergeCell ref="NEL8:NEM8"/>
    <mergeCell ref="NEP8:NEQ8"/>
    <mergeCell ref="NET8:NEU8"/>
    <mergeCell ref="NJN8:NJO8"/>
    <mergeCell ref="NJR8:NJS8"/>
    <mergeCell ref="NJV8:NJW8"/>
    <mergeCell ref="NJZ8:NKA8"/>
    <mergeCell ref="NKD8:NKE8"/>
    <mergeCell ref="NIT8:NIU8"/>
    <mergeCell ref="NIX8:NIY8"/>
    <mergeCell ref="NJB8:NJC8"/>
    <mergeCell ref="NJF8:NJG8"/>
    <mergeCell ref="NJJ8:NJK8"/>
    <mergeCell ref="NHZ8:NIA8"/>
    <mergeCell ref="NID8:NIE8"/>
    <mergeCell ref="NIH8:NII8"/>
    <mergeCell ref="NIL8:NIM8"/>
    <mergeCell ref="NIP8:NIQ8"/>
    <mergeCell ref="NHF8:NHG8"/>
    <mergeCell ref="NHJ8:NHK8"/>
    <mergeCell ref="NHN8:NHO8"/>
    <mergeCell ref="NHR8:NHS8"/>
    <mergeCell ref="NHV8:NHW8"/>
    <mergeCell ref="NMP8:NMQ8"/>
    <mergeCell ref="NMT8:NMU8"/>
    <mergeCell ref="NMX8:NMY8"/>
    <mergeCell ref="NNB8:NNC8"/>
    <mergeCell ref="NNF8:NNG8"/>
    <mergeCell ref="NLV8:NLW8"/>
    <mergeCell ref="NLZ8:NMA8"/>
    <mergeCell ref="NMD8:NME8"/>
    <mergeCell ref="NMH8:NMI8"/>
    <mergeCell ref="NML8:NMM8"/>
    <mergeCell ref="NLB8:NLC8"/>
    <mergeCell ref="NLF8:NLG8"/>
    <mergeCell ref="NLJ8:NLK8"/>
    <mergeCell ref="NLN8:NLO8"/>
    <mergeCell ref="NLR8:NLS8"/>
    <mergeCell ref="NKH8:NKI8"/>
    <mergeCell ref="NKL8:NKM8"/>
    <mergeCell ref="NKP8:NKQ8"/>
    <mergeCell ref="NKT8:NKU8"/>
    <mergeCell ref="NKX8:NKY8"/>
    <mergeCell ref="NPR8:NPS8"/>
    <mergeCell ref="NPV8:NPW8"/>
    <mergeCell ref="NPZ8:NQA8"/>
    <mergeCell ref="NQD8:NQE8"/>
    <mergeCell ref="NQH8:NQI8"/>
    <mergeCell ref="NOX8:NOY8"/>
    <mergeCell ref="NPB8:NPC8"/>
    <mergeCell ref="NPF8:NPG8"/>
    <mergeCell ref="NPJ8:NPK8"/>
    <mergeCell ref="NPN8:NPO8"/>
    <mergeCell ref="NOD8:NOE8"/>
    <mergeCell ref="NOH8:NOI8"/>
    <mergeCell ref="NOL8:NOM8"/>
    <mergeCell ref="NOP8:NOQ8"/>
    <mergeCell ref="NOT8:NOU8"/>
    <mergeCell ref="NNJ8:NNK8"/>
    <mergeCell ref="NNN8:NNO8"/>
    <mergeCell ref="NNR8:NNS8"/>
    <mergeCell ref="NNV8:NNW8"/>
    <mergeCell ref="NNZ8:NOA8"/>
    <mergeCell ref="NST8:NSU8"/>
    <mergeCell ref="NSX8:NSY8"/>
    <mergeCell ref="NTB8:NTC8"/>
    <mergeCell ref="NTF8:NTG8"/>
    <mergeCell ref="NTJ8:NTK8"/>
    <mergeCell ref="NRZ8:NSA8"/>
    <mergeCell ref="NSD8:NSE8"/>
    <mergeCell ref="NSH8:NSI8"/>
    <mergeCell ref="NSL8:NSM8"/>
    <mergeCell ref="NSP8:NSQ8"/>
    <mergeCell ref="NRF8:NRG8"/>
    <mergeCell ref="NRJ8:NRK8"/>
    <mergeCell ref="NRN8:NRO8"/>
    <mergeCell ref="NRR8:NRS8"/>
    <mergeCell ref="NRV8:NRW8"/>
    <mergeCell ref="NQL8:NQM8"/>
    <mergeCell ref="NQP8:NQQ8"/>
    <mergeCell ref="NQT8:NQU8"/>
    <mergeCell ref="NQX8:NQY8"/>
    <mergeCell ref="NRB8:NRC8"/>
    <mergeCell ref="NVV8:NVW8"/>
    <mergeCell ref="NVZ8:NWA8"/>
    <mergeCell ref="NWD8:NWE8"/>
    <mergeCell ref="NWH8:NWI8"/>
    <mergeCell ref="NWL8:NWM8"/>
    <mergeCell ref="NVB8:NVC8"/>
    <mergeCell ref="NVF8:NVG8"/>
    <mergeCell ref="NVJ8:NVK8"/>
    <mergeCell ref="NVN8:NVO8"/>
    <mergeCell ref="NVR8:NVS8"/>
    <mergeCell ref="NUH8:NUI8"/>
    <mergeCell ref="NUL8:NUM8"/>
    <mergeCell ref="NUP8:NUQ8"/>
    <mergeCell ref="NUT8:NUU8"/>
    <mergeCell ref="NUX8:NUY8"/>
    <mergeCell ref="NTN8:NTO8"/>
    <mergeCell ref="NTR8:NTS8"/>
    <mergeCell ref="NTV8:NTW8"/>
    <mergeCell ref="NTZ8:NUA8"/>
    <mergeCell ref="NUD8:NUE8"/>
    <mergeCell ref="NYX8:NYY8"/>
    <mergeCell ref="NZB8:NZC8"/>
    <mergeCell ref="NZF8:NZG8"/>
    <mergeCell ref="NZJ8:NZK8"/>
    <mergeCell ref="NZN8:NZO8"/>
    <mergeCell ref="NYD8:NYE8"/>
    <mergeCell ref="NYH8:NYI8"/>
    <mergeCell ref="NYL8:NYM8"/>
    <mergeCell ref="NYP8:NYQ8"/>
    <mergeCell ref="NYT8:NYU8"/>
    <mergeCell ref="NXJ8:NXK8"/>
    <mergeCell ref="NXN8:NXO8"/>
    <mergeCell ref="NXR8:NXS8"/>
    <mergeCell ref="NXV8:NXW8"/>
    <mergeCell ref="NXZ8:NYA8"/>
    <mergeCell ref="NWP8:NWQ8"/>
    <mergeCell ref="NWT8:NWU8"/>
    <mergeCell ref="NWX8:NWY8"/>
    <mergeCell ref="NXB8:NXC8"/>
    <mergeCell ref="NXF8:NXG8"/>
    <mergeCell ref="OBZ8:OCA8"/>
    <mergeCell ref="OCD8:OCE8"/>
    <mergeCell ref="OCH8:OCI8"/>
    <mergeCell ref="OCL8:OCM8"/>
    <mergeCell ref="OCP8:OCQ8"/>
    <mergeCell ref="OBF8:OBG8"/>
    <mergeCell ref="OBJ8:OBK8"/>
    <mergeCell ref="OBN8:OBO8"/>
    <mergeCell ref="OBR8:OBS8"/>
    <mergeCell ref="OBV8:OBW8"/>
    <mergeCell ref="OAL8:OAM8"/>
    <mergeCell ref="OAP8:OAQ8"/>
    <mergeCell ref="OAT8:OAU8"/>
    <mergeCell ref="OAX8:OAY8"/>
    <mergeCell ref="OBB8:OBC8"/>
    <mergeCell ref="NZR8:NZS8"/>
    <mergeCell ref="NZV8:NZW8"/>
    <mergeCell ref="NZZ8:OAA8"/>
    <mergeCell ref="OAD8:OAE8"/>
    <mergeCell ref="OAH8:OAI8"/>
    <mergeCell ref="OFB8:OFC8"/>
    <mergeCell ref="OFF8:OFG8"/>
    <mergeCell ref="OFJ8:OFK8"/>
    <mergeCell ref="OFN8:OFO8"/>
    <mergeCell ref="OFR8:OFS8"/>
    <mergeCell ref="OEH8:OEI8"/>
    <mergeCell ref="OEL8:OEM8"/>
    <mergeCell ref="OEP8:OEQ8"/>
    <mergeCell ref="OET8:OEU8"/>
    <mergeCell ref="OEX8:OEY8"/>
    <mergeCell ref="ODN8:ODO8"/>
    <mergeCell ref="ODR8:ODS8"/>
    <mergeCell ref="ODV8:ODW8"/>
    <mergeCell ref="ODZ8:OEA8"/>
    <mergeCell ref="OED8:OEE8"/>
    <mergeCell ref="OCT8:OCU8"/>
    <mergeCell ref="OCX8:OCY8"/>
    <mergeCell ref="ODB8:ODC8"/>
    <mergeCell ref="ODF8:ODG8"/>
    <mergeCell ref="ODJ8:ODK8"/>
    <mergeCell ref="OID8:OIE8"/>
    <mergeCell ref="OIH8:OII8"/>
    <mergeCell ref="OIL8:OIM8"/>
    <mergeCell ref="OIP8:OIQ8"/>
    <mergeCell ref="OIT8:OIU8"/>
    <mergeCell ref="OHJ8:OHK8"/>
    <mergeCell ref="OHN8:OHO8"/>
    <mergeCell ref="OHR8:OHS8"/>
    <mergeCell ref="OHV8:OHW8"/>
    <mergeCell ref="OHZ8:OIA8"/>
    <mergeCell ref="OGP8:OGQ8"/>
    <mergeCell ref="OGT8:OGU8"/>
    <mergeCell ref="OGX8:OGY8"/>
    <mergeCell ref="OHB8:OHC8"/>
    <mergeCell ref="OHF8:OHG8"/>
    <mergeCell ref="OFV8:OFW8"/>
    <mergeCell ref="OFZ8:OGA8"/>
    <mergeCell ref="OGD8:OGE8"/>
    <mergeCell ref="OGH8:OGI8"/>
    <mergeCell ref="OGL8:OGM8"/>
    <mergeCell ref="OLF8:OLG8"/>
    <mergeCell ref="OLJ8:OLK8"/>
    <mergeCell ref="OLN8:OLO8"/>
    <mergeCell ref="OLR8:OLS8"/>
    <mergeCell ref="OLV8:OLW8"/>
    <mergeCell ref="OKL8:OKM8"/>
    <mergeCell ref="OKP8:OKQ8"/>
    <mergeCell ref="OKT8:OKU8"/>
    <mergeCell ref="OKX8:OKY8"/>
    <mergeCell ref="OLB8:OLC8"/>
    <mergeCell ref="OJR8:OJS8"/>
    <mergeCell ref="OJV8:OJW8"/>
    <mergeCell ref="OJZ8:OKA8"/>
    <mergeCell ref="OKD8:OKE8"/>
    <mergeCell ref="OKH8:OKI8"/>
    <mergeCell ref="OIX8:OIY8"/>
    <mergeCell ref="OJB8:OJC8"/>
    <mergeCell ref="OJF8:OJG8"/>
    <mergeCell ref="OJJ8:OJK8"/>
    <mergeCell ref="OJN8:OJO8"/>
    <mergeCell ref="OOH8:OOI8"/>
    <mergeCell ref="OOL8:OOM8"/>
    <mergeCell ref="OOP8:OOQ8"/>
    <mergeCell ref="OOT8:OOU8"/>
    <mergeCell ref="OOX8:OOY8"/>
    <mergeCell ref="ONN8:ONO8"/>
    <mergeCell ref="ONR8:ONS8"/>
    <mergeCell ref="ONV8:ONW8"/>
    <mergeCell ref="ONZ8:OOA8"/>
    <mergeCell ref="OOD8:OOE8"/>
    <mergeCell ref="OMT8:OMU8"/>
    <mergeCell ref="OMX8:OMY8"/>
    <mergeCell ref="ONB8:ONC8"/>
    <mergeCell ref="ONF8:ONG8"/>
    <mergeCell ref="ONJ8:ONK8"/>
    <mergeCell ref="OLZ8:OMA8"/>
    <mergeCell ref="OMD8:OME8"/>
    <mergeCell ref="OMH8:OMI8"/>
    <mergeCell ref="OML8:OMM8"/>
    <mergeCell ref="OMP8:OMQ8"/>
    <mergeCell ref="ORJ8:ORK8"/>
    <mergeCell ref="ORN8:ORO8"/>
    <mergeCell ref="ORR8:ORS8"/>
    <mergeCell ref="ORV8:ORW8"/>
    <mergeCell ref="ORZ8:OSA8"/>
    <mergeCell ref="OQP8:OQQ8"/>
    <mergeCell ref="OQT8:OQU8"/>
    <mergeCell ref="OQX8:OQY8"/>
    <mergeCell ref="ORB8:ORC8"/>
    <mergeCell ref="ORF8:ORG8"/>
    <mergeCell ref="OPV8:OPW8"/>
    <mergeCell ref="OPZ8:OQA8"/>
    <mergeCell ref="OQD8:OQE8"/>
    <mergeCell ref="OQH8:OQI8"/>
    <mergeCell ref="OQL8:OQM8"/>
    <mergeCell ref="OPB8:OPC8"/>
    <mergeCell ref="OPF8:OPG8"/>
    <mergeCell ref="OPJ8:OPK8"/>
    <mergeCell ref="OPN8:OPO8"/>
    <mergeCell ref="OPR8:OPS8"/>
    <mergeCell ref="OUL8:OUM8"/>
    <mergeCell ref="OUP8:OUQ8"/>
    <mergeCell ref="OUT8:OUU8"/>
    <mergeCell ref="OUX8:OUY8"/>
    <mergeCell ref="OVB8:OVC8"/>
    <mergeCell ref="OTR8:OTS8"/>
    <mergeCell ref="OTV8:OTW8"/>
    <mergeCell ref="OTZ8:OUA8"/>
    <mergeCell ref="OUD8:OUE8"/>
    <mergeCell ref="OUH8:OUI8"/>
    <mergeCell ref="OSX8:OSY8"/>
    <mergeCell ref="OTB8:OTC8"/>
    <mergeCell ref="OTF8:OTG8"/>
    <mergeCell ref="OTJ8:OTK8"/>
    <mergeCell ref="OTN8:OTO8"/>
    <mergeCell ref="OSD8:OSE8"/>
    <mergeCell ref="OSH8:OSI8"/>
    <mergeCell ref="OSL8:OSM8"/>
    <mergeCell ref="OSP8:OSQ8"/>
    <mergeCell ref="OST8:OSU8"/>
    <mergeCell ref="OXN8:OXO8"/>
    <mergeCell ref="OXR8:OXS8"/>
    <mergeCell ref="OXV8:OXW8"/>
    <mergeCell ref="OXZ8:OYA8"/>
    <mergeCell ref="OYD8:OYE8"/>
    <mergeCell ref="OWT8:OWU8"/>
    <mergeCell ref="OWX8:OWY8"/>
    <mergeCell ref="OXB8:OXC8"/>
    <mergeCell ref="OXF8:OXG8"/>
    <mergeCell ref="OXJ8:OXK8"/>
    <mergeCell ref="OVZ8:OWA8"/>
    <mergeCell ref="OWD8:OWE8"/>
    <mergeCell ref="OWH8:OWI8"/>
    <mergeCell ref="OWL8:OWM8"/>
    <mergeCell ref="OWP8:OWQ8"/>
    <mergeCell ref="OVF8:OVG8"/>
    <mergeCell ref="OVJ8:OVK8"/>
    <mergeCell ref="OVN8:OVO8"/>
    <mergeCell ref="OVR8:OVS8"/>
    <mergeCell ref="OVV8:OVW8"/>
    <mergeCell ref="PAP8:PAQ8"/>
    <mergeCell ref="PAT8:PAU8"/>
    <mergeCell ref="PAX8:PAY8"/>
    <mergeCell ref="PBB8:PBC8"/>
    <mergeCell ref="PBF8:PBG8"/>
    <mergeCell ref="OZV8:OZW8"/>
    <mergeCell ref="OZZ8:PAA8"/>
    <mergeCell ref="PAD8:PAE8"/>
    <mergeCell ref="PAH8:PAI8"/>
    <mergeCell ref="PAL8:PAM8"/>
    <mergeCell ref="OZB8:OZC8"/>
    <mergeCell ref="OZF8:OZG8"/>
    <mergeCell ref="OZJ8:OZK8"/>
    <mergeCell ref="OZN8:OZO8"/>
    <mergeCell ref="OZR8:OZS8"/>
    <mergeCell ref="OYH8:OYI8"/>
    <mergeCell ref="OYL8:OYM8"/>
    <mergeCell ref="OYP8:OYQ8"/>
    <mergeCell ref="OYT8:OYU8"/>
    <mergeCell ref="OYX8:OYY8"/>
    <mergeCell ref="PDR8:PDS8"/>
    <mergeCell ref="PDV8:PDW8"/>
    <mergeCell ref="PDZ8:PEA8"/>
    <mergeCell ref="PED8:PEE8"/>
    <mergeCell ref="PEH8:PEI8"/>
    <mergeCell ref="PCX8:PCY8"/>
    <mergeCell ref="PDB8:PDC8"/>
    <mergeCell ref="PDF8:PDG8"/>
    <mergeCell ref="PDJ8:PDK8"/>
    <mergeCell ref="PDN8:PDO8"/>
    <mergeCell ref="PCD8:PCE8"/>
    <mergeCell ref="PCH8:PCI8"/>
    <mergeCell ref="PCL8:PCM8"/>
    <mergeCell ref="PCP8:PCQ8"/>
    <mergeCell ref="PCT8:PCU8"/>
    <mergeCell ref="PBJ8:PBK8"/>
    <mergeCell ref="PBN8:PBO8"/>
    <mergeCell ref="PBR8:PBS8"/>
    <mergeCell ref="PBV8:PBW8"/>
    <mergeCell ref="PBZ8:PCA8"/>
    <mergeCell ref="PGT8:PGU8"/>
    <mergeCell ref="PGX8:PGY8"/>
    <mergeCell ref="PHB8:PHC8"/>
    <mergeCell ref="PHF8:PHG8"/>
    <mergeCell ref="PHJ8:PHK8"/>
    <mergeCell ref="PFZ8:PGA8"/>
    <mergeCell ref="PGD8:PGE8"/>
    <mergeCell ref="PGH8:PGI8"/>
    <mergeCell ref="PGL8:PGM8"/>
    <mergeCell ref="PGP8:PGQ8"/>
    <mergeCell ref="PFF8:PFG8"/>
    <mergeCell ref="PFJ8:PFK8"/>
    <mergeCell ref="PFN8:PFO8"/>
    <mergeCell ref="PFR8:PFS8"/>
    <mergeCell ref="PFV8:PFW8"/>
    <mergeCell ref="PEL8:PEM8"/>
    <mergeCell ref="PEP8:PEQ8"/>
    <mergeCell ref="PET8:PEU8"/>
    <mergeCell ref="PEX8:PEY8"/>
    <mergeCell ref="PFB8:PFC8"/>
    <mergeCell ref="PJV8:PJW8"/>
    <mergeCell ref="PJZ8:PKA8"/>
    <mergeCell ref="PKD8:PKE8"/>
    <mergeCell ref="PKH8:PKI8"/>
    <mergeCell ref="PKL8:PKM8"/>
    <mergeCell ref="PJB8:PJC8"/>
    <mergeCell ref="PJF8:PJG8"/>
    <mergeCell ref="PJJ8:PJK8"/>
    <mergeCell ref="PJN8:PJO8"/>
    <mergeCell ref="PJR8:PJS8"/>
    <mergeCell ref="PIH8:PII8"/>
    <mergeCell ref="PIL8:PIM8"/>
    <mergeCell ref="PIP8:PIQ8"/>
    <mergeCell ref="PIT8:PIU8"/>
    <mergeCell ref="PIX8:PIY8"/>
    <mergeCell ref="PHN8:PHO8"/>
    <mergeCell ref="PHR8:PHS8"/>
    <mergeCell ref="PHV8:PHW8"/>
    <mergeCell ref="PHZ8:PIA8"/>
    <mergeCell ref="PID8:PIE8"/>
    <mergeCell ref="PMX8:PMY8"/>
    <mergeCell ref="PNB8:PNC8"/>
    <mergeCell ref="PNF8:PNG8"/>
    <mergeCell ref="PNJ8:PNK8"/>
    <mergeCell ref="PNN8:PNO8"/>
    <mergeCell ref="PMD8:PME8"/>
    <mergeCell ref="PMH8:PMI8"/>
    <mergeCell ref="PML8:PMM8"/>
    <mergeCell ref="PMP8:PMQ8"/>
    <mergeCell ref="PMT8:PMU8"/>
    <mergeCell ref="PLJ8:PLK8"/>
    <mergeCell ref="PLN8:PLO8"/>
    <mergeCell ref="PLR8:PLS8"/>
    <mergeCell ref="PLV8:PLW8"/>
    <mergeCell ref="PLZ8:PMA8"/>
    <mergeCell ref="PKP8:PKQ8"/>
    <mergeCell ref="PKT8:PKU8"/>
    <mergeCell ref="PKX8:PKY8"/>
    <mergeCell ref="PLB8:PLC8"/>
    <mergeCell ref="PLF8:PLG8"/>
    <mergeCell ref="PPZ8:PQA8"/>
    <mergeCell ref="PQD8:PQE8"/>
    <mergeCell ref="PQH8:PQI8"/>
    <mergeCell ref="PQL8:PQM8"/>
    <mergeCell ref="PQP8:PQQ8"/>
    <mergeCell ref="PPF8:PPG8"/>
    <mergeCell ref="PPJ8:PPK8"/>
    <mergeCell ref="PPN8:PPO8"/>
    <mergeCell ref="PPR8:PPS8"/>
    <mergeCell ref="PPV8:PPW8"/>
    <mergeCell ref="POL8:POM8"/>
    <mergeCell ref="POP8:POQ8"/>
    <mergeCell ref="POT8:POU8"/>
    <mergeCell ref="POX8:POY8"/>
    <mergeCell ref="PPB8:PPC8"/>
    <mergeCell ref="PNR8:PNS8"/>
    <mergeCell ref="PNV8:PNW8"/>
    <mergeCell ref="PNZ8:POA8"/>
    <mergeCell ref="POD8:POE8"/>
    <mergeCell ref="POH8:POI8"/>
    <mergeCell ref="PTB8:PTC8"/>
    <mergeCell ref="PTF8:PTG8"/>
    <mergeCell ref="PTJ8:PTK8"/>
    <mergeCell ref="PTN8:PTO8"/>
    <mergeCell ref="PTR8:PTS8"/>
    <mergeCell ref="PSH8:PSI8"/>
    <mergeCell ref="PSL8:PSM8"/>
    <mergeCell ref="PSP8:PSQ8"/>
    <mergeCell ref="PST8:PSU8"/>
    <mergeCell ref="PSX8:PSY8"/>
    <mergeCell ref="PRN8:PRO8"/>
    <mergeCell ref="PRR8:PRS8"/>
    <mergeCell ref="PRV8:PRW8"/>
    <mergeCell ref="PRZ8:PSA8"/>
    <mergeCell ref="PSD8:PSE8"/>
    <mergeCell ref="PQT8:PQU8"/>
    <mergeCell ref="PQX8:PQY8"/>
    <mergeCell ref="PRB8:PRC8"/>
    <mergeCell ref="PRF8:PRG8"/>
    <mergeCell ref="PRJ8:PRK8"/>
    <mergeCell ref="PWD8:PWE8"/>
    <mergeCell ref="PWH8:PWI8"/>
    <mergeCell ref="PWL8:PWM8"/>
    <mergeCell ref="PWP8:PWQ8"/>
    <mergeCell ref="PWT8:PWU8"/>
    <mergeCell ref="PVJ8:PVK8"/>
    <mergeCell ref="PVN8:PVO8"/>
    <mergeCell ref="PVR8:PVS8"/>
    <mergeCell ref="PVV8:PVW8"/>
    <mergeCell ref="PVZ8:PWA8"/>
    <mergeCell ref="PUP8:PUQ8"/>
    <mergeCell ref="PUT8:PUU8"/>
    <mergeCell ref="PUX8:PUY8"/>
    <mergeCell ref="PVB8:PVC8"/>
    <mergeCell ref="PVF8:PVG8"/>
    <mergeCell ref="PTV8:PTW8"/>
    <mergeCell ref="PTZ8:PUA8"/>
    <mergeCell ref="PUD8:PUE8"/>
    <mergeCell ref="PUH8:PUI8"/>
    <mergeCell ref="PUL8:PUM8"/>
    <mergeCell ref="PZF8:PZG8"/>
    <mergeCell ref="PZJ8:PZK8"/>
    <mergeCell ref="PZN8:PZO8"/>
    <mergeCell ref="PZR8:PZS8"/>
    <mergeCell ref="PZV8:PZW8"/>
    <mergeCell ref="PYL8:PYM8"/>
    <mergeCell ref="PYP8:PYQ8"/>
    <mergeCell ref="PYT8:PYU8"/>
    <mergeCell ref="PYX8:PYY8"/>
    <mergeCell ref="PZB8:PZC8"/>
    <mergeCell ref="PXR8:PXS8"/>
    <mergeCell ref="PXV8:PXW8"/>
    <mergeCell ref="PXZ8:PYA8"/>
    <mergeCell ref="PYD8:PYE8"/>
    <mergeCell ref="PYH8:PYI8"/>
    <mergeCell ref="PWX8:PWY8"/>
    <mergeCell ref="PXB8:PXC8"/>
    <mergeCell ref="PXF8:PXG8"/>
    <mergeCell ref="PXJ8:PXK8"/>
    <mergeCell ref="PXN8:PXO8"/>
    <mergeCell ref="QCH8:QCI8"/>
    <mergeCell ref="QCL8:QCM8"/>
    <mergeCell ref="QCP8:QCQ8"/>
    <mergeCell ref="QCT8:QCU8"/>
    <mergeCell ref="QCX8:QCY8"/>
    <mergeCell ref="QBN8:QBO8"/>
    <mergeCell ref="QBR8:QBS8"/>
    <mergeCell ref="QBV8:QBW8"/>
    <mergeCell ref="QBZ8:QCA8"/>
    <mergeCell ref="QCD8:QCE8"/>
    <mergeCell ref="QAT8:QAU8"/>
    <mergeCell ref="QAX8:QAY8"/>
    <mergeCell ref="QBB8:QBC8"/>
    <mergeCell ref="QBF8:QBG8"/>
    <mergeCell ref="QBJ8:QBK8"/>
    <mergeCell ref="PZZ8:QAA8"/>
    <mergeCell ref="QAD8:QAE8"/>
    <mergeCell ref="QAH8:QAI8"/>
    <mergeCell ref="QAL8:QAM8"/>
    <mergeCell ref="QAP8:QAQ8"/>
    <mergeCell ref="QFJ8:QFK8"/>
    <mergeCell ref="QFN8:QFO8"/>
    <mergeCell ref="QFR8:QFS8"/>
    <mergeCell ref="QFV8:QFW8"/>
    <mergeCell ref="QFZ8:QGA8"/>
    <mergeCell ref="QEP8:QEQ8"/>
    <mergeCell ref="QET8:QEU8"/>
    <mergeCell ref="QEX8:QEY8"/>
    <mergeCell ref="QFB8:QFC8"/>
    <mergeCell ref="QFF8:QFG8"/>
    <mergeCell ref="QDV8:QDW8"/>
    <mergeCell ref="QDZ8:QEA8"/>
    <mergeCell ref="QED8:QEE8"/>
    <mergeCell ref="QEH8:QEI8"/>
    <mergeCell ref="QEL8:QEM8"/>
    <mergeCell ref="QDB8:QDC8"/>
    <mergeCell ref="QDF8:QDG8"/>
    <mergeCell ref="QDJ8:QDK8"/>
    <mergeCell ref="QDN8:QDO8"/>
    <mergeCell ref="QDR8:QDS8"/>
    <mergeCell ref="QIL8:QIM8"/>
    <mergeCell ref="QIP8:QIQ8"/>
    <mergeCell ref="QIT8:QIU8"/>
    <mergeCell ref="QIX8:QIY8"/>
    <mergeCell ref="QJB8:QJC8"/>
    <mergeCell ref="QHR8:QHS8"/>
    <mergeCell ref="QHV8:QHW8"/>
    <mergeCell ref="QHZ8:QIA8"/>
    <mergeCell ref="QID8:QIE8"/>
    <mergeCell ref="QIH8:QII8"/>
    <mergeCell ref="QGX8:QGY8"/>
    <mergeCell ref="QHB8:QHC8"/>
    <mergeCell ref="QHF8:QHG8"/>
    <mergeCell ref="QHJ8:QHK8"/>
    <mergeCell ref="QHN8:QHO8"/>
    <mergeCell ref="QGD8:QGE8"/>
    <mergeCell ref="QGH8:QGI8"/>
    <mergeCell ref="QGL8:QGM8"/>
    <mergeCell ref="QGP8:QGQ8"/>
    <mergeCell ref="QGT8:QGU8"/>
    <mergeCell ref="QLN8:QLO8"/>
    <mergeCell ref="QLR8:QLS8"/>
    <mergeCell ref="QLV8:QLW8"/>
    <mergeCell ref="QLZ8:QMA8"/>
    <mergeCell ref="QMD8:QME8"/>
    <mergeCell ref="QKT8:QKU8"/>
    <mergeCell ref="QKX8:QKY8"/>
    <mergeCell ref="QLB8:QLC8"/>
    <mergeCell ref="QLF8:QLG8"/>
    <mergeCell ref="QLJ8:QLK8"/>
    <mergeCell ref="QJZ8:QKA8"/>
    <mergeCell ref="QKD8:QKE8"/>
    <mergeCell ref="QKH8:QKI8"/>
    <mergeCell ref="QKL8:QKM8"/>
    <mergeCell ref="QKP8:QKQ8"/>
    <mergeCell ref="QJF8:QJG8"/>
    <mergeCell ref="QJJ8:QJK8"/>
    <mergeCell ref="QJN8:QJO8"/>
    <mergeCell ref="QJR8:QJS8"/>
    <mergeCell ref="QJV8:QJW8"/>
    <mergeCell ref="QOP8:QOQ8"/>
    <mergeCell ref="QOT8:QOU8"/>
    <mergeCell ref="QOX8:QOY8"/>
    <mergeCell ref="QPB8:QPC8"/>
    <mergeCell ref="QPF8:QPG8"/>
    <mergeCell ref="QNV8:QNW8"/>
    <mergeCell ref="QNZ8:QOA8"/>
    <mergeCell ref="QOD8:QOE8"/>
    <mergeCell ref="QOH8:QOI8"/>
    <mergeCell ref="QOL8:QOM8"/>
    <mergeCell ref="QNB8:QNC8"/>
    <mergeCell ref="QNF8:QNG8"/>
    <mergeCell ref="QNJ8:QNK8"/>
    <mergeCell ref="QNN8:QNO8"/>
    <mergeCell ref="QNR8:QNS8"/>
    <mergeCell ref="QMH8:QMI8"/>
    <mergeCell ref="QML8:QMM8"/>
    <mergeCell ref="QMP8:QMQ8"/>
    <mergeCell ref="QMT8:QMU8"/>
    <mergeCell ref="QMX8:QMY8"/>
    <mergeCell ref="QRR8:QRS8"/>
    <mergeCell ref="QRV8:QRW8"/>
    <mergeCell ref="QRZ8:QSA8"/>
    <mergeCell ref="QSD8:QSE8"/>
    <mergeCell ref="QSH8:QSI8"/>
    <mergeCell ref="QQX8:QQY8"/>
    <mergeCell ref="QRB8:QRC8"/>
    <mergeCell ref="QRF8:QRG8"/>
    <mergeCell ref="QRJ8:QRK8"/>
    <mergeCell ref="QRN8:QRO8"/>
    <mergeCell ref="QQD8:QQE8"/>
    <mergeCell ref="QQH8:QQI8"/>
    <mergeCell ref="QQL8:QQM8"/>
    <mergeCell ref="QQP8:QQQ8"/>
    <mergeCell ref="QQT8:QQU8"/>
    <mergeCell ref="QPJ8:QPK8"/>
    <mergeCell ref="QPN8:QPO8"/>
    <mergeCell ref="QPR8:QPS8"/>
    <mergeCell ref="QPV8:QPW8"/>
    <mergeCell ref="QPZ8:QQA8"/>
    <mergeCell ref="QUT8:QUU8"/>
    <mergeCell ref="QUX8:QUY8"/>
    <mergeCell ref="QVB8:QVC8"/>
    <mergeCell ref="QVF8:QVG8"/>
    <mergeCell ref="QVJ8:QVK8"/>
    <mergeCell ref="QTZ8:QUA8"/>
    <mergeCell ref="QUD8:QUE8"/>
    <mergeCell ref="QUH8:QUI8"/>
    <mergeCell ref="QUL8:QUM8"/>
    <mergeCell ref="QUP8:QUQ8"/>
    <mergeCell ref="QTF8:QTG8"/>
    <mergeCell ref="QTJ8:QTK8"/>
    <mergeCell ref="QTN8:QTO8"/>
    <mergeCell ref="QTR8:QTS8"/>
    <mergeCell ref="QTV8:QTW8"/>
    <mergeCell ref="QSL8:QSM8"/>
    <mergeCell ref="QSP8:QSQ8"/>
    <mergeCell ref="QST8:QSU8"/>
    <mergeCell ref="QSX8:QSY8"/>
    <mergeCell ref="QTB8:QTC8"/>
    <mergeCell ref="QXV8:QXW8"/>
    <mergeCell ref="QXZ8:QYA8"/>
    <mergeCell ref="QYD8:QYE8"/>
    <mergeCell ref="QYH8:QYI8"/>
    <mergeCell ref="QYL8:QYM8"/>
    <mergeCell ref="QXB8:QXC8"/>
    <mergeCell ref="QXF8:QXG8"/>
    <mergeCell ref="QXJ8:QXK8"/>
    <mergeCell ref="QXN8:QXO8"/>
    <mergeCell ref="QXR8:QXS8"/>
    <mergeCell ref="QWH8:QWI8"/>
    <mergeCell ref="QWL8:QWM8"/>
    <mergeCell ref="QWP8:QWQ8"/>
    <mergeCell ref="QWT8:QWU8"/>
    <mergeCell ref="QWX8:QWY8"/>
    <mergeCell ref="QVN8:QVO8"/>
    <mergeCell ref="QVR8:QVS8"/>
    <mergeCell ref="QVV8:QVW8"/>
    <mergeCell ref="QVZ8:QWA8"/>
    <mergeCell ref="QWD8:QWE8"/>
    <mergeCell ref="RAX8:RAY8"/>
    <mergeCell ref="RBB8:RBC8"/>
    <mergeCell ref="RBF8:RBG8"/>
    <mergeCell ref="RBJ8:RBK8"/>
    <mergeCell ref="RBN8:RBO8"/>
    <mergeCell ref="RAD8:RAE8"/>
    <mergeCell ref="RAH8:RAI8"/>
    <mergeCell ref="RAL8:RAM8"/>
    <mergeCell ref="RAP8:RAQ8"/>
    <mergeCell ref="RAT8:RAU8"/>
    <mergeCell ref="QZJ8:QZK8"/>
    <mergeCell ref="QZN8:QZO8"/>
    <mergeCell ref="QZR8:QZS8"/>
    <mergeCell ref="QZV8:QZW8"/>
    <mergeCell ref="QZZ8:RAA8"/>
    <mergeCell ref="QYP8:QYQ8"/>
    <mergeCell ref="QYT8:QYU8"/>
    <mergeCell ref="QYX8:QYY8"/>
    <mergeCell ref="QZB8:QZC8"/>
    <mergeCell ref="QZF8:QZG8"/>
    <mergeCell ref="RDZ8:REA8"/>
    <mergeCell ref="RED8:REE8"/>
    <mergeCell ref="REH8:REI8"/>
    <mergeCell ref="REL8:REM8"/>
    <mergeCell ref="REP8:REQ8"/>
    <mergeCell ref="RDF8:RDG8"/>
    <mergeCell ref="RDJ8:RDK8"/>
    <mergeCell ref="RDN8:RDO8"/>
    <mergeCell ref="RDR8:RDS8"/>
    <mergeCell ref="RDV8:RDW8"/>
    <mergeCell ref="RCL8:RCM8"/>
    <mergeCell ref="RCP8:RCQ8"/>
    <mergeCell ref="RCT8:RCU8"/>
    <mergeCell ref="RCX8:RCY8"/>
    <mergeCell ref="RDB8:RDC8"/>
    <mergeCell ref="RBR8:RBS8"/>
    <mergeCell ref="RBV8:RBW8"/>
    <mergeCell ref="RBZ8:RCA8"/>
    <mergeCell ref="RCD8:RCE8"/>
    <mergeCell ref="RCH8:RCI8"/>
    <mergeCell ref="RHB8:RHC8"/>
    <mergeCell ref="RHF8:RHG8"/>
    <mergeCell ref="RHJ8:RHK8"/>
    <mergeCell ref="RHN8:RHO8"/>
    <mergeCell ref="RHR8:RHS8"/>
    <mergeCell ref="RGH8:RGI8"/>
    <mergeCell ref="RGL8:RGM8"/>
    <mergeCell ref="RGP8:RGQ8"/>
    <mergeCell ref="RGT8:RGU8"/>
    <mergeCell ref="RGX8:RGY8"/>
    <mergeCell ref="RFN8:RFO8"/>
    <mergeCell ref="RFR8:RFS8"/>
    <mergeCell ref="RFV8:RFW8"/>
    <mergeCell ref="RFZ8:RGA8"/>
    <mergeCell ref="RGD8:RGE8"/>
    <mergeCell ref="RET8:REU8"/>
    <mergeCell ref="REX8:REY8"/>
    <mergeCell ref="RFB8:RFC8"/>
    <mergeCell ref="RFF8:RFG8"/>
    <mergeCell ref="RFJ8:RFK8"/>
    <mergeCell ref="RKD8:RKE8"/>
    <mergeCell ref="RKH8:RKI8"/>
    <mergeCell ref="RKL8:RKM8"/>
    <mergeCell ref="RKP8:RKQ8"/>
    <mergeCell ref="RKT8:RKU8"/>
    <mergeCell ref="RJJ8:RJK8"/>
    <mergeCell ref="RJN8:RJO8"/>
    <mergeCell ref="RJR8:RJS8"/>
    <mergeCell ref="RJV8:RJW8"/>
    <mergeCell ref="RJZ8:RKA8"/>
    <mergeCell ref="RIP8:RIQ8"/>
    <mergeCell ref="RIT8:RIU8"/>
    <mergeCell ref="RIX8:RIY8"/>
    <mergeCell ref="RJB8:RJC8"/>
    <mergeCell ref="RJF8:RJG8"/>
    <mergeCell ref="RHV8:RHW8"/>
    <mergeCell ref="RHZ8:RIA8"/>
    <mergeCell ref="RID8:RIE8"/>
    <mergeCell ref="RIH8:RII8"/>
    <mergeCell ref="RIL8:RIM8"/>
    <mergeCell ref="RNF8:RNG8"/>
    <mergeCell ref="RNJ8:RNK8"/>
    <mergeCell ref="RNN8:RNO8"/>
    <mergeCell ref="RNR8:RNS8"/>
    <mergeCell ref="RNV8:RNW8"/>
    <mergeCell ref="RML8:RMM8"/>
    <mergeCell ref="RMP8:RMQ8"/>
    <mergeCell ref="RMT8:RMU8"/>
    <mergeCell ref="RMX8:RMY8"/>
    <mergeCell ref="RNB8:RNC8"/>
    <mergeCell ref="RLR8:RLS8"/>
    <mergeCell ref="RLV8:RLW8"/>
    <mergeCell ref="RLZ8:RMA8"/>
    <mergeCell ref="RMD8:RME8"/>
    <mergeCell ref="RMH8:RMI8"/>
    <mergeCell ref="RKX8:RKY8"/>
    <mergeCell ref="RLB8:RLC8"/>
    <mergeCell ref="RLF8:RLG8"/>
    <mergeCell ref="RLJ8:RLK8"/>
    <mergeCell ref="RLN8:RLO8"/>
    <mergeCell ref="RQH8:RQI8"/>
    <mergeCell ref="RQL8:RQM8"/>
    <mergeCell ref="RQP8:RQQ8"/>
    <mergeCell ref="RQT8:RQU8"/>
    <mergeCell ref="RQX8:RQY8"/>
    <mergeCell ref="RPN8:RPO8"/>
    <mergeCell ref="RPR8:RPS8"/>
    <mergeCell ref="RPV8:RPW8"/>
    <mergeCell ref="RPZ8:RQA8"/>
    <mergeCell ref="RQD8:RQE8"/>
    <mergeCell ref="ROT8:ROU8"/>
    <mergeCell ref="ROX8:ROY8"/>
    <mergeCell ref="RPB8:RPC8"/>
    <mergeCell ref="RPF8:RPG8"/>
    <mergeCell ref="RPJ8:RPK8"/>
    <mergeCell ref="RNZ8:ROA8"/>
    <mergeCell ref="ROD8:ROE8"/>
    <mergeCell ref="ROH8:ROI8"/>
    <mergeCell ref="ROL8:ROM8"/>
    <mergeCell ref="ROP8:ROQ8"/>
    <mergeCell ref="RTJ8:RTK8"/>
    <mergeCell ref="RTN8:RTO8"/>
    <mergeCell ref="RTR8:RTS8"/>
    <mergeCell ref="RTV8:RTW8"/>
    <mergeCell ref="RTZ8:RUA8"/>
    <mergeCell ref="RSP8:RSQ8"/>
    <mergeCell ref="RST8:RSU8"/>
    <mergeCell ref="RSX8:RSY8"/>
    <mergeCell ref="RTB8:RTC8"/>
    <mergeCell ref="RTF8:RTG8"/>
    <mergeCell ref="RRV8:RRW8"/>
    <mergeCell ref="RRZ8:RSA8"/>
    <mergeCell ref="RSD8:RSE8"/>
    <mergeCell ref="RSH8:RSI8"/>
    <mergeCell ref="RSL8:RSM8"/>
    <mergeCell ref="RRB8:RRC8"/>
    <mergeCell ref="RRF8:RRG8"/>
    <mergeCell ref="RRJ8:RRK8"/>
    <mergeCell ref="RRN8:RRO8"/>
    <mergeCell ref="RRR8:RRS8"/>
    <mergeCell ref="RWL8:RWM8"/>
    <mergeCell ref="RWP8:RWQ8"/>
    <mergeCell ref="RWT8:RWU8"/>
    <mergeCell ref="RWX8:RWY8"/>
    <mergeCell ref="RXB8:RXC8"/>
    <mergeCell ref="RVR8:RVS8"/>
    <mergeCell ref="RVV8:RVW8"/>
    <mergeCell ref="RVZ8:RWA8"/>
    <mergeCell ref="RWD8:RWE8"/>
    <mergeCell ref="RWH8:RWI8"/>
    <mergeCell ref="RUX8:RUY8"/>
    <mergeCell ref="RVB8:RVC8"/>
    <mergeCell ref="RVF8:RVG8"/>
    <mergeCell ref="RVJ8:RVK8"/>
    <mergeCell ref="RVN8:RVO8"/>
    <mergeCell ref="RUD8:RUE8"/>
    <mergeCell ref="RUH8:RUI8"/>
    <mergeCell ref="RUL8:RUM8"/>
    <mergeCell ref="RUP8:RUQ8"/>
    <mergeCell ref="RUT8:RUU8"/>
    <mergeCell ref="RZN8:RZO8"/>
    <mergeCell ref="RZR8:RZS8"/>
    <mergeCell ref="RZV8:RZW8"/>
    <mergeCell ref="RZZ8:SAA8"/>
    <mergeCell ref="SAD8:SAE8"/>
    <mergeCell ref="RYT8:RYU8"/>
    <mergeCell ref="RYX8:RYY8"/>
    <mergeCell ref="RZB8:RZC8"/>
    <mergeCell ref="RZF8:RZG8"/>
    <mergeCell ref="RZJ8:RZK8"/>
    <mergeCell ref="RXZ8:RYA8"/>
    <mergeCell ref="RYD8:RYE8"/>
    <mergeCell ref="RYH8:RYI8"/>
    <mergeCell ref="RYL8:RYM8"/>
    <mergeCell ref="RYP8:RYQ8"/>
    <mergeCell ref="RXF8:RXG8"/>
    <mergeCell ref="RXJ8:RXK8"/>
    <mergeCell ref="RXN8:RXO8"/>
    <mergeCell ref="RXR8:RXS8"/>
    <mergeCell ref="RXV8:RXW8"/>
    <mergeCell ref="SCP8:SCQ8"/>
    <mergeCell ref="SCT8:SCU8"/>
    <mergeCell ref="SCX8:SCY8"/>
    <mergeCell ref="SDB8:SDC8"/>
    <mergeCell ref="SDF8:SDG8"/>
    <mergeCell ref="SBV8:SBW8"/>
    <mergeCell ref="SBZ8:SCA8"/>
    <mergeCell ref="SCD8:SCE8"/>
    <mergeCell ref="SCH8:SCI8"/>
    <mergeCell ref="SCL8:SCM8"/>
    <mergeCell ref="SBB8:SBC8"/>
    <mergeCell ref="SBF8:SBG8"/>
    <mergeCell ref="SBJ8:SBK8"/>
    <mergeCell ref="SBN8:SBO8"/>
    <mergeCell ref="SBR8:SBS8"/>
    <mergeCell ref="SAH8:SAI8"/>
    <mergeCell ref="SAL8:SAM8"/>
    <mergeCell ref="SAP8:SAQ8"/>
    <mergeCell ref="SAT8:SAU8"/>
    <mergeCell ref="SAX8:SAY8"/>
    <mergeCell ref="SFR8:SFS8"/>
    <mergeCell ref="SFV8:SFW8"/>
    <mergeCell ref="SFZ8:SGA8"/>
    <mergeCell ref="SGD8:SGE8"/>
    <mergeCell ref="SGH8:SGI8"/>
    <mergeCell ref="SEX8:SEY8"/>
    <mergeCell ref="SFB8:SFC8"/>
    <mergeCell ref="SFF8:SFG8"/>
    <mergeCell ref="SFJ8:SFK8"/>
    <mergeCell ref="SFN8:SFO8"/>
    <mergeCell ref="SED8:SEE8"/>
    <mergeCell ref="SEH8:SEI8"/>
    <mergeCell ref="SEL8:SEM8"/>
    <mergeCell ref="SEP8:SEQ8"/>
    <mergeCell ref="SET8:SEU8"/>
    <mergeCell ref="SDJ8:SDK8"/>
    <mergeCell ref="SDN8:SDO8"/>
    <mergeCell ref="SDR8:SDS8"/>
    <mergeCell ref="SDV8:SDW8"/>
    <mergeCell ref="SDZ8:SEA8"/>
    <mergeCell ref="SIT8:SIU8"/>
    <mergeCell ref="SIX8:SIY8"/>
    <mergeCell ref="SJB8:SJC8"/>
    <mergeCell ref="SJF8:SJG8"/>
    <mergeCell ref="SJJ8:SJK8"/>
    <mergeCell ref="SHZ8:SIA8"/>
    <mergeCell ref="SID8:SIE8"/>
    <mergeCell ref="SIH8:SII8"/>
    <mergeCell ref="SIL8:SIM8"/>
    <mergeCell ref="SIP8:SIQ8"/>
    <mergeCell ref="SHF8:SHG8"/>
    <mergeCell ref="SHJ8:SHK8"/>
    <mergeCell ref="SHN8:SHO8"/>
    <mergeCell ref="SHR8:SHS8"/>
    <mergeCell ref="SHV8:SHW8"/>
    <mergeCell ref="SGL8:SGM8"/>
    <mergeCell ref="SGP8:SGQ8"/>
    <mergeCell ref="SGT8:SGU8"/>
    <mergeCell ref="SGX8:SGY8"/>
    <mergeCell ref="SHB8:SHC8"/>
    <mergeCell ref="SLV8:SLW8"/>
    <mergeCell ref="SLZ8:SMA8"/>
    <mergeCell ref="SMD8:SME8"/>
    <mergeCell ref="SMH8:SMI8"/>
    <mergeCell ref="SML8:SMM8"/>
    <mergeCell ref="SLB8:SLC8"/>
    <mergeCell ref="SLF8:SLG8"/>
    <mergeCell ref="SLJ8:SLK8"/>
    <mergeCell ref="SLN8:SLO8"/>
    <mergeCell ref="SLR8:SLS8"/>
    <mergeCell ref="SKH8:SKI8"/>
    <mergeCell ref="SKL8:SKM8"/>
    <mergeCell ref="SKP8:SKQ8"/>
    <mergeCell ref="SKT8:SKU8"/>
    <mergeCell ref="SKX8:SKY8"/>
    <mergeCell ref="SJN8:SJO8"/>
    <mergeCell ref="SJR8:SJS8"/>
    <mergeCell ref="SJV8:SJW8"/>
    <mergeCell ref="SJZ8:SKA8"/>
    <mergeCell ref="SKD8:SKE8"/>
    <mergeCell ref="SOX8:SOY8"/>
    <mergeCell ref="SPB8:SPC8"/>
    <mergeCell ref="SPF8:SPG8"/>
    <mergeCell ref="SPJ8:SPK8"/>
    <mergeCell ref="SPN8:SPO8"/>
    <mergeCell ref="SOD8:SOE8"/>
    <mergeCell ref="SOH8:SOI8"/>
    <mergeCell ref="SOL8:SOM8"/>
    <mergeCell ref="SOP8:SOQ8"/>
    <mergeCell ref="SOT8:SOU8"/>
    <mergeCell ref="SNJ8:SNK8"/>
    <mergeCell ref="SNN8:SNO8"/>
    <mergeCell ref="SNR8:SNS8"/>
    <mergeCell ref="SNV8:SNW8"/>
    <mergeCell ref="SNZ8:SOA8"/>
    <mergeCell ref="SMP8:SMQ8"/>
    <mergeCell ref="SMT8:SMU8"/>
    <mergeCell ref="SMX8:SMY8"/>
    <mergeCell ref="SNB8:SNC8"/>
    <mergeCell ref="SNF8:SNG8"/>
    <mergeCell ref="SRZ8:SSA8"/>
    <mergeCell ref="SSD8:SSE8"/>
    <mergeCell ref="SSH8:SSI8"/>
    <mergeCell ref="SSL8:SSM8"/>
    <mergeCell ref="SSP8:SSQ8"/>
    <mergeCell ref="SRF8:SRG8"/>
    <mergeCell ref="SRJ8:SRK8"/>
    <mergeCell ref="SRN8:SRO8"/>
    <mergeCell ref="SRR8:SRS8"/>
    <mergeCell ref="SRV8:SRW8"/>
    <mergeCell ref="SQL8:SQM8"/>
    <mergeCell ref="SQP8:SQQ8"/>
    <mergeCell ref="SQT8:SQU8"/>
    <mergeCell ref="SQX8:SQY8"/>
    <mergeCell ref="SRB8:SRC8"/>
    <mergeCell ref="SPR8:SPS8"/>
    <mergeCell ref="SPV8:SPW8"/>
    <mergeCell ref="SPZ8:SQA8"/>
    <mergeCell ref="SQD8:SQE8"/>
    <mergeCell ref="SQH8:SQI8"/>
    <mergeCell ref="SVB8:SVC8"/>
    <mergeCell ref="SVF8:SVG8"/>
    <mergeCell ref="SVJ8:SVK8"/>
    <mergeCell ref="SVN8:SVO8"/>
    <mergeCell ref="SVR8:SVS8"/>
    <mergeCell ref="SUH8:SUI8"/>
    <mergeCell ref="SUL8:SUM8"/>
    <mergeCell ref="SUP8:SUQ8"/>
    <mergeCell ref="SUT8:SUU8"/>
    <mergeCell ref="SUX8:SUY8"/>
    <mergeCell ref="STN8:STO8"/>
    <mergeCell ref="STR8:STS8"/>
    <mergeCell ref="STV8:STW8"/>
    <mergeCell ref="STZ8:SUA8"/>
    <mergeCell ref="SUD8:SUE8"/>
    <mergeCell ref="SST8:SSU8"/>
    <mergeCell ref="SSX8:SSY8"/>
    <mergeCell ref="STB8:STC8"/>
    <mergeCell ref="STF8:STG8"/>
    <mergeCell ref="STJ8:STK8"/>
    <mergeCell ref="SYD8:SYE8"/>
    <mergeCell ref="SYH8:SYI8"/>
    <mergeCell ref="SYL8:SYM8"/>
    <mergeCell ref="SYP8:SYQ8"/>
    <mergeCell ref="SYT8:SYU8"/>
    <mergeCell ref="SXJ8:SXK8"/>
    <mergeCell ref="SXN8:SXO8"/>
    <mergeCell ref="SXR8:SXS8"/>
    <mergeCell ref="SXV8:SXW8"/>
    <mergeCell ref="SXZ8:SYA8"/>
    <mergeCell ref="SWP8:SWQ8"/>
    <mergeCell ref="SWT8:SWU8"/>
    <mergeCell ref="SWX8:SWY8"/>
    <mergeCell ref="SXB8:SXC8"/>
    <mergeCell ref="SXF8:SXG8"/>
    <mergeCell ref="SVV8:SVW8"/>
    <mergeCell ref="SVZ8:SWA8"/>
    <mergeCell ref="SWD8:SWE8"/>
    <mergeCell ref="SWH8:SWI8"/>
    <mergeCell ref="SWL8:SWM8"/>
    <mergeCell ref="TBF8:TBG8"/>
    <mergeCell ref="TBJ8:TBK8"/>
    <mergeCell ref="TBN8:TBO8"/>
    <mergeCell ref="TBR8:TBS8"/>
    <mergeCell ref="TBV8:TBW8"/>
    <mergeCell ref="TAL8:TAM8"/>
    <mergeCell ref="TAP8:TAQ8"/>
    <mergeCell ref="TAT8:TAU8"/>
    <mergeCell ref="TAX8:TAY8"/>
    <mergeCell ref="TBB8:TBC8"/>
    <mergeCell ref="SZR8:SZS8"/>
    <mergeCell ref="SZV8:SZW8"/>
    <mergeCell ref="SZZ8:TAA8"/>
    <mergeCell ref="TAD8:TAE8"/>
    <mergeCell ref="TAH8:TAI8"/>
    <mergeCell ref="SYX8:SYY8"/>
    <mergeCell ref="SZB8:SZC8"/>
    <mergeCell ref="SZF8:SZG8"/>
    <mergeCell ref="SZJ8:SZK8"/>
    <mergeCell ref="SZN8:SZO8"/>
    <mergeCell ref="TEH8:TEI8"/>
    <mergeCell ref="TEL8:TEM8"/>
    <mergeCell ref="TEP8:TEQ8"/>
    <mergeCell ref="TET8:TEU8"/>
    <mergeCell ref="TEX8:TEY8"/>
    <mergeCell ref="TDN8:TDO8"/>
    <mergeCell ref="TDR8:TDS8"/>
    <mergeCell ref="TDV8:TDW8"/>
    <mergeCell ref="TDZ8:TEA8"/>
    <mergeCell ref="TED8:TEE8"/>
    <mergeCell ref="TCT8:TCU8"/>
    <mergeCell ref="TCX8:TCY8"/>
    <mergeCell ref="TDB8:TDC8"/>
    <mergeCell ref="TDF8:TDG8"/>
    <mergeCell ref="TDJ8:TDK8"/>
    <mergeCell ref="TBZ8:TCA8"/>
    <mergeCell ref="TCD8:TCE8"/>
    <mergeCell ref="TCH8:TCI8"/>
    <mergeCell ref="TCL8:TCM8"/>
    <mergeCell ref="TCP8:TCQ8"/>
    <mergeCell ref="THJ8:THK8"/>
    <mergeCell ref="THN8:THO8"/>
    <mergeCell ref="THR8:THS8"/>
    <mergeCell ref="THV8:THW8"/>
    <mergeCell ref="THZ8:TIA8"/>
    <mergeCell ref="TGP8:TGQ8"/>
    <mergeCell ref="TGT8:TGU8"/>
    <mergeCell ref="TGX8:TGY8"/>
    <mergeCell ref="THB8:THC8"/>
    <mergeCell ref="THF8:THG8"/>
    <mergeCell ref="TFV8:TFW8"/>
    <mergeCell ref="TFZ8:TGA8"/>
    <mergeCell ref="TGD8:TGE8"/>
    <mergeCell ref="TGH8:TGI8"/>
    <mergeCell ref="TGL8:TGM8"/>
    <mergeCell ref="TFB8:TFC8"/>
    <mergeCell ref="TFF8:TFG8"/>
    <mergeCell ref="TFJ8:TFK8"/>
    <mergeCell ref="TFN8:TFO8"/>
    <mergeCell ref="TFR8:TFS8"/>
    <mergeCell ref="TKL8:TKM8"/>
    <mergeCell ref="TKP8:TKQ8"/>
    <mergeCell ref="TKT8:TKU8"/>
    <mergeCell ref="TKX8:TKY8"/>
    <mergeCell ref="TLB8:TLC8"/>
    <mergeCell ref="TJR8:TJS8"/>
    <mergeCell ref="TJV8:TJW8"/>
    <mergeCell ref="TJZ8:TKA8"/>
    <mergeCell ref="TKD8:TKE8"/>
    <mergeCell ref="TKH8:TKI8"/>
    <mergeCell ref="TIX8:TIY8"/>
    <mergeCell ref="TJB8:TJC8"/>
    <mergeCell ref="TJF8:TJG8"/>
    <mergeCell ref="TJJ8:TJK8"/>
    <mergeCell ref="TJN8:TJO8"/>
    <mergeCell ref="TID8:TIE8"/>
    <mergeCell ref="TIH8:TII8"/>
    <mergeCell ref="TIL8:TIM8"/>
    <mergeCell ref="TIP8:TIQ8"/>
    <mergeCell ref="TIT8:TIU8"/>
    <mergeCell ref="TNN8:TNO8"/>
    <mergeCell ref="TNR8:TNS8"/>
    <mergeCell ref="TNV8:TNW8"/>
    <mergeCell ref="TNZ8:TOA8"/>
    <mergeCell ref="TOD8:TOE8"/>
    <mergeCell ref="TMT8:TMU8"/>
    <mergeCell ref="TMX8:TMY8"/>
    <mergeCell ref="TNB8:TNC8"/>
    <mergeCell ref="TNF8:TNG8"/>
    <mergeCell ref="TNJ8:TNK8"/>
    <mergeCell ref="TLZ8:TMA8"/>
    <mergeCell ref="TMD8:TME8"/>
    <mergeCell ref="TMH8:TMI8"/>
    <mergeCell ref="TML8:TMM8"/>
    <mergeCell ref="TMP8:TMQ8"/>
    <mergeCell ref="TLF8:TLG8"/>
    <mergeCell ref="TLJ8:TLK8"/>
    <mergeCell ref="TLN8:TLO8"/>
    <mergeCell ref="TLR8:TLS8"/>
    <mergeCell ref="TLV8:TLW8"/>
    <mergeCell ref="TQP8:TQQ8"/>
    <mergeCell ref="TQT8:TQU8"/>
    <mergeCell ref="TQX8:TQY8"/>
    <mergeCell ref="TRB8:TRC8"/>
    <mergeCell ref="TRF8:TRG8"/>
    <mergeCell ref="TPV8:TPW8"/>
    <mergeCell ref="TPZ8:TQA8"/>
    <mergeCell ref="TQD8:TQE8"/>
    <mergeCell ref="TQH8:TQI8"/>
    <mergeCell ref="TQL8:TQM8"/>
    <mergeCell ref="TPB8:TPC8"/>
    <mergeCell ref="TPF8:TPG8"/>
    <mergeCell ref="TPJ8:TPK8"/>
    <mergeCell ref="TPN8:TPO8"/>
    <mergeCell ref="TPR8:TPS8"/>
    <mergeCell ref="TOH8:TOI8"/>
    <mergeCell ref="TOL8:TOM8"/>
    <mergeCell ref="TOP8:TOQ8"/>
    <mergeCell ref="TOT8:TOU8"/>
    <mergeCell ref="TOX8:TOY8"/>
    <mergeCell ref="TTR8:TTS8"/>
    <mergeCell ref="TTV8:TTW8"/>
    <mergeCell ref="TTZ8:TUA8"/>
    <mergeCell ref="TUD8:TUE8"/>
    <mergeCell ref="TUH8:TUI8"/>
    <mergeCell ref="TSX8:TSY8"/>
    <mergeCell ref="TTB8:TTC8"/>
    <mergeCell ref="TTF8:TTG8"/>
    <mergeCell ref="TTJ8:TTK8"/>
    <mergeCell ref="TTN8:TTO8"/>
    <mergeCell ref="TSD8:TSE8"/>
    <mergeCell ref="TSH8:TSI8"/>
    <mergeCell ref="TSL8:TSM8"/>
    <mergeCell ref="TSP8:TSQ8"/>
    <mergeCell ref="TST8:TSU8"/>
    <mergeCell ref="TRJ8:TRK8"/>
    <mergeCell ref="TRN8:TRO8"/>
    <mergeCell ref="TRR8:TRS8"/>
    <mergeCell ref="TRV8:TRW8"/>
    <mergeCell ref="TRZ8:TSA8"/>
    <mergeCell ref="TWT8:TWU8"/>
    <mergeCell ref="TWX8:TWY8"/>
    <mergeCell ref="TXB8:TXC8"/>
    <mergeCell ref="TXF8:TXG8"/>
    <mergeCell ref="TXJ8:TXK8"/>
    <mergeCell ref="TVZ8:TWA8"/>
    <mergeCell ref="TWD8:TWE8"/>
    <mergeCell ref="TWH8:TWI8"/>
    <mergeCell ref="TWL8:TWM8"/>
    <mergeCell ref="TWP8:TWQ8"/>
    <mergeCell ref="TVF8:TVG8"/>
    <mergeCell ref="TVJ8:TVK8"/>
    <mergeCell ref="TVN8:TVO8"/>
    <mergeCell ref="TVR8:TVS8"/>
    <mergeCell ref="TVV8:TVW8"/>
    <mergeCell ref="TUL8:TUM8"/>
    <mergeCell ref="TUP8:TUQ8"/>
    <mergeCell ref="TUT8:TUU8"/>
    <mergeCell ref="TUX8:TUY8"/>
    <mergeCell ref="TVB8:TVC8"/>
    <mergeCell ref="TZV8:TZW8"/>
    <mergeCell ref="TZZ8:UAA8"/>
    <mergeCell ref="UAD8:UAE8"/>
    <mergeCell ref="UAH8:UAI8"/>
    <mergeCell ref="UAL8:UAM8"/>
    <mergeCell ref="TZB8:TZC8"/>
    <mergeCell ref="TZF8:TZG8"/>
    <mergeCell ref="TZJ8:TZK8"/>
    <mergeCell ref="TZN8:TZO8"/>
    <mergeCell ref="TZR8:TZS8"/>
    <mergeCell ref="TYH8:TYI8"/>
    <mergeCell ref="TYL8:TYM8"/>
    <mergeCell ref="TYP8:TYQ8"/>
    <mergeCell ref="TYT8:TYU8"/>
    <mergeCell ref="TYX8:TYY8"/>
    <mergeCell ref="TXN8:TXO8"/>
    <mergeCell ref="TXR8:TXS8"/>
    <mergeCell ref="TXV8:TXW8"/>
    <mergeCell ref="TXZ8:TYA8"/>
    <mergeCell ref="TYD8:TYE8"/>
    <mergeCell ref="UCX8:UCY8"/>
    <mergeCell ref="UDB8:UDC8"/>
    <mergeCell ref="UDF8:UDG8"/>
    <mergeCell ref="UDJ8:UDK8"/>
    <mergeCell ref="UDN8:UDO8"/>
    <mergeCell ref="UCD8:UCE8"/>
    <mergeCell ref="UCH8:UCI8"/>
    <mergeCell ref="UCL8:UCM8"/>
    <mergeCell ref="UCP8:UCQ8"/>
    <mergeCell ref="UCT8:UCU8"/>
    <mergeCell ref="UBJ8:UBK8"/>
    <mergeCell ref="UBN8:UBO8"/>
    <mergeCell ref="UBR8:UBS8"/>
    <mergeCell ref="UBV8:UBW8"/>
    <mergeCell ref="UBZ8:UCA8"/>
    <mergeCell ref="UAP8:UAQ8"/>
    <mergeCell ref="UAT8:UAU8"/>
    <mergeCell ref="UAX8:UAY8"/>
    <mergeCell ref="UBB8:UBC8"/>
    <mergeCell ref="UBF8:UBG8"/>
    <mergeCell ref="UFZ8:UGA8"/>
    <mergeCell ref="UGD8:UGE8"/>
    <mergeCell ref="UGH8:UGI8"/>
    <mergeCell ref="UGL8:UGM8"/>
    <mergeCell ref="UGP8:UGQ8"/>
    <mergeCell ref="UFF8:UFG8"/>
    <mergeCell ref="UFJ8:UFK8"/>
    <mergeCell ref="UFN8:UFO8"/>
    <mergeCell ref="UFR8:UFS8"/>
    <mergeCell ref="UFV8:UFW8"/>
    <mergeCell ref="UEL8:UEM8"/>
    <mergeCell ref="UEP8:UEQ8"/>
    <mergeCell ref="UET8:UEU8"/>
    <mergeCell ref="UEX8:UEY8"/>
    <mergeCell ref="UFB8:UFC8"/>
    <mergeCell ref="UDR8:UDS8"/>
    <mergeCell ref="UDV8:UDW8"/>
    <mergeCell ref="UDZ8:UEA8"/>
    <mergeCell ref="UED8:UEE8"/>
    <mergeCell ref="UEH8:UEI8"/>
    <mergeCell ref="UJB8:UJC8"/>
    <mergeCell ref="UJF8:UJG8"/>
    <mergeCell ref="UJJ8:UJK8"/>
    <mergeCell ref="UJN8:UJO8"/>
    <mergeCell ref="UJR8:UJS8"/>
    <mergeCell ref="UIH8:UII8"/>
    <mergeCell ref="UIL8:UIM8"/>
    <mergeCell ref="UIP8:UIQ8"/>
    <mergeCell ref="UIT8:UIU8"/>
    <mergeCell ref="UIX8:UIY8"/>
    <mergeCell ref="UHN8:UHO8"/>
    <mergeCell ref="UHR8:UHS8"/>
    <mergeCell ref="UHV8:UHW8"/>
    <mergeCell ref="UHZ8:UIA8"/>
    <mergeCell ref="UID8:UIE8"/>
    <mergeCell ref="UGT8:UGU8"/>
    <mergeCell ref="UGX8:UGY8"/>
    <mergeCell ref="UHB8:UHC8"/>
    <mergeCell ref="UHF8:UHG8"/>
    <mergeCell ref="UHJ8:UHK8"/>
    <mergeCell ref="UMD8:UME8"/>
    <mergeCell ref="UMH8:UMI8"/>
    <mergeCell ref="UML8:UMM8"/>
    <mergeCell ref="UMP8:UMQ8"/>
    <mergeCell ref="UMT8:UMU8"/>
    <mergeCell ref="ULJ8:ULK8"/>
    <mergeCell ref="ULN8:ULO8"/>
    <mergeCell ref="ULR8:ULS8"/>
    <mergeCell ref="ULV8:ULW8"/>
    <mergeCell ref="ULZ8:UMA8"/>
    <mergeCell ref="UKP8:UKQ8"/>
    <mergeCell ref="UKT8:UKU8"/>
    <mergeCell ref="UKX8:UKY8"/>
    <mergeCell ref="ULB8:ULC8"/>
    <mergeCell ref="ULF8:ULG8"/>
    <mergeCell ref="UJV8:UJW8"/>
    <mergeCell ref="UJZ8:UKA8"/>
    <mergeCell ref="UKD8:UKE8"/>
    <mergeCell ref="UKH8:UKI8"/>
    <mergeCell ref="UKL8:UKM8"/>
    <mergeCell ref="UPF8:UPG8"/>
    <mergeCell ref="UPJ8:UPK8"/>
    <mergeCell ref="UPN8:UPO8"/>
    <mergeCell ref="UPR8:UPS8"/>
    <mergeCell ref="UPV8:UPW8"/>
    <mergeCell ref="UOL8:UOM8"/>
    <mergeCell ref="UOP8:UOQ8"/>
    <mergeCell ref="UOT8:UOU8"/>
    <mergeCell ref="UOX8:UOY8"/>
    <mergeCell ref="UPB8:UPC8"/>
    <mergeCell ref="UNR8:UNS8"/>
    <mergeCell ref="UNV8:UNW8"/>
    <mergeCell ref="UNZ8:UOA8"/>
    <mergeCell ref="UOD8:UOE8"/>
    <mergeCell ref="UOH8:UOI8"/>
    <mergeCell ref="UMX8:UMY8"/>
    <mergeCell ref="UNB8:UNC8"/>
    <mergeCell ref="UNF8:UNG8"/>
    <mergeCell ref="UNJ8:UNK8"/>
    <mergeCell ref="UNN8:UNO8"/>
    <mergeCell ref="USH8:USI8"/>
    <mergeCell ref="USL8:USM8"/>
    <mergeCell ref="USP8:USQ8"/>
    <mergeCell ref="UST8:USU8"/>
    <mergeCell ref="USX8:USY8"/>
    <mergeCell ref="URN8:URO8"/>
    <mergeCell ref="URR8:URS8"/>
    <mergeCell ref="URV8:URW8"/>
    <mergeCell ref="URZ8:USA8"/>
    <mergeCell ref="USD8:USE8"/>
    <mergeCell ref="UQT8:UQU8"/>
    <mergeCell ref="UQX8:UQY8"/>
    <mergeCell ref="URB8:URC8"/>
    <mergeCell ref="URF8:URG8"/>
    <mergeCell ref="URJ8:URK8"/>
    <mergeCell ref="UPZ8:UQA8"/>
    <mergeCell ref="UQD8:UQE8"/>
    <mergeCell ref="UQH8:UQI8"/>
    <mergeCell ref="UQL8:UQM8"/>
    <mergeCell ref="UQP8:UQQ8"/>
    <mergeCell ref="UVJ8:UVK8"/>
    <mergeCell ref="UVN8:UVO8"/>
    <mergeCell ref="UVR8:UVS8"/>
    <mergeCell ref="UVV8:UVW8"/>
    <mergeCell ref="UVZ8:UWA8"/>
    <mergeCell ref="UUP8:UUQ8"/>
    <mergeCell ref="UUT8:UUU8"/>
    <mergeCell ref="UUX8:UUY8"/>
    <mergeCell ref="UVB8:UVC8"/>
    <mergeCell ref="UVF8:UVG8"/>
    <mergeCell ref="UTV8:UTW8"/>
    <mergeCell ref="UTZ8:UUA8"/>
    <mergeCell ref="UUD8:UUE8"/>
    <mergeCell ref="UUH8:UUI8"/>
    <mergeCell ref="UUL8:UUM8"/>
    <mergeCell ref="UTB8:UTC8"/>
    <mergeCell ref="UTF8:UTG8"/>
    <mergeCell ref="UTJ8:UTK8"/>
    <mergeCell ref="UTN8:UTO8"/>
    <mergeCell ref="UTR8:UTS8"/>
    <mergeCell ref="UYL8:UYM8"/>
    <mergeCell ref="UYP8:UYQ8"/>
    <mergeCell ref="UYT8:UYU8"/>
    <mergeCell ref="UYX8:UYY8"/>
    <mergeCell ref="UZB8:UZC8"/>
    <mergeCell ref="UXR8:UXS8"/>
    <mergeCell ref="UXV8:UXW8"/>
    <mergeCell ref="UXZ8:UYA8"/>
    <mergeCell ref="UYD8:UYE8"/>
    <mergeCell ref="UYH8:UYI8"/>
    <mergeCell ref="UWX8:UWY8"/>
    <mergeCell ref="UXB8:UXC8"/>
    <mergeCell ref="UXF8:UXG8"/>
    <mergeCell ref="UXJ8:UXK8"/>
    <mergeCell ref="UXN8:UXO8"/>
    <mergeCell ref="UWD8:UWE8"/>
    <mergeCell ref="UWH8:UWI8"/>
    <mergeCell ref="UWL8:UWM8"/>
    <mergeCell ref="UWP8:UWQ8"/>
    <mergeCell ref="UWT8:UWU8"/>
    <mergeCell ref="VBN8:VBO8"/>
    <mergeCell ref="VBR8:VBS8"/>
    <mergeCell ref="VBV8:VBW8"/>
    <mergeCell ref="VBZ8:VCA8"/>
    <mergeCell ref="VCD8:VCE8"/>
    <mergeCell ref="VAT8:VAU8"/>
    <mergeCell ref="VAX8:VAY8"/>
    <mergeCell ref="VBB8:VBC8"/>
    <mergeCell ref="VBF8:VBG8"/>
    <mergeCell ref="VBJ8:VBK8"/>
    <mergeCell ref="UZZ8:VAA8"/>
    <mergeCell ref="VAD8:VAE8"/>
    <mergeCell ref="VAH8:VAI8"/>
    <mergeCell ref="VAL8:VAM8"/>
    <mergeCell ref="VAP8:VAQ8"/>
    <mergeCell ref="UZF8:UZG8"/>
    <mergeCell ref="UZJ8:UZK8"/>
    <mergeCell ref="UZN8:UZO8"/>
    <mergeCell ref="UZR8:UZS8"/>
    <mergeCell ref="UZV8:UZW8"/>
    <mergeCell ref="VEP8:VEQ8"/>
    <mergeCell ref="VET8:VEU8"/>
    <mergeCell ref="VEX8:VEY8"/>
    <mergeCell ref="VFB8:VFC8"/>
    <mergeCell ref="VFF8:VFG8"/>
    <mergeCell ref="VDV8:VDW8"/>
    <mergeCell ref="VDZ8:VEA8"/>
    <mergeCell ref="VED8:VEE8"/>
    <mergeCell ref="VEH8:VEI8"/>
    <mergeCell ref="VEL8:VEM8"/>
    <mergeCell ref="VDB8:VDC8"/>
    <mergeCell ref="VDF8:VDG8"/>
    <mergeCell ref="VDJ8:VDK8"/>
    <mergeCell ref="VDN8:VDO8"/>
    <mergeCell ref="VDR8:VDS8"/>
    <mergeCell ref="VCH8:VCI8"/>
    <mergeCell ref="VCL8:VCM8"/>
    <mergeCell ref="VCP8:VCQ8"/>
    <mergeCell ref="VCT8:VCU8"/>
    <mergeCell ref="VCX8:VCY8"/>
    <mergeCell ref="VHR8:VHS8"/>
    <mergeCell ref="VHV8:VHW8"/>
    <mergeCell ref="VHZ8:VIA8"/>
    <mergeCell ref="VID8:VIE8"/>
    <mergeCell ref="VIH8:VII8"/>
    <mergeCell ref="VGX8:VGY8"/>
    <mergeCell ref="VHB8:VHC8"/>
    <mergeCell ref="VHF8:VHG8"/>
    <mergeCell ref="VHJ8:VHK8"/>
    <mergeCell ref="VHN8:VHO8"/>
    <mergeCell ref="VGD8:VGE8"/>
    <mergeCell ref="VGH8:VGI8"/>
    <mergeCell ref="VGL8:VGM8"/>
    <mergeCell ref="VGP8:VGQ8"/>
    <mergeCell ref="VGT8:VGU8"/>
    <mergeCell ref="VFJ8:VFK8"/>
    <mergeCell ref="VFN8:VFO8"/>
    <mergeCell ref="VFR8:VFS8"/>
    <mergeCell ref="VFV8:VFW8"/>
    <mergeCell ref="VFZ8:VGA8"/>
    <mergeCell ref="VKT8:VKU8"/>
    <mergeCell ref="VKX8:VKY8"/>
    <mergeCell ref="VLB8:VLC8"/>
    <mergeCell ref="VLF8:VLG8"/>
    <mergeCell ref="VLJ8:VLK8"/>
    <mergeCell ref="VJZ8:VKA8"/>
    <mergeCell ref="VKD8:VKE8"/>
    <mergeCell ref="VKH8:VKI8"/>
    <mergeCell ref="VKL8:VKM8"/>
    <mergeCell ref="VKP8:VKQ8"/>
    <mergeCell ref="VJF8:VJG8"/>
    <mergeCell ref="VJJ8:VJK8"/>
    <mergeCell ref="VJN8:VJO8"/>
    <mergeCell ref="VJR8:VJS8"/>
    <mergeCell ref="VJV8:VJW8"/>
    <mergeCell ref="VIL8:VIM8"/>
    <mergeCell ref="VIP8:VIQ8"/>
    <mergeCell ref="VIT8:VIU8"/>
    <mergeCell ref="VIX8:VIY8"/>
    <mergeCell ref="VJB8:VJC8"/>
    <mergeCell ref="VNV8:VNW8"/>
    <mergeCell ref="VNZ8:VOA8"/>
    <mergeCell ref="VOD8:VOE8"/>
    <mergeCell ref="VOH8:VOI8"/>
    <mergeCell ref="VOL8:VOM8"/>
    <mergeCell ref="VNB8:VNC8"/>
    <mergeCell ref="VNF8:VNG8"/>
    <mergeCell ref="VNJ8:VNK8"/>
    <mergeCell ref="VNN8:VNO8"/>
    <mergeCell ref="VNR8:VNS8"/>
    <mergeCell ref="VMH8:VMI8"/>
    <mergeCell ref="VML8:VMM8"/>
    <mergeCell ref="VMP8:VMQ8"/>
    <mergeCell ref="VMT8:VMU8"/>
    <mergeCell ref="VMX8:VMY8"/>
    <mergeCell ref="VLN8:VLO8"/>
    <mergeCell ref="VLR8:VLS8"/>
    <mergeCell ref="VLV8:VLW8"/>
    <mergeCell ref="VLZ8:VMA8"/>
    <mergeCell ref="VMD8:VME8"/>
    <mergeCell ref="VQX8:VQY8"/>
    <mergeCell ref="VRB8:VRC8"/>
    <mergeCell ref="VRF8:VRG8"/>
    <mergeCell ref="VRJ8:VRK8"/>
    <mergeCell ref="VRN8:VRO8"/>
    <mergeCell ref="VQD8:VQE8"/>
    <mergeCell ref="VQH8:VQI8"/>
    <mergeCell ref="VQL8:VQM8"/>
    <mergeCell ref="VQP8:VQQ8"/>
    <mergeCell ref="VQT8:VQU8"/>
    <mergeCell ref="VPJ8:VPK8"/>
    <mergeCell ref="VPN8:VPO8"/>
    <mergeCell ref="VPR8:VPS8"/>
    <mergeCell ref="VPV8:VPW8"/>
    <mergeCell ref="VPZ8:VQA8"/>
    <mergeCell ref="VOP8:VOQ8"/>
    <mergeCell ref="VOT8:VOU8"/>
    <mergeCell ref="VOX8:VOY8"/>
    <mergeCell ref="VPB8:VPC8"/>
    <mergeCell ref="VPF8:VPG8"/>
    <mergeCell ref="VTZ8:VUA8"/>
    <mergeCell ref="VUD8:VUE8"/>
    <mergeCell ref="VUH8:VUI8"/>
    <mergeCell ref="VUL8:VUM8"/>
    <mergeCell ref="VUP8:VUQ8"/>
    <mergeCell ref="VTF8:VTG8"/>
    <mergeCell ref="VTJ8:VTK8"/>
    <mergeCell ref="VTN8:VTO8"/>
    <mergeCell ref="VTR8:VTS8"/>
    <mergeCell ref="VTV8:VTW8"/>
    <mergeCell ref="VSL8:VSM8"/>
    <mergeCell ref="VSP8:VSQ8"/>
    <mergeCell ref="VST8:VSU8"/>
    <mergeCell ref="VSX8:VSY8"/>
    <mergeCell ref="VTB8:VTC8"/>
    <mergeCell ref="VRR8:VRS8"/>
    <mergeCell ref="VRV8:VRW8"/>
    <mergeCell ref="VRZ8:VSA8"/>
    <mergeCell ref="VSD8:VSE8"/>
    <mergeCell ref="VSH8:VSI8"/>
    <mergeCell ref="VXB8:VXC8"/>
    <mergeCell ref="VXF8:VXG8"/>
    <mergeCell ref="VXJ8:VXK8"/>
    <mergeCell ref="VXN8:VXO8"/>
    <mergeCell ref="VXR8:VXS8"/>
    <mergeCell ref="VWH8:VWI8"/>
    <mergeCell ref="VWL8:VWM8"/>
    <mergeCell ref="VWP8:VWQ8"/>
    <mergeCell ref="VWT8:VWU8"/>
    <mergeCell ref="VWX8:VWY8"/>
    <mergeCell ref="VVN8:VVO8"/>
    <mergeCell ref="VVR8:VVS8"/>
    <mergeCell ref="VVV8:VVW8"/>
    <mergeCell ref="VVZ8:VWA8"/>
    <mergeCell ref="VWD8:VWE8"/>
    <mergeCell ref="VUT8:VUU8"/>
    <mergeCell ref="VUX8:VUY8"/>
    <mergeCell ref="VVB8:VVC8"/>
    <mergeCell ref="VVF8:VVG8"/>
    <mergeCell ref="VVJ8:VVK8"/>
    <mergeCell ref="WAD8:WAE8"/>
    <mergeCell ref="WAH8:WAI8"/>
    <mergeCell ref="WAL8:WAM8"/>
    <mergeCell ref="WAP8:WAQ8"/>
    <mergeCell ref="WAT8:WAU8"/>
    <mergeCell ref="VZJ8:VZK8"/>
    <mergeCell ref="VZN8:VZO8"/>
    <mergeCell ref="VZR8:VZS8"/>
    <mergeCell ref="VZV8:VZW8"/>
    <mergeCell ref="VZZ8:WAA8"/>
    <mergeCell ref="VYP8:VYQ8"/>
    <mergeCell ref="VYT8:VYU8"/>
    <mergeCell ref="VYX8:VYY8"/>
    <mergeCell ref="VZB8:VZC8"/>
    <mergeCell ref="VZF8:VZG8"/>
    <mergeCell ref="VXV8:VXW8"/>
    <mergeCell ref="VXZ8:VYA8"/>
    <mergeCell ref="VYD8:VYE8"/>
    <mergeCell ref="VYH8:VYI8"/>
    <mergeCell ref="VYL8:VYM8"/>
    <mergeCell ref="WDF8:WDG8"/>
    <mergeCell ref="WDJ8:WDK8"/>
    <mergeCell ref="WDN8:WDO8"/>
    <mergeCell ref="WDR8:WDS8"/>
    <mergeCell ref="WDV8:WDW8"/>
    <mergeCell ref="WCL8:WCM8"/>
    <mergeCell ref="WCP8:WCQ8"/>
    <mergeCell ref="WCT8:WCU8"/>
    <mergeCell ref="WCX8:WCY8"/>
    <mergeCell ref="WDB8:WDC8"/>
    <mergeCell ref="WBR8:WBS8"/>
    <mergeCell ref="WBV8:WBW8"/>
    <mergeCell ref="WBZ8:WCA8"/>
    <mergeCell ref="WCD8:WCE8"/>
    <mergeCell ref="WCH8:WCI8"/>
    <mergeCell ref="WAX8:WAY8"/>
    <mergeCell ref="WBB8:WBC8"/>
    <mergeCell ref="WBF8:WBG8"/>
    <mergeCell ref="WBJ8:WBK8"/>
    <mergeCell ref="WBN8:WBO8"/>
    <mergeCell ref="WGH8:WGI8"/>
    <mergeCell ref="WGL8:WGM8"/>
    <mergeCell ref="WGP8:WGQ8"/>
    <mergeCell ref="WGT8:WGU8"/>
    <mergeCell ref="WGX8:WGY8"/>
    <mergeCell ref="WFN8:WFO8"/>
    <mergeCell ref="WFR8:WFS8"/>
    <mergeCell ref="WFV8:WFW8"/>
    <mergeCell ref="WFZ8:WGA8"/>
    <mergeCell ref="WGD8:WGE8"/>
    <mergeCell ref="WET8:WEU8"/>
    <mergeCell ref="WEX8:WEY8"/>
    <mergeCell ref="WFB8:WFC8"/>
    <mergeCell ref="WFF8:WFG8"/>
    <mergeCell ref="WFJ8:WFK8"/>
    <mergeCell ref="WDZ8:WEA8"/>
    <mergeCell ref="WED8:WEE8"/>
    <mergeCell ref="WEH8:WEI8"/>
    <mergeCell ref="WEL8:WEM8"/>
    <mergeCell ref="WEP8:WEQ8"/>
    <mergeCell ref="WJJ8:WJK8"/>
    <mergeCell ref="WJN8:WJO8"/>
    <mergeCell ref="WJR8:WJS8"/>
    <mergeCell ref="WJV8:WJW8"/>
    <mergeCell ref="WJZ8:WKA8"/>
    <mergeCell ref="WIP8:WIQ8"/>
    <mergeCell ref="WIT8:WIU8"/>
    <mergeCell ref="WIX8:WIY8"/>
    <mergeCell ref="WJB8:WJC8"/>
    <mergeCell ref="WJF8:WJG8"/>
    <mergeCell ref="WHV8:WHW8"/>
    <mergeCell ref="WHZ8:WIA8"/>
    <mergeCell ref="WID8:WIE8"/>
    <mergeCell ref="WIH8:WII8"/>
    <mergeCell ref="WIL8:WIM8"/>
    <mergeCell ref="WHB8:WHC8"/>
    <mergeCell ref="WHF8:WHG8"/>
    <mergeCell ref="WHJ8:WHK8"/>
    <mergeCell ref="WHN8:WHO8"/>
    <mergeCell ref="WHR8:WHS8"/>
    <mergeCell ref="WML8:WMM8"/>
    <mergeCell ref="WMP8:WMQ8"/>
    <mergeCell ref="WMT8:WMU8"/>
    <mergeCell ref="WMX8:WMY8"/>
    <mergeCell ref="WNB8:WNC8"/>
    <mergeCell ref="WLR8:WLS8"/>
    <mergeCell ref="WLV8:WLW8"/>
    <mergeCell ref="WLZ8:WMA8"/>
    <mergeCell ref="WMD8:WME8"/>
    <mergeCell ref="WMH8:WMI8"/>
    <mergeCell ref="WKX8:WKY8"/>
    <mergeCell ref="WLB8:WLC8"/>
    <mergeCell ref="WLF8:WLG8"/>
    <mergeCell ref="WLJ8:WLK8"/>
    <mergeCell ref="WLN8:WLO8"/>
    <mergeCell ref="WKD8:WKE8"/>
    <mergeCell ref="WKH8:WKI8"/>
    <mergeCell ref="WKL8:WKM8"/>
    <mergeCell ref="WKP8:WKQ8"/>
    <mergeCell ref="WKT8:WKU8"/>
    <mergeCell ref="WPN8:WPO8"/>
    <mergeCell ref="WPR8:WPS8"/>
    <mergeCell ref="WPV8:WPW8"/>
    <mergeCell ref="WPZ8:WQA8"/>
    <mergeCell ref="WQD8:WQE8"/>
    <mergeCell ref="WOT8:WOU8"/>
    <mergeCell ref="WOX8:WOY8"/>
    <mergeCell ref="WPB8:WPC8"/>
    <mergeCell ref="WPF8:WPG8"/>
    <mergeCell ref="WPJ8:WPK8"/>
    <mergeCell ref="WNZ8:WOA8"/>
    <mergeCell ref="WOD8:WOE8"/>
    <mergeCell ref="WOH8:WOI8"/>
    <mergeCell ref="WOL8:WOM8"/>
    <mergeCell ref="WOP8:WOQ8"/>
    <mergeCell ref="WNF8:WNG8"/>
    <mergeCell ref="WNJ8:WNK8"/>
    <mergeCell ref="WNN8:WNO8"/>
    <mergeCell ref="WNR8:WNS8"/>
    <mergeCell ref="WNV8:WNW8"/>
    <mergeCell ref="WSP8:WSQ8"/>
    <mergeCell ref="WST8:WSU8"/>
    <mergeCell ref="WSX8:WSY8"/>
    <mergeCell ref="WTB8:WTC8"/>
    <mergeCell ref="WTF8:WTG8"/>
    <mergeCell ref="WRV8:WRW8"/>
    <mergeCell ref="WRZ8:WSA8"/>
    <mergeCell ref="WSD8:WSE8"/>
    <mergeCell ref="WSH8:WSI8"/>
    <mergeCell ref="WSL8:WSM8"/>
    <mergeCell ref="WRB8:WRC8"/>
    <mergeCell ref="WRF8:WRG8"/>
    <mergeCell ref="WRJ8:WRK8"/>
    <mergeCell ref="WRN8:WRO8"/>
    <mergeCell ref="WRR8:WRS8"/>
    <mergeCell ref="WQH8:WQI8"/>
    <mergeCell ref="WQL8:WQM8"/>
    <mergeCell ref="WQP8:WQQ8"/>
    <mergeCell ref="WQT8:WQU8"/>
    <mergeCell ref="WQX8:WQY8"/>
    <mergeCell ref="WVR8:WVS8"/>
    <mergeCell ref="WVV8:WVW8"/>
    <mergeCell ref="WVZ8:WWA8"/>
    <mergeCell ref="WWD8:WWE8"/>
    <mergeCell ref="WUX8:WUY8"/>
    <mergeCell ref="WVB8:WVC8"/>
    <mergeCell ref="WVF8:WVG8"/>
    <mergeCell ref="WVJ8:WVK8"/>
    <mergeCell ref="WVN8:WVO8"/>
    <mergeCell ref="WUD8:WUE8"/>
    <mergeCell ref="WUH8:WUI8"/>
    <mergeCell ref="WUL8:WUM8"/>
    <mergeCell ref="WUP8:WUQ8"/>
    <mergeCell ref="WUT8:WUU8"/>
    <mergeCell ref="WTJ8:WTK8"/>
    <mergeCell ref="WTN8:WTO8"/>
    <mergeCell ref="WTR8:WTS8"/>
    <mergeCell ref="WTV8:WTW8"/>
    <mergeCell ref="WTZ8:WUA8"/>
  </mergeCells>
  <pageMargins left="0.25" right="0.25" top="0.75" bottom="0.75" header="0.3" footer="0.3"/>
  <pageSetup paperSize="9" scale="10" orientation="portrait" r:id="rId1"/>
  <tableParts count="3">
    <tablePart r:id="rId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8"/>
  <sheetViews>
    <sheetView topLeftCell="A31" workbookViewId="0">
      <selection activeCell="C25" sqref="C25:D27"/>
    </sheetView>
  </sheetViews>
  <sheetFormatPr baseColWidth="10" defaultRowHeight="12.75" x14ac:dyDescent="0.2"/>
  <cols>
    <col min="1" max="1" width="28.42578125" customWidth="1"/>
    <col min="2" max="2" width="12" customWidth="1"/>
    <col min="3" max="3" width="28.85546875" bestFit="1" customWidth="1"/>
    <col min="4" max="4" width="11" bestFit="1" customWidth="1"/>
    <col min="5" max="5" width="24.28515625" bestFit="1" customWidth="1"/>
    <col min="7" max="7" width="38.28515625" customWidth="1"/>
    <col min="8" max="8" width="12.42578125"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459</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38</v>
      </c>
      <c r="F4" s="505" t="s">
        <v>73</v>
      </c>
      <c r="G4" s="504" t="s">
        <v>526</v>
      </c>
      <c r="H4" s="506" t="s">
        <v>525</v>
      </c>
    </row>
    <row r="5" spans="1:8" x14ac:dyDescent="0.2">
      <c r="A5" s="1175" t="s">
        <v>14</v>
      </c>
      <c r="B5" s="1176"/>
      <c r="C5" s="1176"/>
      <c r="D5" s="1176"/>
      <c r="E5" s="1176"/>
      <c r="F5" s="1176"/>
      <c r="G5" s="1176"/>
      <c r="H5" s="1177"/>
    </row>
    <row r="6" spans="1:8" ht="127.5" customHeight="1" x14ac:dyDescent="0.2">
      <c r="A6" s="1284" t="s">
        <v>498</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25.5" customHeight="1" x14ac:dyDescent="0.2">
      <c r="A9" s="184" t="s">
        <v>269</v>
      </c>
      <c r="B9" s="86">
        <v>1</v>
      </c>
      <c r="C9" s="1326" t="s">
        <v>342</v>
      </c>
      <c r="D9" s="1327"/>
      <c r="E9" s="86" t="s">
        <v>152</v>
      </c>
      <c r="F9" s="86">
        <v>1</v>
      </c>
      <c r="G9" s="1328" t="s">
        <v>343</v>
      </c>
      <c r="H9" s="1329"/>
    </row>
    <row r="10" spans="1:8" ht="12.75" customHeight="1" x14ac:dyDescent="0.2">
      <c r="A10" s="184" t="s">
        <v>304</v>
      </c>
      <c r="B10" s="86">
        <v>1</v>
      </c>
      <c r="C10" s="1326" t="s">
        <v>342</v>
      </c>
      <c r="D10" s="1327"/>
      <c r="E10" s="86" t="s">
        <v>303</v>
      </c>
      <c r="F10" s="86">
        <v>2</v>
      </c>
      <c r="G10" s="1328" t="s">
        <v>343</v>
      </c>
      <c r="H10" s="1329"/>
    </row>
    <row r="11" spans="1:8" ht="15" customHeight="1" x14ac:dyDescent="0.25">
      <c r="A11" s="184"/>
      <c r="B11" s="86"/>
      <c r="C11" s="102"/>
      <c r="D11" s="102"/>
      <c r="E11" s="86" t="s">
        <v>305</v>
      </c>
      <c r="F11" s="86">
        <v>1</v>
      </c>
      <c r="G11" s="1328" t="s">
        <v>310</v>
      </c>
      <c r="H11" s="1329"/>
    </row>
    <row r="12" spans="1:8" ht="15" customHeight="1" x14ac:dyDescent="0.2">
      <c r="A12" s="31" t="s">
        <v>11</v>
      </c>
      <c r="B12" s="30"/>
      <c r="C12" s="30"/>
      <c r="D12" s="30"/>
      <c r="E12" s="30"/>
      <c r="F12" s="30"/>
      <c r="G12" s="30"/>
      <c r="H12" s="32"/>
    </row>
    <row r="13" spans="1:8" ht="119.25" customHeight="1" x14ac:dyDescent="0.2">
      <c r="A13" s="1330" t="s">
        <v>414</v>
      </c>
      <c r="B13" s="1331"/>
      <c r="C13" s="1331"/>
      <c r="D13" s="1331"/>
      <c r="E13" s="1331"/>
      <c r="F13" s="1331"/>
      <c r="G13" s="1331"/>
      <c r="H13" s="1332"/>
    </row>
    <row r="14" spans="1:8" ht="15.75" thickBot="1" x14ac:dyDescent="0.3">
      <c r="A14" s="183" t="s">
        <v>20</v>
      </c>
      <c r="B14" s="182"/>
      <c r="C14" s="182"/>
      <c r="D14" s="182"/>
      <c r="E14" s="182"/>
      <c r="F14" s="182"/>
      <c r="G14" s="182"/>
      <c r="H14" s="181"/>
    </row>
    <row r="15" spans="1:8" ht="15" customHeight="1" thickBot="1" x14ac:dyDescent="0.25">
      <c r="A15" s="180" t="s">
        <v>25</v>
      </c>
      <c r="B15" s="179" t="s">
        <v>0</v>
      </c>
      <c r="C15" s="178" t="s">
        <v>25</v>
      </c>
      <c r="D15" s="177" t="s">
        <v>0</v>
      </c>
      <c r="E15" s="175" t="s">
        <v>25</v>
      </c>
      <c r="F15" s="174" t="s">
        <v>0</v>
      </c>
      <c r="G15" s="552" t="s">
        <v>307</v>
      </c>
      <c r="H15" s="552" t="s">
        <v>308</v>
      </c>
    </row>
    <row r="16" spans="1:8" ht="12.75" customHeight="1" thickBot="1" x14ac:dyDescent="0.3">
      <c r="A16" s="173" t="s">
        <v>504</v>
      </c>
      <c r="B16" s="172"/>
      <c r="C16" s="171" t="s">
        <v>151</v>
      </c>
      <c r="D16" s="157"/>
      <c r="E16" s="369" t="s">
        <v>513</v>
      </c>
      <c r="F16" s="168"/>
      <c r="G16" s="581" t="s">
        <v>521</v>
      </c>
      <c r="H16" s="562"/>
    </row>
    <row r="17" spans="1:8" ht="15" x14ac:dyDescent="0.25">
      <c r="A17" s="167" t="s">
        <v>149</v>
      </c>
      <c r="B17" s="112">
        <v>0.28000000000000003</v>
      </c>
      <c r="C17" s="112" t="s">
        <v>148</v>
      </c>
      <c r="D17" s="112">
        <v>3</v>
      </c>
      <c r="E17" s="166" t="s">
        <v>514</v>
      </c>
      <c r="F17" s="84">
        <f>B19</f>
        <v>38</v>
      </c>
      <c r="G17" s="563" t="s">
        <v>522</v>
      </c>
      <c r="H17" s="564">
        <f>B24/2</f>
        <v>0.1</v>
      </c>
    </row>
    <row r="18" spans="1:8" ht="15.75" thickBot="1" x14ac:dyDescent="0.3">
      <c r="A18" s="136" t="s">
        <v>146</v>
      </c>
      <c r="B18" s="165">
        <v>0.06</v>
      </c>
      <c r="C18" s="148" t="s">
        <v>124</v>
      </c>
      <c r="D18" s="147">
        <f>D17*B19</f>
        <v>114</v>
      </c>
      <c r="E18" s="89" t="s">
        <v>515</v>
      </c>
      <c r="F18" s="84">
        <f>F17/10</f>
        <v>3.8</v>
      </c>
      <c r="G18" s="266" t="s">
        <v>523</v>
      </c>
      <c r="H18" s="22">
        <f>B23</f>
        <v>0.5</v>
      </c>
    </row>
    <row r="19" spans="1:8" ht="15.75" thickBot="1" x14ac:dyDescent="0.3">
      <c r="A19" s="117" t="s">
        <v>144</v>
      </c>
      <c r="B19" s="108">
        <v>38</v>
      </c>
      <c r="C19" s="159" t="s">
        <v>143</v>
      </c>
      <c r="D19" s="152">
        <f>D18/3600/24</f>
        <v>1.3194444444444445E-3</v>
      </c>
      <c r="E19" s="208" t="s">
        <v>23</v>
      </c>
      <c r="F19" s="84">
        <f>ROUNDDOWN(F18,0)</f>
        <v>3</v>
      </c>
      <c r="G19" s="266" t="s">
        <v>524</v>
      </c>
      <c r="H19" s="22">
        <f>B21</f>
        <v>38</v>
      </c>
    </row>
    <row r="20" spans="1:8" ht="15.75" thickBot="1" x14ac:dyDescent="0.3">
      <c r="A20" s="117" t="s">
        <v>141</v>
      </c>
      <c r="B20" s="108">
        <v>1</v>
      </c>
      <c r="C20" s="158" t="s">
        <v>140</v>
      </c>
      <c r="D20" s="157"/>
      <c r="E20" s="89"/>
      <c r="F20" s="84"/>
      <c r="G20" s="117" t="s">
        <v>60</v>
      </c>
      <c r="H20" s="83">
        <f>H18*H19*H17</f>
        <v>1.9000000000000001</v>
      </c>
    </row>
    <row r="21" spans="1:8" ht="15.75" thickBot="1" x14ac:dyDescent="0.3">
      <c r="A21" s="125" t="s">
        <v>138</v>
      </c>
      <c r="B21" s="121">
        <f>B19*B20</f>
        <v>38</v>
      </c>
      <c r="C21" s="155" t="s">
        <v>137</v>
      </c>
      <c r="D21" s="154">
        <v>3</v>
      </c>
      <c r="E21" s="164"/>
      <c r="F21" s="163"/>
      <c r="G21" s="266" t="s">
        <v>26</v>
      </c>
      <c r="H21" s="22">
        <v>800</v>
      </c>
    </row>
    <row r="22" spans="1:8" ht="15.75" thickBot="1" x14ac:dyDescent="0.3">
      <c r="A22" s="123" t="s">
        <v>135</v>
      </c>
      <c r="B22" s="145"/>
      <c r="C22" s="148" t="s">
        <v>124</v>
      </c>
      <c r="D22" s="162">
        <f>D21*B19</f>
        <v>114</v>
      </c>
      <c r="E22" s="161" t="s">
        <v>134</v>
      </c>
      <c r="F22" s="160"/>
      <c r="G22" s="266" t="s">
        <v>27</v>
      </c>
      <c r="H22" s="22">
        <f>H21/1000</f>
        <v>0.8</v>
      </c>
    </row>
    <row r="23" spans="1:8" ht="15.75" thickBot="1" x14ac:dyDescent="0.3">
      <c r="A23" s="120" t="s">
        <v>133</v>
      </c>
      <c r="B23" s="112">
        <v>0.5</v>
      </c>
      <c r="C23" s="159" t="s">
        <v>77</v>
      </c>
      <c r="D23" s="152">
        <f>D22/3600/24</f>
        <v>1.3194444444444445E-3</v>
      </c>
      <c r="E23" s="120" t="s">
        <v>132</v>
      </c>
      <c r="F23" s="141">
        <f>B17*B18</f>
        <v>1.6800000000000002E-2</v>
      </c>
      <c r="G23" s="266" t="s">
        <v>69</v>
      </c>
      <c r="H23" s="22">
        <f>H20/H22</f>
        <v>2.375</v>
      </c>
    </row>
    <row r="24" spans="1:8" ht="15.75" thickBot="1" x14ac:dyDescent="0.3">
      <c r="A24" s="117" t="s">
        <v>131</v>
      </c>
      <c r="B24" s="108">
        <f>0.2</f>
        <v>0.2</v>
      </c>
      <c r="C24" s="158" t="s">
        <v>130</v>
      </c>
      <c r="D24" s="157"/>
      <c r="E24" s="125" t="s">
        <v>129</v>
      </c>
      <c r="F24" s="156">
        <v>0.01</v>
      </c>
      <c r="G24" s="266" t="s">
        <v>29</v>
      </c>
      <c r="H24" s="22">
        <v>10</v>
      </c>
    </row>
    <row r="25" spans="1:8" ht="15" x14ac:dyDescent="0.25">
      <c r="A25" s="117" t="s">
        <v>128</v>
      </c>
      <c r="B25" s="108">
        <f>B24*B23</f>
        <v>0.1</v>
      </c>
      <c r="C25" s="155" t="s">
        <v>127</v>
      </c>
      <c r="D25" s="154">
        <v>3</v>
      </c>
      <c r="E25" s="125" t="s">
        <v>126</v>
      </c>
      <c r="F25" s="139">
        <f>F24*F23</f>
        <v>1.6800000000000002E-4</v>
      </c>
      <c r="G25" s="266" t="s">
        <v>30</v>
      </c>
      <c r="H25" s="22">
        <v>6</v>
      </c>
    </row>
    <row r="26" spans="1:8" ht="15.75" thickBot="1" x14ac:dyDescent="0.3">
      <c r="A26" s="125" t="s">
        <v>125</v>
      </c>
      <c r="B26" s="153">
        <f>B25*B19</f>
        <v>3.8000000000000003</v>
      </c>
      <c r="C26" s="148" t="s">
        <v>124</v>
      </c>
      <c r="D26" s="147">
        <f>D25*B19</f>
        <v>114</v>
      </c>
      <c r="E26" s="117" t="s">
        <v>123</v>
      </c>
      <c r="F26" s="139">
        <f>F25*1000</f>
        <v>0.16800000000000001</v>
      </c>
      <c r="G26" s="266" t="s">
        <v>31</v>
      </c>
      <c r="H26" s="22">
        <v>6</v>
      </c>
    </row>
    <row r="27" spans="1:8" ht="15.75" thickBot="1" x14ac:dyDescent="0.3">
      <c r="A27" s="123" t="s">
        <v>122</v>
      </c>
      <c r="B27" s="145"/>
      <c r="C27" s="143" t="s">
        <v>77</v>
      </c>
      <c r="D27" s="152">
        <f>D26/3600/24</f>
        <v>1.3194444444444445E-3</v>
      </c>
      <c r="E27" s="136" t="s">
        <v>116</v>
      </c>
      <c r="F27" s="149">
        <f>15/60/24</f>
        <v>1.0416666666666666E-2</v>
      </c>
      <c r="G27" s="266" t="s">
        <v>32</v>
      </c>
      <c r="H27" s="22">
        <v>6</v>
      </c>
    </row>
    <row r="28" spans="1:8" ht="15.75" thickBot="1" x14ac:dyDescent="0.3">
      <c r="A28" s="117" t="s">
        <v>507</v>
      </c>
      <c r="B28" s="139">
        <f>(2/3)*B17</f>
        <v>0.18666666666666668</v>
      </c>
      <c r="C28" s="123" t="s">
        <v>120</v>
      </c>
      <c r="D28" s="114"/>
      <c r="E28" s="117" t="s">
        <v>119</v>
      </c>
      <c r="F28" s="139">
        <f>F32*F26</f>
        <v>5.7120000000000006</v>
      </c>
      <c r="G28" s="266" t="s">
        <v>35</v>
      </c>
      <c r="H28" s="22">
        <f>SUM(H24:H27)</f>
        <v>28</v>
      </c>
    </row>
    <row r="29" spans="1:8" ht="22.5" customHeight="1" thickBot="1" x14ac:dyDescent="0.3">
      <c r="A29" s="117" t="s">
        <v>508</v>
      </c>
      <c r="B29" s="141">
        <f>(B28*B28)/2</f>
        <v>1.7422222222222224E-2</v>
      </c>
      <c r="C29" s="151" t="s">
        <v>117</v>
      </c>
      <c r="D29" s="150">
        <v>30</v>
      </c>
      <c r="E29" s="136" t="s">
        <v>116</v>
      </c>
      <c r="F29" s="149">
        <f>F27*(ROUNDUP(F28/35,0))</f>
        <v>1.0416666666666666E-2</v>
      </c>
      <c r="G29" s="266" t="s">
        <v>64</v>
      </c>
      <c r="H29" s="565">
        <f>60/80</f>
        <v>0.75</v>
      </c>
    </row>
    <row r="30" spans="1:8" ht="15.75" thickBot="1" x14ac:dyDescent="0.3">
      <c r="A30" s="117" t="s">
        <v>509</v>
      </c>
      <c r="B30" s="138">
        <f>B29*B19</f>
        <v>0.66204444444444455</v>
      </c>
      <c r="C30" s="148" t="s">
        <v>114</v>
      </c>
      <c r="D30" s="147">
        <v>30</v>
      </c>
      <c r="E30" s="146" t="s">
        <v>113</v>
      </c>
      <c r="F30" s="145" t="s">
        <v>112</v>
      </c>
      <c r="G30" s="270" t="s">
        <v>65</v>
      </c>
      <c r="H30" s="566">
        <f>80/60</f>
        <v>1.3333333333333333</v>
      </c>
    </row>
    <row r="31" spans="1:8" ht="23.25" customHeight="1" thickBot="1" x14ac:dyDescent="0.3">
      <c r="A31" s="117" t="s">
        <v>510</v>
      </c>
      <c r="B31" s="144">
        <f>(2/3)*B17</f>
        <v>0.18666666666666668</v>
      </c>
      <c r="C31" s="143" t="s">
        <v>110</v>
      </c>
      <c r="D31" s="142">
        <f>(D29+D30)*B44/3600/24</f>
        <v>2.0833333333333333E-3</v>
      </c>
      <c r="E31" s="582" t="s">
        <v>109</v>
      </c>
      <c r="F31" s="571">
        <v>30</v>
      </c>
      <c r="G31" s="266" t="s">
        <v>34</v>
      </c>
      <c r="H31" s="22">
        <f>H28*H30</f>
        <v>37.333333333333329</v>
      </c>
    </row>
    <row r="32" spans="1:8" ht="15.75" thickBot="1" x14ac:dyDescent="0.3">
      <c r="A32" s="117" t="s">
        <v>511</v>
      </c>
      <c r="B32" s="140">
        <f>(B31*B31)/2</f>
        <v>1.7422222222222224E-2</v>
      </c>
      <c r="C32" s="127" t="s">
        <v>107</v>
      </c>
      <c r="D32" s="122"/>
      <c r="E32" s="117" t="s">
        <v>106</v>
      </c>
      <c r="F32" s="139">
        <f>B19-1-F19</f>
        <v>34</v>
      </c>
      <c r="G32" s="266" t="s">
        <v>33</v>
      </c>
      <c r="H32" s="567">
        <f>60/H31</f>
        <v>1.6071428571428574</v>
      </c>
    </row>
    <row r="33" spans="1:8" ht="15.75" thickBot="1" x14ac:dyDescent="0.3">
      <c r="A33" s="117" t="s">
        <v>512</v>
      </c>
      <c r="B33" s="138">
        <f>B32*B19</f>
        <v>0.66204444444444455</v>
      </c>
      <c r="C33" s="113" t="s">
        <v>104</v>
      </c>
      <c r="D33" s="112">
        <v>5</v>
      </c>
      <c r="E33" s="136" t="s">
        <v>77</v>
      </c>
      <c r="F33" s="149">
        <f>F31*F32/3600/24</f>
        <v>1.1805555555555555E-2</v>
      </c>
      <c r="G33" s="266" t="s">
        <v>36</v>
      </c>
      <c r="H33" s="568">
        <f>H32*60</f>
        <v>96.428571428571445</v>
      </c>
    </row>
    <row r="34" spans="1:8" ht="15.75" thickBot="1" x14ac:dyDescent="0.3">
      <c r="A34" s="117" t="s">
        <v>103</v>
      </c>
      <c r="B34" s="128">
        <f>B25+B29+B32</f>
        <v>0.13484444444444446</v>
      </c>
      <c r="C34" s="104" t="s">
        <v>77</v>
      </c>
      <c r="D34" s="134">
        <f>B43*D33/3600/24</f>
        <v>1.0416666666666667E-3</v>
      </c>
      <c r="E34" s="551"/>
      <c r="F34" s="533"/>
      <c r="G34" s="266" t="s">
        <v>40</v>
      </c>
      <c r="H34" s="22">
        <f>H33*H22</f>
        <v>77.142857142857167</v>
      </c>
    </row>
    <row r="35" spans="1:8" ht="15" x14ac:dyDescent="0.25">
      <c r="A35" s="117" t="s">
        <v>101</v>
      </c>
      <c r="B35" s="108">
        <f>B34*1000</f>
        <v>134.84444444444446</v>
      </c>
      <c r="C35" s="109" t="s">
        <v>100</v>
      </c>
      <c r="D35" s="137">
        <v>5</v>
      </c>
      <c r="E35" s="551"/>
      <c r="F35" s="533"/>
      <c r="G35" s="266" t="s">
        <v>39</v>
      </c>
      <c r="H35" s="22">
        <f>H34*H29</f>
        <v>57.857142857142875</v>
      </c>
    </row>
    <row r="36" spans="1:8" ht="15.75" thickBot="1" x14ac:dyDescent="0.3">
      <c r="A36" s="136" t="s">
        <v>98</v>
      </c>
      <c r="B36" s="135">
        <f>B26+B30+B33</f>
        <v>5.1240888888888891</v>
      </c>
      <c r="C36" s="104" t="s">
        <v>77</v>
      </c>
      <c r="D36" s="134">
        <f>D35*B43/3600/24</f>
        <v>1.0416666666666667E-3</v>
      </c>
      <c r="E36" s="185"/>
      <c r="F36" s="101"/>
      <c r="G36" s="266" t="s">
        <v>67</v>
      </c>
      <c r="H36" s="22">
        <f>H20/H35</f>
        <v>3.2839506172839497E-2</v>
      </c>
    </row>
    <row r="37" spans="1:8" ht="15.75" thickBot="1" x14ac:dyDescent="0.3">
      <c r="A37" s="123" t="s">
        <v>96</v>
      </c>
      <c r="B37" s="114"/>
      <c r="C37" s="118" t="s">
        <v>95</v>
      </c>
      <c r="D37" s="131">
        <f>D36+D34</f>
        <v>2.0833333333333333E-3</v>
      </c>
      <c r="E37" s="185"/>
      <c r="F37" s="101"/>
      <c r="G37" s="265" t="s">
        <v>66</v>
      </c>
      <c r="H37" s="569">
        <f>H36/24</f>
        <v>1.3683127572016458E-3</v>
      </c>
    </row>
    <row r="38" spans="1:8" ht="15.75" thickBot="1" x14ac:dyDescent="0.3">
      <c r="A38" s="120" t="s">
        <v>93</v>
      </c>
      <c r="B38" s="112">
        <v>5.5</v>
      </c>
      <c r="C38" s="118" t="s">
        <v>85</v>
      </c>
      <c r="D38" s="129">
        <f>D37*B44</f>
        <v>6.2500000000000003E-3</v>
      </c>
      <c r="E38" s="185"/>
    </row>
    <row r="39" spans="1:8" ht="15.75" thickBot="1" x14ac:dyDescent="0.3">
      <c r="A39" s="117" t="s">
        <v>92</v>
      </c>
      <c r="B39" s="128">
        <f>B36/B38</f>
        <v>0.93165252525252529</v>
      </c>
      <c r="C39" s="127" t="s">
        <v>91</v>
      </c>
      <c r="D39" s="126"/>
      <c r="E39" s="185"/>
    </row>
    <row r="40" spans="1:8" ht="15.75" x14ac:dyDescent="0.25">
      <c r="A40" s="531" t="s">
        <v>23</v>
      </c>
      <c r="B40" s="128">
        <f>ROUNDUP(B39,0)</f>
        <v>1</v>
      </c>
      <c r="C40" s="124" t="s">
        <v>89</v>
      </c>
      <c r="D40" s="112">
        <v>10</v>
      </c>
      <c r="E40" s="185"/>
      <c r="F40" s="101"/>
      <c r="G40" s="180" t="s">
        <v>102</v>
      </c>
      <c r="H40" s="534">
        <f>D19+D23+D27+D31+D38+D42+D51+F29+F33</f>
        <v>5.8263888888888886E-2</v>
      </c>
    </row>
    <row r="41" spans="1:8" ht="15.75" thickBot="1" x14ac:dyDescent="0.3">
      <c r="A41" s="125" t="s">
        <v>90</v>
      </c>
      <c r="B41" s="121">
        <f>B38/B34</f>
        <v>40.787738958470662</v>
      </c>
      <c r="C41" s="106" t="s">
        <v>87</v>
      </c>
      <c r="D41" s="121">
        <v>30</v>
      </c>
      <c r="E41" s="185"/>
      <c r="F41" s="101"/>
      <c r="G41" s="535" t="s">
        <v>99</v>
      </c>
      <c r="H41" s="536">
        <f>8/5</f>
        <v>1.6</v>
      </c>
    </row>
    <row r="42" spans="1:8" ht="16.5" thickBot="1" x14ac:dyDescent="0.3">
      <c r="A42" s="123" t="s">
        <v>88</v>
      </c>
      <c r="B42" s="122"/>
      <c r="C42" s="118" t="s">
        <v>85</v>
      </c>
      <c r="D42" s="103">
        <f>D41*B21/3600/24</f>
        <v>1.3194444444444444E-2</v>
      </c>
      <c r="E42" s="185"/>
      <c r="F42" s="101"/>
      <c r="G42" s="237" t="s">
        <v>97</v>
      </c>
      <c r="H42" s="537">
        <f>H40*H41</f>
        <v>9.322222222222222E-2</v>
      </c>
    </row>
    <row r="43" spans="1:8" ht="15.75" thickBot="1" x14ac:dyDescent="0.3">
      <c r="A43" s="120" t="s">
        <v>86</v>
      </c>
      <c r="B43" s="119">
        <v>18</v>
      </c>
      <c r="C43" s="115" t="s">
        <v>83</v>
      </c>
      <c r="D43" s="114"/>
      <c r="E43" s="185"/>
      <c r="F43" s="101"/>
      <c r="G43" s="538" t="s">
        <v>94</v>
      </c>
      <c r="H43" s="539">
        <f>H42/8</f>
        <v>1.1652777777777778E-2</v>
      </c>
    </row>
    <row r="44" spans="1:8" ht="27" thickBot="1" x14ac:dyDescent="0.3">
      <c r="A44" s="117" t="s">
        <v>84</v>
      </c>
      <c r="B44" s="116">
        <f>ROUNDUP(B21/B43,0)</f>
        <v>3</v>
      </c>
      <c r="C44" s="113" t="s">
        <v>505</v>
      </c>
      <c r="D44" s="112">
        <v>8</v>
      </c>
      <c r="E44" s="185"/>
    </row>
    <row r="45" spans="1:8" ht="15.75" thickBot="1" x14ac:dyDescent="0.3">
      <c r="A45" s="107"/>
      <c r="B45" s="102"/>
      <c r="C45" s="109" t="s">
        <v>81</v>
      </c>
      <c r="D45" s="111">
        <v>2</v>
      </c>
      <c r="E45" s="185"/>
      <c r="F45" s="101"/>
      <c r="G45" s="424" t="s">
        <v>2</v>
      </c>
    </row>
    <row r="46" spans="1:8" ht="15.75" thickBot="1" x14ac:dyDescent="0.3">
      <c r="A46" s="107"/>
      <c r="B46" s="102"/>
      <c r="C46" s="109" t="s">
        <v>80</v>
      </c>
      <c r="D46" s="110">
        <f>D44*D45</f>
        <v>16</v>
      </c>
      <c r="E46" s="185"/>
      <c r="F46" s="101"/>
      <c r="G46" s="580">
        <f>H42/B19</f>
        <v>2.4532163742690058E-3</v>
      </c>
    </row>
    <row r="47" spans="1:8" ht="26.25" x14ac:dyDescent="0.25">
      <c r="A47" s="107"/>
      <c r="B47" s="102"/>
      <c r="C47" s="532" t="s">
        <v>506</v>
      </c>
      <c r="D47" s="108">
        <v>2</v>
      </c>
      <c r="E47" s="550"/>
    </row>
    <row r="48" spans="1:8" ht="15" x14ac:dyDescent="0.25">
      <c r="A48" s="107"/>
      <c r="B48" s="102"/>
      <c r="C48" s="109" t="s">
        <v>78</v>
      </c>
      <c r="D48" s="108">
        <v>4</v>
      </c>
      <c r="E48" s="41"/>
    </row>
    <row r="49" spans="1:8" ht="15" x14ac:dyDescent="0.25">
      <c r="A49" s="107"/>
      <c r="B49" s="102"/>
      <c r="C49" s="109" t="s">
        <v>77</v>
      </c>
      <c r="D49" s="108">
        <f>D47*D48</f>
        <v>8</v>
      </c>
      <c r="E49" s="41"/>
    </row>
    <row r="50" spans="1:8" ht="15" x14ac:dyDescent="0.25">
      <c r="A50" s="107"/>
      <c r="B50" s="102"/>
      <c r="C50" s="106" t="s">
        <v>76</v>
      </c>
      <c r="D50" s="105">
        <f>D49+D46</f>
        <v>24</v>
      </c>
      <c r="E50" s="41"/>
    </row>
    <row r="51" spans="1:8" ht="15.75" thickBot="1" x14ac:dyDescent="0.3">
      <c r="A51" s="107"/>
      <c r="B51" s="102"/>
      <c r="C51" s="104" t="s">
        <v>75</v>
      </c>
      <c r="D51" s="103">
        <f>D50*B19/3600/24</f>
        <v>1.0555555555555556E-2</v>
      </c>
      <c r="E51" s="41"/>
    </row>
    <row r="52" spans="1:8" x14ac:dyDescent="0.2">
      <c r="A52" s="100" t="s">
        <v>9</v>
      </c>
      <c r="B52" s="99"/>
      <c r="C52" s="99"/>
      <c r="D52" s="99"/>
      <c r="E52" s="99"/>
      <c r="F52" s="98" t="s">
        <v>16</v>
      </c>
      <c r="G52" s="98"/>
      <c r="H52" s="97"/>
    </row>
    <row r="53" spans="1:8" ht="25.5" x14ac:dyDescent="0.2">
      <c r="A53" s="96" t="s">
        <v>4</v>
      </c>
      <c r="B53" s="95" t="s">
        <v>5</v>
      </c>
      <c r="C53" s="95" t="s">
        <v>1</v>
      </c>
      <c r="D53" s="95" t="s">
        <v>6</v>
      </c>
      <c r="E53" s="94" t="s">
        <v>7</v>
      </c>
      <c r="F53" s="93" t="s">
        <v>17</v>
      </c>
      <c r="G53" s="93" t="s">
        <v>18</v>
      </c>
      <c r="H53" s="92" t="s">
        <v>19</v>
      </c>
    </row>
    <row r="54" spans="1:8" ht="15" x14ac:dyDescent="0.25">
      <c r="A54" s="433" t="s">
        <v>503</v>
      </c>
      <c r="B54" s="86">
        <f>B21</f>
        <v>38</v>
      </c>
      <c r="C54" s="517" t="s">
        <v>366</v>
      </c>
      <c r="D54" s="86">
        <v>5.15</v>
      </c>
      <c r="E54" s="404">
        <f>D54*B54</f>
        <v>195.70000000000002</v>
      </c>
      <c r="F54" s="84"/>
      <c r="G54" s="89"/>
      <c r="H54" s="83"/>
    </row>
    <row r="55" spans="1:8" ht="15" x14ac:dyDescent="0.25">
      <c r="A55" s="433" t="s">
        <v>415</v>
      </c>
      <c r="B55" s="86">
        <f>B36</f>
        <v>5.1240888888888891</v>
      </c>
      <c r="C55" s="517" t="s">
        <v>22</v>
      </c>
      <c r="D55" s="86">
        <v>98</v>
      </c>
      <c r="E55" s="404">
        <f>D55*B55</f>
        <v>502.16071111111114</v>
      </c>
      <c r="F55" s="84"/>
      <c r="G55" s="84"/>
      <c r="H55" s="83"/>
    </row>
    <row r="56" spans="1:8" ht="15" x14ac:dyDescent="0.25">
      <c r="A56" s="88" t="s">
        <v>416</v>
      </c>
      <c r="B56" s="86">
        <f>B40</f>
        <v>1</v>
      </c>
      <c r="C56" s="517" t="s">
        <v>417</v>
      </c>
      <c r="D56" s="86">
        <v>110</v>
      </c>
      <c r="E56" s="404">
        <f>D56*B56</f>
        <v>110</v>
      </c>
      <c r="F56" s="84"/>
      <c r="G56" s="84"/>
      <c r="H56" s="83"/>
    </row>
    <row r="57" spans="1:8" ht="15" x14ac:dyDescent="0.25">
      <c r="A57" s="88" t="s">
        <v>418</v>
      </c>
      <c r="B57" s="86">
        <f>ROUNDUP(F28/25,0)</f>
        <v>1</v>
      </c>
      <c r="C57" s="517" t="s">
        <v>419</v>
      </c>
      <c r="D57" s="86">
        <v>3.45</v>
      </c>
      <c r="E57" s="404">
        <f>D57*B57</f>
        <v>3.45</v>
      </c>
      <c r="F57" s="84"/>
      <c r="G57" s="84"/>
      <c r="H57" s="83"/>
    </row>
    <row r="58" spans="1:8" ht="15.75" thickBot="1" x14ac:dyDescent="0.3">
      <c r="A58" s="82"/>
      <c r="B58" s="80"/>
      <c r="C58" s="81"/>
      <c r="D58" s="80" t="str">
        <f>IF(A58="","",VLOOKUP(A58,$O$3:$P$19,2,FALSE))</f>
        <v/>
      </c>
      <c r="E58" s="79" t="str">
        <f>IF(A58="","",B58*D58)</f>
        <v/>
      </c>
      <c r="F58" s="78"/>
      <c r="G58" s="78"/>
      <c r="H58" s="77"/>
    </row>
  </sheetData>
  <mergeCells count="18">
    <mergeCell ref="G11:H11"/>
    <mergeCell ref="A13:H13"/>
    <mergeCell ref="A5:H5"/>
    <mergeCell ref="A6:H6"/>
    <mergeCell ref="A7:D7"/>
    <mergeCell ref="E7:H7"/>
    <mergeCell ref="C10:D10"/>
    <mergeCell ref="G10:H10"/>
    <mergeCell ref="C9:D9"/>
    <mergeCell ref="G9:H9"/>
    <mergeCell ref="C8:D8"/>
    <mergeCell ref="G8:H8"/>
    <mergeCell ref="A1:C1"/>
    <mergeCell ref="D1:H1"/>
    <mergeCell ref="A2:C2"/>
    <mergeCell ref="D2:H2"/>
    <mergeCell ref="A3:A4"/>
    <mergeCell ref="B3:D4"/>
  </mergeCells>
  <pageMargins left="0.25" right="0.25" top="0.75" bottom="0.75" header="0.3" footer="0.3"/>
  <pageSetup paperSize="9" scale="60" orientation="portrait" r:id="rId1"/>
  <tableParts count="3">
    <tablePart r:id="rId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4"/>
  <sheetViews>
    <sheetView topLeftCell="A31" workbookViewId="0">
      <selection activeCell="A65" sqref="A65"/>
    </sheetView>
  </sheetViews>
  <sheetFormatPr baseColWidth="10" defaultRowHeight="12.75" x14ac:dyDescent="0.2"/>
  <cols>
    <col min="1" max="1" width="32" customWidth="1"/>
    <col min="2" max="2" width="8.28515625" customWidth="1"/>
    <col min="3" max="3" width="28.85546875" bestFit="1" customWidth="1"/>
    <col min="4" max="4" width="11" bestFit="1" customWidth="1"/>
    <col min="5" max="5" width="19.7109375" bestFit="1" customWidth="1"/>
    <col min="6" max="6" width="11" bestFit="1" customWidth="1"/>
    <col min="7" max="7" width="28.28515625" bestFit="1" customWidth="1"/>
    <col min="8" max="8" width="12"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460</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107</v>
      </c>
      <c r="F4" s="505" t="s">
        <v>73</v>
      </c>
      <c r="G4" s="504" t="s">
        <v>539</v>
      </c>
      <c r="H4" s="506" t="s">
        <v>538</v>
      </c>
    </row>
    <row r="5" spans="1:8" x14ac:dyDescent="0.2">
      <c r="A5" s="1175" t="s">
        <v>14</v>
      </c>
      <c r="B5" s="1176"/>
      <c r="C5" s="1176"/>
      <c r="D5" s="1176"/>
      <c r="E5" s="1176"/>
      <c r="F5" s="1176"/>
      <c r="G5" s="1176"/>
      <c r="H5" s="1177"/>
    </row>
    <row r="6" spans="1:8" ht="98.25" customHeight="1" x14ac:dyDescent="0.2">
      <c r="A6" s="1284" t="s">
        <v>498</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15" x14ac:dyDescent="0.2">
      <c r="A9" s="184" t="s">
        <v>269</v>
      </c>
      <c r="B9" s="86">
        <v>1</v>
      </c>
      <c r="C9" s="1326" t="s">
        <v>342</v>
      </c>
      <c r="D9" s="1327"/>
      <c r="E9" s="86" t="s">
        <v>152</v>
      </c>
      <c r="F9" s="86">
        <v>1</v>
      </c>
      <c r="G9" s="1328" t="s">
        <v>343</v>
      </c>
      <c r="H9" s="1329"/>
    </row>
    <row r="10" spans="1:8" ht="15" x14ac:dyDescent="0.2">
      <c r="A10" s="184" t="s">
        <v>304</v>
      </c>
      <c r="B10" s="86">
        <v>1</v>
      </c>
      <c r="C10" s="1326" t="s">
        <v>342</v>
      </c>
      <c r="D10" s="1327"/>
      <c r="E10" s="86" t="s">
        <v>303</v>
      </c>
      <c r="F10" s="86">
        <v>2</v>
      </c>
      <c r="G10" s="1328" t="s">
        <v>343</v>
      </c>
      <c r="H10" s="1329"/>
    </row>
    <row r="11" spans="1:8" ht="15" x14ac:dyDescent="0.25">
      <c r="A11" s="184"/>
      <c r="B11" s="86"/>
      <c r="C11" s="102"/>
      <c r="D11" s="102"/>
      <c r="E11" s="86" t="s">
        <v>305</v>
      </c>
      <c r="F11" s="86">
        <v>1</v>
      </c>
      <c r="G11" s="1328" t="s">
        <v>310</v>
      </c>
      <c r="H11" s="1329"/>
    </row>
    <row r="12" spans="1:8" ht="14.25" x14ac:dyDescent="0.2">
      <c r="A12" s="31" t="s">
        <v>11</v>
      </c>
      <c r="B12" s="30"/>
      <c r="C12" s="30"/>
      <c r="D12" s="30"/>
      <c r="E12" s="30"/>
      <c r="F12" s="30"/>
      <c r="G12" s="30"/>
      <c r="H12" s="32"/>
    </row>
    <row r="13" spans="1:8" ht="115.5" customHeight="1" x14ac:dyDescent="0.2">
      <c r="A13" s="1330" t="s">
        <v>414</v>
      </c>
      <c r="B13" s="1331"/>
      <c r="C13" s="1331"/>
      <c r="D13" s="1331"/>
      <c r="E13" s="1331"/>
      <c r="F13" s="1331"/>
      <c r="G13" s="1331"/>
      <c r="H13" s="1332"/>
    </row>
    <row r="14" spans="1:8" ht="12.75" customHeight="1" thickBot="1" x14ac:dyDescent="0.3">
      <c r="A14" s="183" t="s">
        <v>20</v>
      </c>
      <c r="B14" s="182"/>
      <c r="C14" s="182"/>
      <c r="D14" s="182"/>
      <c r="E14" s="182"/>
      <c r="F14" s="182"/>
      <c r="G14" s="182"/>
      <c r="H14" s="181"/>
    </row>
    <row r="15" spans="1:8" ht="13.5" thickBot="1" x14ac:dyDescent="0.25">
      <c r="A15" s="180" t="s">
        <v>25</v>
      </c>
      <c r="B15" s="179" t="s">
        <v>0</v>
      </c>
      <c r="C15" s="178" t="s">
        <v>25</v>
      </c>
      <c r="D15" s="177" t="s">
        <v>0</v>
      </c>
      <c r="E15" s="175" t="s">
        <v>25</v>
      </c>
      <c r="F15" s="174" t="s">
        <v>0</v>
      </c>
      <c r="G15" s="552" t="s">
        <v>307</v>
      </c>
      <c r="H15" s="552" t="s">
        <v>308</v>
      </c>
    </row>
    <row r="16" spans="1:8" ht="15.75" thickBot="1" x14ac:dyDescent="0.3">
      <c r="A16" s="173" t="s">
        <v>528</v>
      </c>
      <c r="B16" s="172"/>
      <c r="C16" s="171" t="s">
        <v>151</v>
      </c>
      <c r="D16" s="157"/>
      <c r="E16" s="369" t="s">
        <v>513</v>
      </c>
      <c r="F16" s="168"/>
      <c r="G16" s="581" t="s">
        <v>521</v>
      </c>
      <c r="H16" s="562"/>
    </row>
    <row r="17" spans="1:8" ht="15" x14ac:dyDescent="0.25">
      <c r="A17" s="167" t="s">
        <v>149</v>
      </c>
      <c r="B17" s="112">
        <v>0.12</v>
      </c>
      <c r="C17" s="112" t="s">
        <v>148</v>
      </c>
      <c r="D17" s="112">
        <v>3</v>
      </c>
      <c r="E17" s="166" t="s">
        <v>537</v>
      </c>
      <c r="F17" s="84">
        <f>B19</f>
        <v>107</v>
      </c>
      <c r="G17" s="563" t="s">
        <v>522</v>
      </c>
      <c r="H17" s="564">
        <f>B24/2</f>
        <v>0.1</v>
      </c>
    </row>
    <row r="18" spans="1:8" ht="15.75" thickBot="1" x14ac:dyDescent="0.3">
      <c r="A18" s="136" t="s">
        <v>146</v>
      </c>
      <c r="B18" s="165">
        <v>0.25</v>
      </c>
      <c r="C18" s="148" t="s">
        <v>124</v>
      </c>
      <c r="D18" s="147">
        <f>D17*B19</f>
        <v>321</v>
      </c>
      <c r="E18" s="89" t="s">
        <v>515</v>
      </c>
      <c r="F18" s="84">
        <f>F17/10</f>
        <v>10.7</v>
      </c>
      <c r="G18" s="266" t="s">
        <v>523</v>
      </c>
      <c r="H18" s="22">
        <f>B23</f>
        <v>0.3</v>
      </c>
    </row>
    <row r="19" spans="1:8" ht="15.75" thickBot="1" x14ac:dyDescent="0.3">
      <c r="A19" s="117" t="s">
        <v>144</v>
      </c>
      <c r="B19" s="108">
        <v>107</v>
      </c>
      <c r="C19" s="159" t="s">
        <v>143</v>
      </c>
      <c r="D19" s="152">
        <f>D18/3600/24</f>
        <v>3.7152777777777778E-3</v>
      </c>
      <c r="E19" s="208" t="s">
        <v>23</v>
      </c>
      <c r="F19" s="84">
        <f>ROUNDDOWN(F18,0)</f>
        <v>10</v>
      </c>
      <c r="G19" s="266" t="s">
        <v>524</v>
      </c>
      <c r="H19" s="22">
        <f>B21</f>
        <v>107</v>
      </c>
    </row>
    <row r="20" spans="1:8" ht="15.75" thickBot="1" x14ac:dyDescent="0.3">
      <c r="A20" s="117" t="s">
        <v>141</v>
      </c>
      <c r="B20" s="108">
        <v>1</v>
      </c>
      <c r="C20" s="158" t="s">
        <v>140</v>
      </c>
      <c r="D20" s="157"/>
      <c r="E20" s="89"/>
      <c r="F20" s="84"/>
      <c r="G20" s="117" t="s">
        <v>60</v>
      </c>
      <c r="H20" s="83">
        <f>H18*H19*H17</f>
        <v>3.2100000000000004</v>
      </c>
    </row>
    <row r="21" spans="1:8" ht="15.75" thickBot="1" x14ac:dyDescent="0.3">
      <c r="A21" s="125" t="s">
        <v>529</v>
      </c>
      <c r="B21" s="121">
        <f>B19*B20</f>
        <v>107</v>
      </c>
      <c r="C21" s="155" t="s">
        <v>137</v>
      </c>
      <c r="D21" s="154">
        <v>3</v>
      </c>
      <c r="E21" s="164"/>
      <c r="F21" s="163"/>
      <c r="G21" s="266" t="s">
        <v>26</v>
      </c>
      <c r="H21" s="22">
        <v>800</v>
      </c>
    </row>
    <row r="22" spans="1:8" ht="15.75" thickBot="1" x14ac:dyDescent="0.3">
      <c r="A22" s="123" t="s">
        <v>135</v>
      </c>
      <c r="B22" s="145"/>
      <c r="C22" s="148" t="s">
        <v>124</v>
      </c>
      <c r="D22" s="162">
        <f>D21*B19</f>
        <v>321</v>
      </c>
      <c r="E22" s="161" t="s">
        <v>134</v>
      </c>
      <c r="F22" s="160"/>
      <c r="G22" s="266" t="s">
        <v>27</v>
      </c>
      <c r="H22" s="22">
        <f>H21/1000</f>
        <v>0.8</v>
      </c>
    </row>
    <row r="23" spans="1:8" ht="15.75" thickBot="1" x14ac:dyDescent="0.3">
      <c r="A23" s="120" t="s">
        <v>133</v>
      </c>
      <c r="B23" s="112">
        <v>0.3</v>
      </c>
      <c r="C23" s="159" t="s">
        <v>77</v>
      </c>
      <c r="D23" s="152">
        <f>D22/3600/24</f>
        <v>3.7152777777777778E-3</v>
      </c>
      <c r="E23" s="120" t="s">
        <v>530</v>
      </c>
      <c r="F23" s="141">
        <f>B17*B18</f>
        <v>0.03</v>
      </c>
      <c r="G23" s="266" t="s">
        <v>69</v>
      </c>
      <c r="H23" s="22">
        <f>H20/H22</f>
        <v>4.0125000000000002</v>
      </c>
    </row>
    <row r="24" spans="1:8" ht="15.75" thickBot="1" x14ac:dyDescent="0.3">
      <c r="A24" s="117" t="s">
        <v>131</v>
      </c>
      <c r="B24" s="108">
        <f>0.2</f>
        <v>0.2</v>
      </c>
      <c r="C24" s="158" t="s">
        <v>130</v>
      </c>
      <c r="D24" s="157"/>
      <c r="E24" s="125" t="s">
        <v>129</v>
      </c>
      <c r="F24" s="156">
        <v>0.01</v>
      </c>
      <c r="G24" s="266" t="s">
        <v>29</v>
      </c>
      <c r="H24" s="22">
        <v>10</v>
      </c>
    </row>
    <row r="25" spans="1:8" ht="15" x14ac:dyDescent="0.25">
      <c r="A25" s="117" t="s">
        <v>128</v>
      </c>
      <c r="B25" s="108">
        <f>B24*B23</f>
        <v>0.06</v>
      </c>
      <c r="C25" s="155" t="s">
        <v>127</v>
      </c>
      <c r="D25" s="154">
        <v>3</v>
      </c>
      <c r="E25" s="125" t="s">
        <v>126</v>
      </c>
      <c r="F25" s="139">
        <f>F24*F23</f>
        <v>2.9999999999999997E-4</v>
      </c>
      <c r="G25" s="266" t="s">
        <v>30</v>
      </c>
      <c r="H25" s="22">
        <v>6</v>
      </c>
    </row>
    <row r="26" spans="1:8" ht="15.75" thickBot="1" x14ac:dyDescent="0.3">
      <c r="A26" s="125" t="s">
        <v>125</v>
      </c>
      <c r="B26" s="153">
        <f>B25*B19</f>
        <v>6.42</v>
      </c>
      <c r="C26" s="148" t="s">
        <v>124</v>
      </c>
      <c r="D26" s="147">
        <f>D25*B19</f>
        <v>321</v>
      </c>
      <c r="E26" s="117" t="s">
        <v>123</v>
      </c>
      <c r="F26" s="139">
        <f>F25*1000</f>
        <v>0.3</v>
      </c>
      <c r="G26" s="266" t="s">
        <v>31</v>
      </c>
      <c r="H26" s="22">
        <v>6</v>
      </c>
    </row>
    <row r="27" spans="1:8" ht="22.5" customHeight="1" thickBot="1" x14ac:dyDescent="0.3">
      <c r="A27" s="123" t="s">
        <v>122</v>
      </c>
      <c r="B27" s="145"/>
      <c r="C27" s="143" t="s">
        <v>77</v>
      </c>
      <c r="D27" s="152">
        <f>D26/3600/24</f>
        <v>3.7152777777777778E-3</v>
      </c>
      <c r="E27" s="136" t="s">
        <v>116</v>
      </c>
      <c r="F27" s="149">
        <f>15/60/24</f>
        <v>1.0416666666666666E-2</v>
      </c>
      <c r="G27" s="266" t="s">
        <v>32</v>
      </c>
      <c r="H27" s="22">
        <v>6</v>
      </c>
    </row>
    <row r="28" spans="1:8" ht="15.75" thickBot="1" x14ac:dyDescent="0.3">
      <c r="A28" s="117" t="s">
        <v>507</v>
      </c>
      <c r="B28" s="139">
        <f>(2/3)*B17</f>
        <v>7.9999999999999988E-2</v>
      </c>
      <c r="C28" s="123" t="s">
        <v>531</v>
      </c>
      <c r="D28" s="114"/>
      <c r="E28" s="117" t="s">
        <v>119</v>
      </c>
      <c r="F28" s="139">
        <f>F32*F26</f>
        <v>28.799999999999997</v>
      </c>
      <c r="G28" s="266" t="s">
        <v>35</v>
      </c>
      <c r="H28" s="22">
        <f>SUM(H24:H27)</f>
        <v>28</v>
      </c>
    </row>
    <row r="29" spans="1:8" ht="23.25" customHeight="1" thickBot="1" x14ac:dyDescent="0.3">
      <c r="A29" s="117" t="s">
        <v>508</v>
      </c>
      <c r="B29" s="141">
        <f>(B28*B28)/2</f>
        <v>3.1999999999999989E-3</v>
      </c>
      <c r="C29" s="148" t="s">
        <v>114</v>
      </c>
      <c r="D29" s="147">
        <v>30</v>
      </c>
      <c r="E29" s="136" t="s">
        <v>116</v>
      </c>
      <c r="F29" s="149">
        <f>F27*(ROUNDUP(F28/35,0))</f>
        <v>1.0416666666666666E-2</v>
      </c>
      <c r="G29" s="266" t="s">
        <v>64</v>
      </c>
      <c r="H29" s="565">
        <f>60/80</f>
        <v>0.75</v>
      </c>
    </row>
    <row r="30" spans="1:8" ht="15.75" thickBot="1" x14ac:dyDescent="0.3">
      <c r="A30" s="117" t="s">
        <v>509</v>
      </c>
      <c r="B30" s="138">
        <f>B29*B19</f>
        <v>0.34239999999999987</v>
      </c>
      <c r="C30" s="143" t="s">
        <v>110</v>
      </c>
      <c r="D30" s="142">
        <f>(D29)*B41/3600/24</f>
        <v>2.0833333333333333E-3</v>
      </c>
      <c r="E30" s="146" t="s">
        <v>113</v>
      </c>
      <c r="F30" s="145" t="s">
        <v>112</v>
      </c>
      <c r="G30" s="270" t="s">
        <v>65</v>
      </c>
      <c r="H30" s="566">
        <f>80/60</f>
        <v>1.3333333333333333</v>
      </c>
    </row>
    <row r="31" spans="1:8" ht="15.75" thickBot="1" x14ac:dyDescent="0.3">
      <c r="A31" s="117" t="s">
        <v>103</v>
      </c>
      <c r="B31" s="128">
        <f>B25+B29+B43</f>
        <v>6.3199999999999992E-2</v>
      </c>
      <c r="C31" s="127" t="s">
        <v>532</v>
      </c>
      <c r="D31" s="122"/>
      <c r="E31" s="582" t="s">
        <v>109</v>
      </c>
      <c r="F31" s="571">
        <v>30</v>
      </c>
      <c r="G31" s="266" t="s">
        <v>34</v>
      </c>
      <c r="H31" s="22">
        <f>H28*H30</f>
        <v>37.333333333333329</v>
      </c>
    </row>
    <row r="32" spans="1:8" ht="15" x14ac:dyDescent="0.25">
      <c r="A32" s="117" t="s">
        <v>101</v>
      </c>
      <c r="B32" s="108">
        <f>B31*1000</f>
        <v>63.199999999999996</v>
      </c>
      <c r="C32" s="113" t="s">
        <v>104</v>
      </c>
      <c r="D32" s="112">
        <v>5</v>
      </c>
      <c r="E32" s="117" t="s">
        <v>106</v>
      </c>
      <c r="F32" s="139">
        <f>B19-1-F19</f>
        <v>96</v>
      </c>
      <c r="G32" s="266" t="s">
        <v>33</v>
      </c>
      <c r="H32" s="567">
        <f>60/H31</f>
        <v>1.6071428571428574</v>
      </c>
    </row>
    <row r="33" spans="1:8" ht="15.75" thickBot="1" x14ac:dyDescent="0.3">
      <c r="A33" s="136" t="s">
        <v>98</v>
      </c>
      <c r="B33" s="135">
        <f>B26+B30</f>
        <v>6.7623999999999995</v>
      </c>
      <c r="C33" s="104" t="s">
        <v>77</v>
      </c>
      <c r="D33" s="134">
        <f>B40*D32/3600/24</f>
        <v>1.0416666666666667E-3</v>
      </c>
      <c r="E33" s="136" t="s">
        <v>77</v>
      </c>
      <c r="F33" s="149">
        <f>F31*F32/3600/24</f>
        <v>3.3333333333333333E-2</v>
      </c>
      <c r="G33" s="266" t="s">
        <v>36</v>
      </c>
      <c r="H33" s="568">
        <f>H32*60</f>
        <v>96.428571428571445</v>
      </c>
    </row>
    <row r="34" spans="1:8" ht="15.75" thickBot="1" x14ac:dyDescent="0.3">
      <c r="A34" s="123" t="s">
        <v>96</v>
      </c>
      <c r="B34" s="114"/>
      <c r="C34" s="109" t="s">
        <v>100</v>
      </c>
      <c r="D34" s="137">
        <v>5</v>
      </c>
      <c r="E34" s="551"/>
      <c r="F34" s="533"/>
      <c r="G34" s="266" t="s">
        <v>40</v>
      </c>
      <c r="H34" s="22">
        <f>H33*H22</f>
        <v>77.142857142857167</v>
      </c>
    </row>
    <row r="35" spans="1:8" ht="15.75" thickBot="1" x14ac:dyDescent="0.3">
      <c r="A35" s="120" t="s">
        <v>93</v>
      </c>
      <c r="B35" s="112">
        <v>5.5</v>
      </c>
      <c r="C35" s="104" t="s">
        <v>77</v>
      </c>
      <c r="D35" s="134">
        <f>D34*B40/3600/24</f>
        <v>1.0416666666666667E-3</v>
      </c>
      <c r="E35" s="551"/>
      <c r="F35" s="533"/>
      <c r="G35" s="266" t="s">
        <v>39</v>
      </c>
      <c r="H35" s="22">
        <f>H34*H29</f>
        <v>57.857142857142875</v>
      </c>
    </row>
    <row r="36" spans="1:8" ht="15" x14ac:dyDescent="0.25">
      <c r="A36" s="117" t="s">
        <v>92</v>
      </c>
      <c r="B36" s="128">
        <f>B33/B35</f>
        <v>1.2295272727272726</v>
      </c>
      <c r="C36" s="118" t="s">
        <v>95</v>
      </c>
      <c r="D36" s="131">
        <f>D35+D33</f>
        <v>2.0833333333333333E-3</v>
      </c>
      <c r="E36" s="185"/>
      <c r="F36" s="101"/>
      <c r="G36" s="266" t="s">
        <v>67</v>
      </c>
      <c r="H36" s="22">
        <f>H20/H35</f>
        <v>5.5481481481481472E-2</v>
      </c>
    </row>
    <row r="37" spans="1:8" ht="15.75" thickBot="1" x14ac:dyDescent="0.3">
      <c r="A37" s="531" t="s">
        <v>23</v>
      </c>
      <c r="B37" s="128">
        <f>ROUNDUP(B36,0)</f>
        <v>2</v>
      </c>
      <c r="C37" s="118" t="s">
        <v>85</v>
      </c>
      <c r="D37" s="129">
        <f>D36*B41</f>
        <v>1.2500000000000001E-2</v>
      </c>
      <c r="E37" s="185"/>
      <c r="F37" s="101"/>
      <c r="G37" s="265" t="s">
        <v>66</v>
      </c>
      <c r="H37" s="569">
        <f>H36/24</f>
        <v>2.311728395061728E-3</v>
      </c>
    </row>
    <row r="38" spans="1:8" ht="15.75" thickBot="1" x14ac:dyDescent="0.3">
      <c r="A38" s="125" t="s">
        <v>90</v>
      </c>
      <c r="B38" s="121">
        <f>B35/B31</f>
        <v>87.025316455696213</v>
      </c>
      <c r="C38" s="127" t="s">
        <v>533</v>
      </c>
      <c r="D38" s="126"/>
      <c r="E38" s="185"/>
    </row>
    <row r="39" spans="1:8" ht="15.75" thickBot="1" x14ac:dyDescent="0.3">
      <c r="A39" s="123" t="s">
        <v>88</v>
      </c>
      <c r="B39" s="122"/>
      <c r="C39" s="124" t="s">
        <v>536</v>
      </c>
      <c r="D39" s="112">
        <v>10</v>
      </c>
      <c r="E39" s="185"/>
    </row>
    <row r="40" spans="1:8" ht="15.75" x14ac:dyDescent="0.25">
      <c r="A40" s="120" t="s">
        <v>86</v>
      </c>
      <c r="B40" s="119">
        <v>18</v>
      </c>
      <c r="C40" s="106" t="s">
        <v>535</v>
      </c>
      <c r="D40" s="121">
        <v>30</v>
      </c>
      <c r="E40" s="185"/>
      <c r="F40" s="101"/>
      <c r="G40" s="180" t="s">
        <v>102</v>
      </c>
      <c r="H40" s="534">
        <f>D19+D23+D27+D30+D37+D41+D50+F29+F33+H37</f>
        <v>0.1337121913580247</v>
      </c>
    </row>
    <row r="41" spans="1:8" ht="15.75" thickBot="1" x14ac:dyDescent="0.3">
      <c r="A41" s="117" t="s">
        <v>84</v>
      </c>
      <c r="B41" s="116">
        <f>ROUNDUP(B21/B40,0)</f>
        <v>6</v>
      </c>
      <c r="C41" s="118" t="s">
        <v>85</v>
      </c>
      <c r="D41" s="103">
        <f>D40*B21/3600/24</f>
        <v>3.7152777777777778E-2</v>
      </c>
      <c r="E41" s="185"/>
      <c r="F41" s="101"/>
      <c r="G41" s="535" t="s">
        <v>99</v>
      </c>
      <c r="H41" s="536">
        <f>8/5</f>
        <v>1.6</v>
      </c>
    </row>
    <row r="42" spans="1:8" ht="16.5" thickBot="1" x14ac:dyDescent="0.3">
      <c r="A42" s="117"/>
      <c r="B42" s="144"/>
      <c r="C42" s="115" t="s">
        <v>534</v>
      </c>
      <c r="D42" s="114"/>
      <c r="E42" s="185"/>
      <c r="F42" s="101"/>
      <c r="G42" s="237" t="s">
        <v>97</v>
      </c>
      <c r="H42" s="537">
        <f>H40*H41</f>
        <v>0.21393950617283952</v>
      </c>
    </row>
    <row r="43" spans="1:8" ht="15.75" thickBot="1" x14ac:dyDescent="0.3">
      <c r="A43" s="117"/>
      <c r="B43" s="140"/>
      <c r="C43" s="113" t="s">
        <v>541</v>
      </c>
      <c r="D43" s="112">
        <v>8</v>
      </c>
      <c r="E43" s="185"/>
      <c r="F43" s="101"/>
      <c r="G43" s="538" t="s">
        <v>94</v>
      </c>
      <c r="H43" s="539">
        <f>H42/8</f>
        <v>2.674243827160494E-2</v>
      </c>
    </row>
    <row r="44" spans="1:8" ht="15.75" thickBot="1" x14ac:dyDescent="0.3">
      <c r="A44" s="117"/>
      <c r="B44" s="138"/>
      <c r="C44" s="109" t="s">
        <v>81</v>
      </c>
      <c r="D44" s="111">
        <v>2</v>
      </c>
      <c r="E44" s="185"/>
    </row>
    <row r="45" spans="1:8" ht="15.75" thickBot="1" x14ac:dyDescent="0.3">
      <c r="A45" s="107"/>
      <c r="B45" s="102"/>
      <c r="C45" s="109" t="s">
        <v>80</v>
      </c>
      <c r="D45" s="110">
        <f>D43*D44</f>
        <v>16</v>
      </c>
      <c r="E45" s="185"/>
      <c r="F45" s="101"/>
      <c r="G45" s="424" t="s">
        <v>2</v>
      </c>
    </row>
    <row r="46" spans="1:8" ht="15.75" thickBot="1" x14ac:dyDescent="0.3">
      <c r="A46" s="107"/>
      <c r="B46" s="102"/>
      <c r="C46" s="532" t="s">
        <v>542</v>
      </c>
      <c r="D46" s="108">
        <v>1</v>
      </c>
      <c r="E46" s="185"/>
      <c r="F46" s="101"/>
      <c r="G46" s="580">
        <f>H42/B19</f>
        <v>1.9994346371293415E-3</v>
      </c>
    </row>
    <row r="47" spans="1:8" ht="15" x14ac:dyDescent="0.25">
      <c r="A47" s="107"/>
      <c r="B47" s="102"/>
      <c r="C47" s="109" t="s">
        <v>78</v>
      </c>
      <c r="D47" s="108">
        <v>4</v>
      </c>
      <c r="E47" s="550"/>
    </row>
    <row r="48" spans="1:8" ht="15" x14ac:dyDescent="0.25">
      <c r="A48" s="107"/>
      <c r="B48" s="102"/>
      <c r="C48" s="109" t="s">
        <v>77</v>
      </c>
      <c r="D48" s="108">
        <f>D46*D47</f>
        <v>4</v>
      </c>
      <c r="E48" s="41"/>
    </row>
    <row r="49" spans="1:8" ht="15" x14ac:dyDescent="0.25">
      <c r="A49" s="107"/>
      <c r="B49" s="102"/>
      <c r="C49" s="106" t="s">
        <v>76</v>
      </c>
      <c r="D49" s="105">
        <f>D48+D45</f>
        <v>20</v>
      </c>
      <c r="E49" s="41"/>
    </row>
    <row r="50" spans="1:8" ht="15.75" thickBot="1" x14ac:dyDescent="0.3">
      <c r="A50" s="107"/>
      <c r="B50" s="102"/>
      <c r="C50" s="104" t="s">
        <v>75</v>
      </c>
      <c r="D50" s="103">
        <f>D49*B19/3600/24</f>
        <v>2.476851851851852E-2</v>
      </c>
      <c r="E50" s="41"/>
    </row>
    <row r="51" spans="1:8" ht="15" x14ac:dyDescent="0.25">
      <c r="A51" s="107"/>
      <c r="B51" s="102"/>
      <c r="C51" s="151"/>
      <c r="D51" s="150"/>
      <c r="E51" s="41"/>
    </row>
    <row r="52" spans="1:8" x14ac:dyDescent="0.2">
      <c r="A52" s="100" t="s">
        <v>9</v>
      </c>
      <c r="B52" s="99"/>
      <c r="C52" s="99"/>
      <c r="D52" s="99"/>
      <c r="E52" s="99"/>
      <c r="F52" s="98" t="s">
        <v>16</v>
      </c>
      <c r="G52" s="98"/>
      <c r="H52" s="97"/>
    </row>
    <row r="53" spans="1:8" ht="25.5" x14ac:dyDescent="0.2">
      <c r="A53" s="96" t="s">
        <v>4</v>
      </c>
      <c r="B53" s="95" t="s">
        <v>5</v>
      </c>
      <c r="C53" s="95" t="s">
        <v>1</v>
      </c>
      <c r="D53" s="95" t="s">
        <v>6</v>
      </c>
      <c r="E53" s="94" t="s">
        <v>7</v>
      </c>
      <c r="F53" s="93" t="s">
        <v>17</v>
      </c>
      <c r="G53" s="93" t="s">
        <v>18</v>
      </c>
      <c r="H53" s="92" t="s">
        <v>19</v>
      </c>
    </row>
    <row r="54" spans="1:8" ht="15" x14ac:dyDescent="0.25">
      <c r="A54" s="433" t="s">
        <v>527</v>
      </c>
      <c r="B54" s="86">
        <f>B21</f>
        <v>107</v>
      </c>
      <c r="C54" s="517" t="s">
        <v>366</v>
      </c>
      <c r="D54" s="86">
        <v>5.15</v>
      </c>
      <c r="E54" s="404">
        <f>D54*B54</f>
        <v>551.05000000000007</v>
      </c>
      <c r="F54" s="84"/>
      <c r="G54" s="89"/>
      <c r="H54" s="83"/>
    </row>
    <row r="55" spans="1:8" ht="15" x14ac:dyDescent="0.25">
      <c r="A55" s="433" t="s">
        <v>415</v>
      </c>
      <c r="B55" s="86">
        <f>B33</f>
        <v>6.7623999999999995</v>
      </c>
      <c r="C55" s="517" t="s">
        <v>22</v>
      </c>
      <c r="D55" s="86">
        <v>98</v>
      </c>
      <c r="E55" s="404">
        <f>D55*B55</f>
        <v>662.71519999999998</v>
      </c>
      <c r="F55" s="84"/>
      <c r="G55" s="84"/>
      <c r="H55" s="83"/>
    </row>
    <row r="56" spans="1:8" ht="15" x14ac:dyDescent="0.25">
      <c r="A56" s="88" t="s">
        <v>416</v>
      </c>
      <c r="B56" s="86">
        <f>B37</f>
        <v>2</v>
      </c>
      <c r="C56" s="517" t="s">
        <v>417</v>
      </c>
      <c r="D56" s="86">
        <v>110</v>
      </c>
      <c r="E56" s="404">
        <f>D56*B56</f>
        <v>220</v>
      </c>
      <c r="F56" s="84"/>
      <c r="G56" s="84"/>
      <c r="H56" s="83"/>
    </row>
    <row r="57" spans="1:8" ht="15" x14ac:dyDescent="0.25">
      <c r="A57" s="88" t="s">
        <v>418</v>
      </c>
      <c r="B57" s="86">
        <f>ROUNDUP(F28/25,0)</f>
        <v>2</v>
      </c>
      <c r="C57" s="517" t="s">
        <v>419</v>
      </c>
      <c r="D57" s="86">
        <v>3.45</v>
      </c>
      <c r="E57" s="404">
        <f>D57*B57</f>
        <v>6.9</v>
      </c>
      <c r="F57" s="84"/>
      <c r="G57" s="84"/>
      <c r="H57" s="83"/>
    </row>
    <row r="58" spans="1:8" ht="15.75" thickBot="1" x14ac:dyDescent="0.3">
      <c r="A58" s="82"/>
      <c r="B58" s="80"/>
      <c r="C58" s="81"/>
      <c r="D58" s="80" t="str">
        <f>IF(A58="","",VLOOKUP(A58,$O$3:$P$19,2,FALSE))</f>
        <v/>
      </c>
      <c r="E58" s="79" t="str">
        <f>IF(A58="","",B58*D58)</f>
        <v/>
      </c>
      <c r="F58" s="78"/>
      <c r="G58" s="78"/>
      <c r="H58" s="77"/>
    </row>
    <row r="62" spans="1:8" x14ac:dyDescent="0.2">
      <c r="A62">
        <f>B31*20</f>
        <v>1.2639999999999998</v>
      </c>
    </row>
    <row r="63" spans="1:8" x14ac:dyDescent="0.2">
      <c r="A63">
        <f>A62/2</f>
        <v>0.6319999999999999</v>
      </c>
    </row>
    <row r="64" spans="1:8" x14ac:dyDescent="0.2">
      <c r="A64">
        <f>A62+A63</f>
        <v>1.8959999999999997</v>
      </c>
    </row>
  </sheetData>
  <mergeCells count="18">
    <mergeCell ref="A13:H13"/>
    <mergeCell ref="G9:H9"/>
    <mergeCell ref="C9:D9"/>
    <mergeCell ref="C10:D10"/>
    <mergeCell ref="G10:H10"/>
    <mergeCell ref="G11:H11"/>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64" orientation="portrait" r:id="rId1"/>
  <tableParts count="3">
    <tablePart r:id="rId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8"/>
  <sheetViews>
    <sheetView topLeftCell="A34" workbookViewId="0">
      <selection activeCell="B21" sqref="B21"/>
    </sheetView>
  </sheetViews>
  <sheetFormatPr baseColWidth="10" defaultRowHeight="12.75" x14ac:dyDescent="0.2"/>
  <cols>
    <col min="1" max="1" width="25.5703125" customWidth="1"/>
    <col min="2" max="2" width="12" bestFit="1" customWidth="1"/>
    <col min="3" max="3" width="28.85546875" bestFit="1" customWidth="1"/>
    <col min="4" max="4" width="11" bestFit="1" customWidth="1"/>
    <col min="5" max="5" width="19.7109375" bestFit="1" customWidth="1"/>
    <col min="6" max="6" width="11" bestFit="1" customWidth="1"/>
    <col min="7" max="7" width="28.28515625" bestFit="1" customWidth="1"/>
    <col min="8" max="8" width="12"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461</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11</v>
      </c>
      <c r="F4" s="505" t="s">
        <v>73</v>
      </c>
      <c r="G4" s="504" t="s">
        <v>547</v>
      </c>
      <c r="H4" s="506" t="s">
        <v>546</v>
      </c>
    </row>
    <row r="5" spans="1:8" x14ac:dyDescent="0.2">
      <c r="A5" s="1175" t="s">
        <v>14</v>
      </c>
      <c r="B5" s="1176"/>
      <c r="C5" s="1176"/>
      <c r="D5" s="1176"/>
      <c r="E5" s="1176"/>
      <c r="F5" s="1176"/>
      <c r="G5" s="1176"/>
      <c r="H5" s="1177"/>
    </row>
    <row r="6" spans="1:8" ht="71.25" customHeight="1" x14ac:dyDescent="0.2">
      <c r="A6" s="1284" t="s">
        <v>498</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15" x14ac:dyDescent="0.2">
      <c r="A9" s="184" t="s">
        <v>269</v>
      </c>
      <c r="B9" s="86">
        <v>1</v>
      </c>
      <c r="C9" s="1326" t="s">
        <v>342</v>
      </c>
      <c r="D9" s="1327"/>
      <c r="E9" s="86" t="s">
        <v>152</v>
      </c>
      <c r="F9" s="86">
        <v>1</v>
      </c>
      <c r="G9" s="1328" t="s">
        <v>343</v>
      </c>
      <c r="H9" s="1329"/>
    </row>
    <row r="10" spans="1:8" ht="15" x14ac:dyDescent="0.2">
      <c r="A10" s="184" t="s">
        <v>304</v>
      </c>
      <c r="B10" s="86">
        <v>1</v>
      </c>
      <c r="C10" s="1326" t="s">
        <v>342</v>
      </c>
      <c r="D10" s="1327"/>
      <c r="E10" s="86" t="s">
        <v>303</v>
      </c>
      <c r="F10" s="86">
        <v>2</v>
      </c>
      <c r="G10" s="1328" t="s">
        <v>343</v>
      </c>
      <c r="H10" s="1329"/>
    </row>
    <row r="11" spans="1:8" ht="15" x14ac:dyDescent="0.25">
      <c r="A11" s="184"/>
      <c r="B11" s="86"/>
      <c r="C11" s="102"/>
      <c r="D11" s="102"/>
      <c r="E11" s="86" t="s">
        <v>305</v>
      </c>
      <c r="F11" s="86">
        <v>1</v>
      </c>
      <c r="G11" s="1328" t="s">
        <v>310</v>
      </c>
      <c r="H11" s="1329"/>
    </row>
    <row r="12" spans="1:8" ht="14.25" x14ac:dyDescent="0.2">
      <c r="A12" s="31" t="s">
        <v>11</v>
      </c>
      <c r="B12" s="30"/>
      <c r="C12" s="30"/>
      <c r="D12" s="30"/>
      <c r="E12" s="30"/>
      <c r="F12" s="30"/>
      <c r="G12" s="30"/>
      <c r="H12" s="32"/>
    </row>
    <row r="13" spans="1:8" ht="73.5" customHeight="1" x14ac:dyDescent="0.2">
      <c r="A13" s="1330" t="s">
        <v>414</v>
      </c>
      <c r="B13" s="1331"/>
      <c r="C13" s="1331"/>
      <c r="D13" s="1331"/>
      <c r="E13" s="1331"/>
      <c r="F13" s="1331"/>
      <c r="G13" s="1331"/>
      <c r="H13" s="1332"/>
    </row>
    <row r="14" spans="1:8" ht="12.75" customHeight="1" thickBot="1" x14ac:dyDescent="0.3">
      <c r="A14" s="183" t="s">
        <v>20</v>
      </c>
      <c r="B14" s="182"/>
      <c r="C14" s="182"/>
      <c r="D14" s="182"/>
      <c r="E14" s="182"/>
      <c r="F14" s="182"/>
      <c r="G14" s="182"/>
      <c r="H14" s="181"/>
    </row>
    <row r="15" spans="1:8" ht="13.5" thickBot="1" x14ac:dyDescent="0.25">
      <c r="A15" s="180" t="s">
        <v>25</v>
      </c>
      <c r="B15" s="179" t="s">
        <v>0</v>
      </c>
      <c r="C15" s="178" t="s">
        <v>25</v>
      </c>
      <c r="D15" s="177" t="s">
        <v>0</v>
      </c>
      <c r="E15" s="175" t="s">
        <v>25</v>
      </c>
      <c r="F15" s="174" t="s">
        <v>0</v>
      </c>
      <c r="G15" s="552" t="s">
        <v>307</v>
      </c>
      <c r="H15" s="552" t="s">
        <v>308</v>
      </c>
    </row>
    <row r="16" spans="1:8" ht="15.75" thickBot="1" x14ac:dyDescent="0.3">
      <c r="A16" s="173" t="s">
        <v>528</v>
      </c>
      <c r="B16" s="172"/>
      <c r="C16" s="171" t="s">
        <v>151</v>
      </c>
      <c r="D16" s="157"/>
      <c r="E16" s="369"/>
      <c r="F16" s="168"/>
      <c r="G16" s="581" t="s">
        <v>521</v>
      </c>
      <c r="H16" s="562"/>
    </row>
    <row r="17" spans="1:11" ht="15" x14ac:dyDescent="0.25">
      <c r="A17" s="167" t="s">
        <v>149</v>
      </c>
      <c r="B17" s="112">
        <v>0.12</v>
      </c>
      <c r="C17" s="112" t="s">
        <v>148</v>
      </c>
      <c r="D17" s="112">
        <v>3</v>
      </c>
      <c r="E17" s="166"/>
      <c r="F17" s="84"/>
      <c r="G17" s="563" t="s">
        <v>522</v>
      </c>
      <c r="H17" s="564">
        <f>B24/2</f>
        <v>0.1</v>
      </c>
    </row>
    <row r="18" spans="1:11" ht="15.75" thickBot="1" x14ac:dyDescent="0.3">
      <c r="A18" s="136" t="s">
        <v>146</v>
      </c>
      <c r="B18" s="165">
        <v>0.4</v>
      </c>
      <c r="C18" s="148" t="s">
        <v>124</v>
      </c>
      <c r="D18" s="147">
        <f>D17*B19</f>
        <v>33</v>
      </c>
      <c r="E18" s="89"/>
      <c r="F18" s="84"/>
      <c r="G18" s="266" t="s">
        <v>523</v>
      </c>
      <c r="H18" s="22">
        <f>B23</f>
        <v>0.5</v>
      </c>
    </row>
    <row r="19" spans="1:11" ht="15.75" thickBot="1" x14ac:dyDescent="0.3">
      <c r="A19" s="117" t="s">
        <v>144</v>
      </c>
      <c r="B19" s="108">
        <v>11</v>
      </c>
      <c r="C19" s="159" t="s">
        <v>143</v>
      </c>
      <c r="D19" s="152">
        <f>D18/3600/24</f>
        <v>3.8194444444444446E-4</v>
      </c>
      <c r="E19" s="208"/>
      <c r="F19" s="84"/>
      <c r="G19" s="266" t="s">
        <v>524</v>
      </c>
      <c r="H19" s="22">
        <f>B21</f>
        <v>11</v>
      </c>
    </row>
    <row r="20" spans="1:11" ht="15.75" thickBot="1" x14ac:dyDescent="0.3">
      <c r="A20" s="117" t="s">
        <v>141</v>
      </c>
      <c r="B20" s="108">
        <v>1</v>
      </c>
      <c r="C20" s="158" t="s">
        <v>140</v>
      </c>
      <c r="D20" s="157"/>
      <c r="E20" s="89"/>
      <c r="F20" s="84"/>
      <c r="G20" s="117" t="s">
        <v>60</v>
      </c>
      <c r="H20" s="83">
        <f>H18*H19*H17</f>
        <v>0.55000000000000004</v>
      </c>
    </row>
    <row r="21" spans="1:11" ht="15.75" thickBot="1" x14ac:dyDescent="0.3">
      <c r="A21" s="125" t="s">
        <v>529</v>
      </c>
      <c r="B21" s="121">
        <f>B19*B20</f>
        <v>11</v>
      </c>
      <c r="C21" s="155" t="s">
        <v>137</v>
      </c>
      <c r="D21" s="154">
        <v>3</v>
      </c>
      <c r="E21" s="164"/>
      <c r="F21" s="163"/>
      <c r="G21" s="266" t="s">
        <v>26</v>
      </c>
      <c r="H21" s="22">
        <v>800</v>
      </c>
    </row>
    <row r="22" spans="1:11" ht="15.75" thickBot="1" x14ac:dyDescent="0.3">
      <c r="A22" s="123" t="s">
        <v>135</v>
      </c>
      <c r="B22" s="145"/>
      <c r="C22" s="148" t="s">
        <v>124</v>
      </c>
      <c r="D22" s="162">
        <f>D21*B19</f>
        <v>33</v>
      </c>
      <c r="E22" s="161" t="s">
        <v>134</v>
      </c>
      <c r="F22" s="160"/>
      <c r="G22" s="266" t="s">
        <v>27</v>
      </c>
      <c r="H22" s="22">
        <f>H21/1000</f>
        <v>0.8</v>
      </c>
    </row>
    <row r="23" spans="1:11" ht="15.75" thickBot="1" x14ac:dyDescent="0.3">
      <c r="A23" s="120" t="s">
        <v>133</v>
      </c>
      <c r="B23" s="112">
        <v>0.5</v>
      </c>
      <c r="C23" s="159" t="s">
        <v>77</v>
      </c>
      <c r="D23" s="152">
        <f>D22/3600/24</f>
        <v>3.8194444444444446E-4</v>
      </c>
      <c r="E23" s="120" t="s">
        <v>530</v>
      </c>
      <c r="F23" s="141">
        <f>B17*B18</f>
        <v>4.8000000000000001E-2</v>
      </c>
      <c r="G23" s="266" t="s">
        <v>69</v>
      </c>
      <c r="H23" s="22">
        <f>H20/H22</f>
        <v>0.6875</v>
      </c>
    </row>
    <row r="24" spans="1:11" ht="15.75" thickBot="1" x14ac:dyDescent="0.3">
      <c r="A24" s="117" t="s">
        <v>131</v>
      </c>
      <c r="B24" s="108">
        <f>0.2</f>
        <v>0.2</v>
      </c>
      <c r="C24" s="158" t="s">
        <v>130</v>
      </c>
      <c r="D24" s="157"/>
      <c r="E24" s="125" t="s">
        <v>129</v>
      </c>
      <c r="F24" s="156">
        <v>0.01</v>
      </c>
      <c r="G24" s="266" t="s">
        <v>29</v>
      </c>
      <c r="H24" s="22">
        <v>10</v>
      </c>
    </row>
    <row r="25" spans="1:11" ht="15" x14ac:dyDescent="0.25">
      <c r="A25" s="117" t="s">
        <v>128</v>
      </c>
      <c r="B25" s="108">
        <f>B24*B23</f>
        <v>0.1</v>
      </c>
      <c r="C25" s="155" t="s">
        <v>127</v>
      </c>
      <c r="D25" s="154">
        <v>3</v>
      </c>
      <c r="E25" s="125" t="s">
        <v>126</v>
      </c>
      <c r="F25" s="139">
        <f>F24*F23</f>
        <v>4.8000000000000001E-4</v>
      </c>
      <c r="G25" s="266" t="s">
        <v>30</v>
      </c>
      <c r="H25" s="22">
        <v>6</v>
      </c>
    </row>
    <row r="26" spans="1:11" ht="15.75" thickBot="1" x14ac:dyDescent="0.3">
      <c r="A26" s="125" t="s">
        <v>125</v>
      </c>
      <c r="B26" s="153">
        <f>B25*B19</f>
        <v>1.1000000000000001</v>
      </c>
      <c r="C26" s="148" t="s">
        <v>124</v>
      </c>
      <c r="D26" s="147">
        <f>D25*B19</f>
        <v>33</v>
      </c>
      <c r="E26" s="117" t="s">
        <v>123</v>
      </c>
      <c r="F26" s="139">
        <f>F25*1000</f>
        <v>0.48000000000000004</v>
      </c>
      <c r="G26" s="266" t="s">
        <v>31</v>
      </c>
      <c r="H26" s="22">
        <v>6</v>
      </c>
    </row>
    <row r="27" spans="1:11" ht="22.5" customHeight="1" thickBot="1" x14ac:dyDescent="0.3">
      <c r="A27" s="123" t="s">
        <v>122</v>
      </c>
      <c r="B27" s="145"/>
      <c r="C27" s="143" t="s">
        <v>77</v>
      </c>
      <c r="D27" s="152">
        <f>D26/3600/24</f>
        <v>3.8194444444444446E-4</v>
      </c>
      <c r="E27" s="136" t="s">
        <v>116</v>
      </c>
      <c r="F27" s="149">
        <f>15/60/24</f>
        <v>1.0416666666666666E-2</v>
      </c>
      <c r="G27" s="266" t="s">
        <v>32</v>
      </c>
      <c r="H27" s="22">
        <v>6</v>
      </c>
    </row>
    <row r="28" spans="1:11" ht="15.75" thickBot="1" x14ac:dyDescent="0.3">
      <c r="A28" s="117" t="s">
        <v>507</v>
      </c>
      <c r="B28" s="139">
        <f>(2/3)*B17</f>
        <v>7.9999999999999988E-2</v>
      </c>
      <c r="C28" s="123" t="s">
        <v>531</v>
      </c>
      <c r="D28" s="114"/>
      <c r="E28" s="117" t="s">
        <v>119</v>
      </c>
      <c r="F28" s="139">
        <f>F32*F26</f>
        <v>4.8000000000000007</v>
      </c>
      <c r="G28" s="266" t="s">
        <v>35</v>
      </c>
      <c r="H28" s="22">
        <f>SUM(H24:H27)</f>
        <v>28</v>
      </c>
    </row>
    <row r="29" spans="1:11" ht="23.25" customHeight="1" thickBot="1" x14ac:dyDescent="0.3">
      <c r="A29" s="117" t="s">
        <v>508</v>
      </c>
      <c r="B29" s="141">
        <f>(B28*B28)/2</f>
        <v>3.1999999999999989E-3</v>
      </c>
      <c r="C29" s="148" t="s">
        <v>114</v>
      </c>
      <c r="D29" s="147">
        <v>30</v>
      </c>
      <c r="E29" s="136" t="s">
        <v>116</v>
      </c>
      <c r="F29" s="149">
        <f>F27*(ROUNDUP(F28/35,0))</f>
        <v>1.0416666666666666E-2</v>
      </c>
      <c r="G29" s="266" t="s">
        <v>64</v>
      </c>
      <c r="H29" s="565">
        <f>60/80</f>
        <v>0.75</v>
      </c>
      <c r="K29" s="584"/>
    </row>
    <row r="30" spans="1:11" ht="15.75" thickBot="1" x14ac:dyDescent="0.3">
      <c r="A30" s="117" t="s">
        <v>509</v>
      </c>
      <c r="B30" s="138">
        <f>B29*B19</f>
        <v>3.5199999999999988E-2</v>
      </c>
      <c r="C30" s="143" t="s">
        <v>110</v>
      </c>
      <c r="D30" s="142">
        <f>(D29)*B46/3600/24</f>
        <v>3.4722222222222224E-4</v>
      </c>
      <c r="E30" s="146" t="s">
        <v>113</v>
      </c>
      <c r="F30" s="145" t="s">
        <v>112</v>
      </c>
      <c r="G30" s="270" t="s">
        <v>65</v>
      </c>
      <c r="H30" s="566">
        <f>80/60</f>
        <v>1.3333333333333333</v>
      </c>
      <c r="K30" s="406"/>
    </row>
    <row r="31" spans="1:11" ht="15.75" thickBot="1" x14ac:dyDescent="0.3">
      <c r="A31" s="117" t="s">
        <v>103</v>
      </c>
      <c r="B31" s="128">
        <f>B25+B29+B48</f>
        <v>0.1032</v>
      </c>
      <c r="C31" s="127" t="s">
        <v>532</v>
      </c>
      <c r="D31" s="122"/>
      <c r="E31" s="582" t="s">
        <v>109</v>
      </c>
      <c r="F31" s="571">
        <v>30</v>
      </c>
      <c r="G31" s="266" t="s">
        <v>34</v>
      </c>
      <c r="H31" s="22">
        <f>H28*H30</f>
        <v>37.333333333333329</v>
      </c>
    </row>
    <row r="32" spans="1:11" ht="15" x14ac:dyDescent="0.25">
      <c r="A32" s="117" t="s">
        <v>101</v>
      </c>
      <c r="B32" s="108">
        <f>B31*1000</f>
        <v>103.2</v>
      </c>
      <c r="C32" s="113" t="s">
        <v>104</v>
      </c>
      <c r="D32" s="112">
        <v>5</v>
      </c>
      <c r="E32" s="117" t="s">
        <v>106</v>
      </c>
      <c r="F32" s="139">
        <f>B19-1-F19</f>
        <v>10</v>
      </c>
      <c r="G32" s="266" t="s">
        <v>33</v>
      </c>
      <c r="H32" s="567">
        <f>60/H31</f>
        <v>1.6071428571428574</v>
      </c>
    </row>
    <row r="33" spans="1:8" ht="15.75" thickBot="1" x14ac:dyDescent="0.3">
      <c r="A33" s="117" t="s">
        <v>510</v>
      </c>
      <c r="B33" s="144">
        <f>(2/3)*B17</f>
        <v>7.9999999999999988E-2</v>
      </c>
      <c r="C33" s="104" t="s">
        <v>77</v>
      </c>
      <c r="D33" s="134">
        <f>B45*D32/3600/24</f>
        <v>1.0416666666666667E-3</v>
      </c>
      <c r="E33" s="136" t="s">
        <v>77</v>
      </c>
      <c r="F33" s="149">
        <f>F31*F32/3600/24</f>
        <v>3.472222222222222E-3</v>
      </c>
      <c r="G33" s="266" t="s">
        <v>36</v>
      </c>
      <c r="H33" s="568">
        <f>H32*60</f>
        <v>96.428571428571445</v>
      </c>
    </row>
    <row r="34" spans="1:8" ht="15" x14ac:dyDescent="0.25">
      <c r="A34" s="117" t="s">
        <v>511</v>
      </c>
      <c r="B34" s="140">
        <f>(B33*B33)/2</f>
        <v>3.1999999999999989E-3</v>
      </c>
      <c r="C34" s="109" t="s">
        <v>100</v>
      </c>
      <c r="D34" s="137">
        <v>5</v>
      </c>
      <c r="E34" s="551"/>
      <c r="F34" s="533"/>
      <c r="G34" s="266" t="s">
        <v>40</v>
      </c>
      <c r="H34" s="22">
        <f>H33*H22</f>
        <v>77.142857142857167</v>
      </c>
    </row>
    <row r="35" spans="1:8" ht="15.75" thickBot="1" x14ac:dyDescent="0.3">
      <c r="A35" s="117" t="s">
        <v>512</v>
      </c>
      <c r="B35" s="138">
        <f>B34*B19</f>
        <v>3.5199999999999988E-2</v>
      </c>
      <c r="C35" s="104" t="s">
        <v>77</v>
      </c>
      <c r="D35" s="134">
        <f>D34*B45/3600/24</f>
        <v>1.0416666666666667E-3</v>
      </c>
      <c r="E35" s="551"/>
      <c r="F35" s="533"/>
      <c r="G35" s="266" t="s">
        <v>39</v>
      </c>
      <c r="H35" s="22">
        <f>H34*H29</f>
        <v>57.857142857142875</v>
      </c>
    </row>
    <row r="36" spans="1:8" ht="15" x14ac:dyDescent="0.25">
      <c r="A36" s="117" t="s">
        <v>103</v>
      </c>
      <c r="B36" s="128">
        <f>B27+B31+B34</f>
        <v>0.10639999999999999</v>
      </c>
      <c r="C36" s="118" t="s">
        <v>95</v>
      </c>
      <c r="D36" s="131">
        <f>D35+D33</f>
        <v>2.0833333333333333E-3</v>
      </c>
      <c r="E36" s="185"/>
      <c r="F36" s="101"/>
      <c r="G36" s="266" t="s">
        <v>67</v>
      </c>
      <c r="H36" s="22">
        <f>H20/H35</f>
        <v>9.5061728395061714E-3</v>
      </c>
    </row>
    <row r="37" spans="1:8" ht="15.75" thickBot="1" x14ac:dyDescent="0.3">
      <c r="A37" s="117" t="s">
        <v>101</v>
      </c>
      <c r="B37" s="108">
        <f>B36*1000</f>
        <v>106.39999999999999</v>
      </c>
      <c r="C37" s="118" t="s">
        <v>85</v>
      </c>
      <c r="D37" s="129">
        <f>D36*B46</f>
        <v>2.0833333333333333E-3</v>
      </c>
      <c r="E37" s="185"/>
      <c r="F37" s="101"/>
      <c r="G37" s="265" t="s">
        <v>66</v>
      </c>
      <c r="H37" s="569">
        <f>H36/24</f>
        <v>3.9609053497942381E-4</v>
      </c>
    </row>
    <row r="38" spans="1:8" ht="15.75" thickBot="1" x14ac:dyDescent="0.3">
      <c r="A38" s="136" t="s">
        <v>98</v>
      </c>
      <c r="B38" s="135">
        <f>B26+B30+B35</f>
        <v>1.1703999999999999</v>
      </c>
      <c r="C38" s="127" t="s">
        <v>533</v>
      </c>
      <c r="D38" s="126"/>
      <c r="E38" s="185"/>
    </row>
    <row r="39" spans="1:8" ht="15.75" thickBot="1" x14ac:dyDescent="0.3">
      <c r="A39" s="123" t="s">
        <v>96</v>
      </c>
      <c r="B39" s="114"/>
      <c r="C39" s="124" t="s">
        <v>543</v>
      </c>
      <c r="D39" s="112">
        <v>10</v>
      </c>
      <c r="E39" s="185"/>
    </row>
    <row r="40" spans="1:8" ht="15.75" x14ac:dyDescent="0.25">
      <c r="A40" s="120" t="s">
        <v>93</v>
      </c>
      <c r="B40" s="112">
        <v>5.5</v>
      </c>
      <c r="C40" s="106" t="s">
        <v>535</v>
      </c>
      <c r="D40" s="121">
        <v>30</v>
      </c>
      <c r="E40" s="185"/>
      <c r="F40" s="101"/>
      <c r="G40" s="180" t="s">
        <v>102</v>
      </c>
      <c r="H40" s="534">
        <f>D19+D23+D27+D30+D37+D41+D50+F29+F33+H37</f>
        <v>2.4736368312757204E-2</v>
      </c>
    </row>
    <row r="41" spans="1:8" ht="15.75" thickBot="1" x14ac:dyDescent="0.3">
      <c r="A41" s="117" t="s">
        <v>92</v>
      </c>
      <c r="B41" s="128">
        <f>B38/B40</f>
        <v>0.21279999999999999</v>
      </c>
      <c r="C41" s="118" t="s">
        <v>85</v>
      </c>
      <c r="D41" s="103">
        <f>D40*B21/3600/24</f>
        <v>3.8194444444444443E-3</v>
      </c>
      <c r="E41" s="185"/>
      <c r="F41" s="101"/>
      <c r="G41" s="535" t="s">
        <v>99</v>
      </c>
      <c r="H41" s="536">
        <f>8/5</f>
        <v>1.6</v>
      </c>
    </row>
    <row r="42" spans="1:8" ht="16.5" thickBot="1" x14ac:dyDescent="0.3">
      <c r="A42" s="531" t="s">
        <v>23</v>
      </c>
      <c r="B42" s="128">
        <f>ROUNDUP(B41,0)</f>
        <v>1</v>
      </c>
      <c r="C42" s="115" t="s">
        <v>534</v>
      </c>
      <c r="D42" s="114"/>
      <c r="E42" s="185"/>
      <c r="F42" s="101"/>
      <c r="G42" s="237" t="s">
        <v>97</v>
      </c>
      <c r="H42" s="537">
        <f>H40*H41</f>
        <v>3.9578189300411529E-2</v>
      </c>
    </row>
    <row r="43" spans="1:8" ht="27" thickBot="1" x14ac:dyDescent="0.3">
      <c r="A43" s="125" t="s">
        <v>90</v>
      </c>
      <c r="B43" s="121">
        <f>B40/B31</f>
        <v>53.29457364341085</v>
      </c>
      <c r="C43" s="113" t="s">
        <v>505</v>
      </c>
      <c r="D43" s="112">
        <v>8</v>
      </c>
      <c r="E43" s="185"/>
      <c r="F43" s="101"/>
      <c r="G43" s="538" t="s">
        <v>94</v>
      </c>
      <c r="H43" s="539">
        <f>H42/8</f>
        <v>4.9472736625514411E-3</v>
      </c>
    </row>
    <row r="44" spans="1:8" ht="15.75" thickBot="1" x14ac:dyDescent="0.3">
      <c r="A44" s="123" t="s">
        <v>88</v>
      </c>
      <c r="B44" s="122"/>
      <c r="C44" s="109" t="s">
        <v>81</v>
      </c>
      <c r="D44" s="111">
        <v>2</v>
      </c>
      <c r="E44" s="185"/>
    </row>
    <row r="45" spans="1:8" ht="15.75" thickBot="1" x14ac:dyDescent="0.3">
      <c r="A45" s="120" t="s">
        <v>86</v>
      </c>
      <c r="B45" s="119">
        <v>18</v>
      </c>
      <c r="C45" s="109" t="s">
        <v>80</v>
      </c>
      <c r="D45" s="110">
        <f>D43*D44</f>
        <v>16</v>
      </c>
      <c r="E45" s="185"/>
      <c r="F45" s="101"/>
      <c r="G45" s="424" t="s">
        <v>2</v>
      </c>
    </row>
    <row r="46" spans="1:8" ht="27" thickBot="1" x14ac:dyDescent="0.3">
      <c r="A46" s="117" t="s">
        <v>84</v>
      </c>
      <c r="B46" s="116">
        <f>ROUNDUP(B21/B45,0)</f>
        <v>1</v>
      </c>
      <c r="C46" s="532" t="s">
        <v>506</v>
      </c>
      <c r="D46" s="108">
        <v>2</v>
      </c>
      <c r="E46" s="185"/>
      <c r="F46" s="101"/>
      <c r="G46" s="580">
        <f>H42/B19</f>
        <v>3.5980172091283208E-3</v>
      </c>
    </row>
    <row r="47" spans="1:8" ht="15" x14ac:dyDescent="0.25">
      <c r="A47" s="117"/>
      <c r="B47" s="144"/>
      <c r="C47" s="109" t="s">
        <v>78</v>
      </c>
      <c r="D47" s="108">
        <v>4</v>
      </c>
      <c r="E47" s="550"/>
    </row>
    <row r="48" spans="1:8" ht="15" x14ac:dyDescent="0.25">
      <c r="A48" s="117"/>
      <c r="B48" s="140"/>
      <c r="C48" s="109" t="s">
        <v>77</v>
      </c>
      <c r="D48" s="108">
        <f>D46*D47</f>
        <v>8</v>
      </c>
      <c r="E48" s="41"/>
    </row>
    <row r="49" spans="1:8" ht="15" x14ac:dyDescent="0.25">
      <c r="A49" s="117"/>
      <c r="B49" s="138"/>
      <c r="C49" s="106" t="s">
        <v>76</v>
      </c>
      <c r="D49" s="105">
        <f>D48+D45</f>
        <v>24</v>
      </c>
      <c r="E49" s="41"/>
    </row>
    <row r="50" spans="1:8" ht="15.75" thickBot="1" x14ac:dyDescent="0.3">
      <c r="A50" s="107"/>
      <c r="B50" s="102"/>
      <c r="C50" s="104" t="s">
        <v>75</v>
      </c>
      <c r="D50" s="103">
        <f>D49*B19/3600/24</f>
        <v>3.0555555555555557E-3</v>
      </c>
      <c r="E50" s="41"/>
    </row>
    <row r="51" spans="1:8" ht="15" x14ac:dyDescent="0.25">
      <c r="A51" s="107"/>
      <c r="B51" s="102"/>
      <c r="C51" s="151"/>
      <c r="D51" s="150"/>
      <c r="E51" s="41"/>
    </row>
    <row r="52" spans="1:8" x14ac:dyDescent="0.2">
      <c r="A52" s="100" t="s">
        <v>9</v>
      </c>
      <c r="B52" s="99"/>
      <c r="C52" s="99"/>
      <c r="D52" s="99"/>
      <c r="E52" s="99"/>
      <c r="F52" s="98" t="s">
        <v>16</v>
      </c>
      <c r="G52" s="98"/>
      <c r="H52" s="97"/>
    </row>
    <row r="53" spans="1:8" ht="25.5" x14ac:dyDescent="0.2">
      <c r="A53" s="96" t="s">
        <v>4</v>
      </c>
      <c r="B53" s="95" t="s">
        <v>5</v>
      </c>
      <c r="C53" s="95" t="s">
        <v>1</v>
      </c>
      <c r="D53" s="95" t="s">
        <v>6</v>
      </c>
      <c r="E53" s="94" t="s">
        <v>7</v>
      </c>
      <c r="F53" s="93" t="s">
        <v>17</v>
      </c>
      <c r="G53" s="93" t="s">
        <v>18</v>
      </c>
      <c r="H53" s="92" t="s">
        <v>19</v>
      </c>
    </row>
    <row r="54" spans="1:8" ht="15" x14ac:dyDescent="0.25">
      <c r="A54" s="583" t="s">
        <v>540</v>
      </c>
      <c r="B54" s="86">
        <f>B21</f>
        <v>11</v>
      </c>
      <c r="C54" s="517" t="s">
        <v>366</v>
      </c>
      <c r="D54" s="86">
        <v>5.15</v>
      </c>
      <c r="E54" s="404">
        <f>D54*B54</f>
        <v>56.650000000000006</v>
      </c>
      <c r="F54" s="84"/>
      <c r="G54" s="89"/>
      <c r="H54" s="83"/>
    </row>
    <row r="55" spans="1:8" ht="15" x14ac:dyDescent="0.25">
      <c r="A55" s="433" t="s">
        <v>415</v>
      </c>
      <c r="B55" s="86">
        <f>B38</f>
        <v>1.1703999999999999</v>
      </c>
      <c r="C55" s="517" t="s">
        <v>22</v>
      </c>
      <c r="D55" s="86">
        <v>98</v>
      </c>
      <c r="E55" s="404">
        <f>D55*B55</f>
        <v>114.69919999999999</v>
      </c>
      <c r="F55" s="84"/>
      <c r="G55" s="84"/>
      <c r="H55" s="83"/>
    </row>
    <row r="56" spans="1:8" ht="15" x14ac:dyDescent="0.25">
      <c r="A56" s="88" t="s">
        <v>416</v>
      </c>
      <c r="B56" s="86">
        <f>B42</f>
        <v>1</v>
      </c>
      <c r="C56" s="517" t="s">
        <v>417</v>
      </c>
      <c r="D56" s="86">
        <v>110</v>
      </c>
      <c r="E56" s="404">
        <f>D56*B56</f>
        <v>110</v>
      </c>
      <c r="F56" s="84"/>
      <c r="G56" s="84"/>
      <c r="H56" s="83"/>
    </row>
    <row r="57" spans="1:8" ht="15" x14ac:dyDescent="0.25">
      <c r="A57" s="88" t="s">
        <v>418</v>
      </c>
      <c r="B57" s="86">
        <f>ROUNDUP(F28/25,0)</f>
        <v>1</v>
      </c>
      <c r="C57" s="517" t="s">
        <v>419</v>
      </c>
      <c r="D57" s="86">
        <v>3.45</v>
      </c>
      <c r="E57" s="404">
        <f>D57*B57</f>
        <v>3.45</v>
      </c>
      <c r="F57" s="84"/>
      <c r="G57" s="84"/>
      <c r="H57" s="83"/>
    </row>
    <row r="58" spans="1:8" ht="15.75" thickBot="1" x14ac:dyDescent="0.3">
      <c r="A58" s="82"/>
      <c r="B58" s="80"/>
      <c r="C58" s="81"/>
      <c r="D58" s="80" t="str">
        <f>IF(A58="","",VLOOKUP(A58,$O$3:$P$19,2,FALSE))</f>
        <v/>
      </c>
      <c r="E58" s="79" t="str">
        <f>IF(A58="","",B58*D58)</f>
        <v/>
      </c>
      <c r="F58" s="78"/>
      <c r="G58" s="78"/>
      <c r="H58" s="77"/>
    </row>
  </sheetData>
  <mergeCells count="18">
    <mergeCell ref="A13:H13"/>
    <mergeCell ref="G9:H9"/>
    <mergeCell ref="C9:D9"/>
    <mergeCell ref="C10:D10"/>
    <mergeCell ref="G10:H10"/>
    <mergeCell ref="G11:H11"/>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68" orientation="portrait" r:id="rId1"/>
  <tableParts count="3">
    <tablePart r:id="rId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5"/>
  <sheetViews>
    <sheetView workbookViewId="0">
      <selection activeCell="B71" sqref="B71"/>
    </sheetView>
  </sheetViews>
  <sheetFormatPr baseColWidth="10" defaultRowHeight="12.75" x14ac:dyDescent="0.2"/>
  <cols>
    <col min="1" max="1" width="28.85546875" customWidth="1"/>
    <col min="2" max="2" width="12.7109375" bestFit="1" customWidth="1"/>
    <col min="3" max="3" width="26" customWidth="1"/>
    <col min="4" max="4" width="12" bestFit="1" customWidth="1"/>
    <col min="5" max="5" width="28.42578125" customWidth="1"/>
    <col min="6" max="6" width="20.7109375" customWidth="1"/>
    <col min="7" max="7" width="13.85546875" bestFit="1" customWidth="1"/>
    <col min="8" max="8" width="15.7109375" bestFit="1" customWidth="1"/>
  </cols>
  <sheetData>
    <row r="1" spans="1:8" ht="15.75" x14ac:dyDescent="0.25">
      <c r="A1" s="1157" t="s">
        <v>12</v>
      </c>
      <c r="B1" s="1158"/>
      <c r="C1" s="1159"/>
      <c r="D1" s="1157" t="s">
        <v>13</v>
      </c>
      <c r="E1" s="1158"/>
      <c r="F1" s="1158"/>
      <c r="G1" s="1158"/>
      <c r="H1" s="1160"/>
    </row>
    <row r="2" spans="1:8" ht="24" customHeight="1" thickBot="1" x14ac:dyDescent="0.25">
      <c r="A2" s="1161" t="s">
        <v>548</v>
      </c>
      <c r="B2" s="1162"/>
      <c r="C2" s="1163"/>
      <c r="D2" s="1307" t="s">
        <v>462</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455</v>
      </c>
      <c r="F4" s="505" t="s">
        <v>449</v>
      </c>
      <c r="G4" s="504"/>
      <c r="H4" s="506"/>
    </row>
    <row r="5" spans="1:8" x14ac:dyDescent="0.2">
      <c r="A5" s="1175" t="s">
        <v>14</v>
      </c>
      <c r="B5" s="1176"/>
      <c r="C5" s="1176"/>
      <c r="D5" s="1176"/>
      <c r="E5" s="1176"/>
      <c r="F5" s="1176"/>
      <c r="G5" s="1176"/>
      <c r="H5" s="1177"/>
    </row>
    <row r="6" spans="1:8" ht="102" customHeight="1" x14ac:dyDescent="0.2">
      <c r="A6" s="1284" t="s">
        <v>463</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39" t="s">
        <v>4</v>
      </c>
      <c r="F8" s="5" t="s">
        <v>0</v>
      </c>
      <c r="G8" s="1181" t="s">
        <v>15</v>
      </c>
      <c r="H8" s="1182"/>
    </row>
    <row r="9" spans="1:8" x14ac:dyDescent="0.2">
      <c r="A9" s="20" t="s">
        <v>297</v>
      </c>
      <c r="B9" s="1">
        <v>1</v>
      </c>
      <c r="C9" s="1186" t="s">
        <v>382</v>
      </c>
      <c r="D9" s="1187"/>
      <c r="E9" s="1" t="s">
        <v>296</v>
      </c>
      <c r="F9" s="1">
        <v>1</v>
      </c>
      <c r="G9" s="1186" t="s">
        <v>300</v>
      </c>
      <c r="H9" s="1336"/>
    </row>
    <row r="10" spans="1:8" x14ac:dyDescent="0.2">
      <c r="A10" s="20" t="s">
        <v>269</v>
      </c>
      <c r="B10" s="1">
        <v>1</v>
      </c>
      <c r="C10" s="1186" t="s">
        <v>383</v>
      </c>
      <c r="D10" s="1187"/>
      <c r="E10" s="1" t="s">
        <v>305</v>
      </c>
      <c r="F10" s="1">
        <v>1</v>
      </c>
      <c r="G10" s="1186" t="s">
        <v>310</v>
      </c>
      <c r="H10" s="1336"/>
    </row>
    <row r="11" spans="1:8" x14ac:dyDescent="0.2">
      <c r="A11" s="20" t="s">
        <v>295</v>
      </c>
      <c r="B11" s="1">
        <v>1</v>
      </c>
      <c r="C11" s="1186" t="s">
        <v>384</v>
      </c>
      <c r="D11" s="1187"/>
      <c r="E11" s="1" t="s">
        <v>381</v>
      </c>
      <c r="F11" s="1">
        <v>1</v>
      </c>
      <c r="G11" s="1186" t="s">
        <v>301</v>
      </c>
      <c r="H11" s="1336"/>
    </row>
    <row r="12" spans="1:8" ht="62.25" customHeight="1" x14ac:dyDescent="0.2">
      <c r="A12" s="20" t="s">
        <v>304</v>
      </c>
      <c r="B12" s="1">
        <v>2</v>
      </c>
      <c r="C12" s="1186" t="s">
        <v>385</v>
      </c>
      <c r="D12" s="1187"/>
      <c r="E12" s="1" t="s">
        <v>306</v>
      </c>
      <c r="F12" s="1">
        <v>1</v>
      </c>
      <c r="G12" s="1186" t="s">
        <v>311</v>
      </c>
      <c r="H12" s="1336"/>
    </row>
    <row r="13" spans="1:8" ht="14.25" x14ac:dyDescent="0.2">
      <c r="A13" s="1333" t="s">
        <v>11</v>
      </c>
      <c r="B13" s="1334"/>
      <c r="C13" s="1334"/>
      <c r="D13" s="1334"/>
      <c r="E13" s="1334"/>
      <c r="F13" s="1334"/>
      <c r="G13" s="1334"/>
      <c r="H13" s="1335"/>
    </row>
    <row r="14" spans="1:8" ht="70.5" customHeight="1" x14ac:dyDescent="0.2">
      <c r="A14" s="1277"/>
      <c r="B14" s="1277"/>
      <c r="C14" s="1277"/>
      <c r="D14" s="1277"/>
      <c r="E14" s="1277"/>
      <c r="F14" s="1277"/>
      <c r="G14" s="1277"/>
      <c r="H14" s="1277"/>
    </row>
    <row r="15" spans="1:8" ht="15" thickBot="1" x14ac:dyDescent="0.25">
      <c r="A15" s="277" t="s">
        <v>20</v>
      </c>
      <c r="B15" s="276"/>
      <c r="C15" s="276"/>
      <c r="D15" s="276"/>
      <c r="E15" s="276"/>
      <c r="F15" s="276"/>
      <c r="G15" s="276"/>
      <c r="H15" s="333"/>
    </row>
    <row r="16" spans="1:8" ht="13.5" thickBot="1" x14ac:dyDescent="0.25">
      <c r="A16" s="592" t="s">
        <v>25</v>
      </c>
      <c r="B16" s="336" t="s">
        <v>0</v>
      </c>
      <c r="C16" s="1348" t="s">
        <v>293</v>
      </c>
      <c r="D16" s="1348" t="s">
        <v>338</v>
      </c>
      <c r="E16" s="1348" t="s">
        <v>294</v>
      </c>
      <c r="F16" s="1348" t="s">
        <v>555</v>
      </c>
      <c r="G16" s="1349"/>
      <c r="H16" s="1350"/>
    </row>
    <row r="17" spans="1:8" ht="13.5" thickBot="1" x14ac:dyDescent="0.25">
      <c r="A17" s="591" t="s">
        <v>288</v>
      </c>
      <c r="B17" s="325"/>
      <c r="C17" s="329" t="s">
        <v>41</v>
      </c>
      <c r="D17" s="328"/>
      <c r="E17" s="327" t="s">
        <v>222</v>
      </c>
      <c r="F17" s="326"/>
      <c r="G17" s="3"/>
      <c r="H17" s="278"/>
    </row>
    <row r="18" spans="1:8" ht="13.5" thickBot="1" x14ac:dyDescent="0.25">
      <c r="A18" s="593" t="s">
        <v>287</v>
      </c>
      <c r="B18" s="597">
        <v>480.46</v>
      </c>
      <c r="C18" s="324" t="s">
        <v>42</v>
      </c>
      <c r="D18" s="71">
        <v>26</v>
      </c>
      <c r="E18" s="323" t="s">
        <v>219</v>
      </c>
      <c r="F18" s="322"/>
      <c r="G18" s="3"/>
      <c r="H18" s="278"/>
    </row>
    <row r="19" spans="1:8" x14ac:dyDescent="0.2">
      <c r="A19" s="266" t="s">
        <v>557</v>
      </c>
      <c r="B19" s="22">
        <v>4.5</v>
      </c>
      <c r="C19" s="75" t="s">
        <v>24</v>
      </c>
      <c r="D19" s="75">
        <v>1.5</v>
      </c>
      <c r="E19" s="319" t="s">
        <v>217</v>
      </c>
      <c r="F19" s="318">
        <v>0.4</v>
      </c>
      <c r="G19" s="3"/>
      <c r="H19" s="278"/>
    </row>
    <row r="20" spans="1:8" x14ac:dyDescent="0.2">
      <c r="A20" s="596" t="s">
        <v>558</v>
      </c>
      <c r="B20" s="428">
        <v>41.12</v>
      </c>
      <c r="C20" s="71" t="s">
        <v>43</v>
      </c>
      <c r="D20" s="71">
        <f>D18/D19</f>
        <v>17.333333333333332</v>
      </c>
      <c r="E20" s="71" t="s">
        <v>568</v>
      </c>
      <c r="F20" s="267">
        <v>0.2</v>
      </c>
      <c r="G20" s="3"/>
      <c r="H20" s="278"/>
    </row>
    <row r="21" spans="1:8" x14ac:dyDescent="0.2">
      <c r="A21" s="266" t="s">
        <v>559</v>
      </c>
      <c r="B21" s="11">
        <v>12.3</v>
      </c>
      <c r="C21" s="297" t="s">
        <v>47</v>
      </c>
      <c r="D21" s="599">
        <v>13</v>
      </c>
      <c r="E21" s="75" t="s">
        <v>569</v>
      </c>
      <c r="F21" s="284">
        <v>6</v>
      </c>
      <c r="G21" s="3"/>
      <c r="H21" s="278"/>
    </row>
    <row r="22" spans="1:8" x14ac:dyDescent="0.2">
      <c r="A22" s="596" t="s">
        <v>560</v>
      </c>
      <c r="B22" s="11">
        <v>22.72</v>
      </c>
      <c r="C22" s="307" t="s">
        <v>48</v>
      </c>
      <c r="D22" s="600">
        <v>50</v>
      </c>
      <c r="E22" s="71" t="s">
        <v>570</v>
      </c>
      <c r="F22" s="285">
        <v>2</v>
      </c>
      <c r="G22" s="3"/>
      <c r="H22" s="278"/>
    </row>
    <row r="23" spans="1:8" x14ac:dyDescent="0.2">
      <c r="A23" s="266"/>
      <c r="B23" s="11"/>
      <c r="C23" s="297" t="s">
        <v>49</v>
      </c>
      <c r="D23" s="599">
        <f>D21/D22*60</f>
        <v>15.600000000000001</v>
      </c>
      <c r="E23" s="75" t="s">
        <v>210</v>
      </c>
      <c r="F23" s="317">
        <f>ROUNDUP(F19/F20,0)</f>
        <v>2</v>
      </c>
      <c r="G23" s="3"/>
      <c r="H23" s="278"/>
    </row>
    <row r="24" spans="1:8" ht="25.5" customHeight="1" x14ac:dyDescent="0.2">
      <c r="A24" s="1351" t="s">
        <v>552</v>
      </c>
      <c r="B24" s="590" t="s">
        <v>285</v>
      </c>
      <c r="C24" s="71" t="s">
        <v>50</v>
      </c>
      <c r="D24" s="530">
        <f>5</f>
        <v>5</v>
      </c>
      <c r="E24" s="316" t="s">
        <v>208</v>
      </c>
      <c r="F24" s="299"/>
      <c r="G24" s="3"/>
      <c r="H24" s="278"/>
    </row>
    <row r="25" spans="1:8" ht="22.5" customHeight="1" x14ac:dyDescent="0.2">
      <c r="A25" s="303" t="s">
        <v>284</v>
      </c>
      <c r="B25" s="75">
        <v>0.2</v>
      </c>
      <c r="C25" s="75" t="s">
        <v>51</v>
      </c>
      <c r="D25" s="302">
        <f>D23</f>
        <v>15.600000000000001</v>
      </c>
      <c r="E25" s="75" t="s">
        <v>205</v>
      </c>
      <c r="F25" s="299">
        <v>2.1339999999999999</v>
      </c>
      <c r="G25" s="3"/>
      <c r="H25" s="278"/>
    </row>
    <row r="26" spans="1:8" x14ac:dyDescent="0.2">
      <c r="A26" s="303" t="s">
        <v>283</v>
      </c>
      <c r="B26" s="75">
        <f>B18*B25</f>
        <v>96.091999999999999</v>
      </c>
      <c r="C26" s="71" t="s">
        <v>52</v>
      </c>
      <c r="D26" s="530">
        <v>1</v>
      </c>
      <c r="E26" s="71" t="s">
        <v>571</v>
      </c>
      <c r="F26" s="267">
        <f>ROUNDUP(B19/F25,0)</f>
        <v>3</v>
      </c>
      <c r="G26" s="3"/>
      <c r="H26" s="278"/>
    </row>
    <row r="27" spans="1:8" ht="23.25" customHeight="1" x14ac:dyDescent="0.2">
      <c r="A27" s="1351" t="s">
        <v>553</v>
      </c>
      <c r="B27" s="589" t="s">
        <v>312</v>
      </c>
      <c r="C27" s="75" t="s">
        <v>53</v>
      </c>
      <c r="D27" s="302">
        <f>D23</f>
        <v>15.600000000000001</v>
      </c>
      <c r="E27" s="71" t="s">
        <v>572</v>
      </c>
      <c r="F27" s="267">
        <f>ROUNDUP(B21/F26,0)</f>
        <v>5</v>
      </c>
      <c r="G27" s="3"/>
      <c r="H27" s="278"/>
    </row>
    <row r="28" spans="1:8" x14ac:dyDescent="0.2">
      <c r="A28" s="303" t="s">
        <v>284</v>
      </c>
      <c r="B28" s="75">
        <v>0.2</v>
      </c>
      <c r="C28" s="71" t="s">
        <v>54</v>
      </c>
      <c r="D28" s="530">
        <f>SUM(D24:D27)</f>
        <v>37.200000000000003</v>
      </c>
      <c r="E28" s="1352" t="s">
        <v>7</v>
      </c>
      <c r="F28" s="3">
        <f>F27+F26</f>
        <v>8</v>
      </c>
      <c r="G28" s="3"/>
      <c r="H28" s="278"/>
    </row>
    <row r="29" spans="1:8" ht="13.5" thickBot="1" x14ac:dyDescent="0.25">
      <c r="A29" s="303" t="s">
        <v>283</v>
      </c>
      <c r="B29" s="75">
        <f>B18*B28</f>
        <v>96.091999999999999</v>
      </c>
      <c r="C29" s="75" t="s">
        <v>71</v>
      </c>
      <c r="D29" s="302">
        <f>D28/D24</f>
        <v>7.44</v>
      </c>
      <c r="E29" s="314" t="s">
        <v>200</v>
      </c>
      <c r="F29" s="585"/>
      <c r="G29" s="3"/>
      <c r="H29" s="278"/>
    </row>
    <row r="30" spans="1:8" x14ac:dyDescent="0.2">
      <c r="A30" s="266" t="s">
        <v>554</v>
      </c>
      <c r="B30" s="362">
        <f>B29+B26</f>
        <v>192.184</v>
      </c>
      <c r="C30" s="304" t="s">
        <v>23</v>
      </c>
      <c r="D30" s="530">
        <f>ROUNDUP(D29,0)</f>
        <v>8</v>
      </c>
      <c r="E30" s="312" t="s">
        <v>197</v>
      </c>
      <c r="F30" s="586"/>
      <c r="G30" s="3"/>
      <c r="H30" s="278"/>
    </row>
    <row r="31" spans="1:8" x14ac:dyDescent="0.2">
      <c r="A31" s="1353" t="s">
        <v>556</v>
      </c>
      <c r="B31" s="11"/>
      <c r="C31" s="75" t="s">
        <v>56</v>
      </c>
      <c r="D31" s="302">
        <f>D30*D20</f>
        <v>138.66666666666666</v>
      </c>
      <c r="E31" s="310" t="s">
        <v>194</v>
      </c>
      <c r="F31" s="299">
        <f>F28*F21*F23</f>
        <v>96</v>
      </c>
      <c r="G31" s="3"/>
      <c r="H31" s="278"/>
    </row>
    <row r="32" spans="1:8" x14ac:dyDescent="0.2">
      <c r="A32" s="270" t="s">
        <v>379</v>
      </c>
      <c r="B32" s="11">
        <v>5</v>
      </c>
      <c r="C32" s="71" t="s">
        <v>55</v>
      </c>
      <c r="D32" s="530">
        <f>B26/D31</f>
        <v>0.69297115384615393</v>
      </c>
      <c r="E32" s="307" t="s">
        <v>191</v>
      </c>
      <c r="F32" s="401">
        <f>F31*(B20+B22)</f>
        <v>6128.6399999999994</v>
      </c>
      <c r="G32" s="3"/>
      <c r="H32" s="278"/>
    </row>
    <row r="33" spans="1:8" x14ac:dyDescent="0.2">
      <c r="A33" s="266" t="s">
        <v>380</v>
      </c>
      <c r="B33" s="598">
        <f>(B32*B18*2)/3600/24</f>
        <v>5.5608796296296288E-2</v>
      </c>
      <c r="C33" s="300" t="s">
        <v>23</v>
      </c>
      <c r="D33" s="302">
        <f>ROUNDUP(D32,0)</f>
        <v>1</v>
      </c>
      <c r="E33" s="297" t="s">
        <v>189</v>
      </c>
      <c r="F33" s="282">
        <f>F32/(F22*1000)/24</f>
        <v>0.12767999999999999</v>
      </c>
      <c r="G33" s="3"/>
      <c r="H33" s="278"/>
    </row>
    <row r="34" spans="1:8" x14ac:dyDescent="0.2">
      <c r="A34" s="1354" t="s">
        <v>292</v>
      </c>
      <c r="B34" s="589"/>
      <c r="C34" s="71" t="s">
        <v>57</v>
      </c>
      <c r="D34" s="530">
        <f>D28*D30*D33</f>
        <v>297.60000000000002</v>
      </c>
      <c r="E34" s="307" t="s">
        <v>187</v>
      </c>
      <c r="F34" s="587">
        <v>1.1499999999999999</v>
      </c>
      <c r="G34" s="3"/>
      <c r="H34" s="278"/>
    </row>
    <row r="35" spans="1:8" x14ac:dyDescent="0.2">
      <c r="A35" s="429" t="s">
        <v>291</v>
      </c>
      <c r="B35" s="340">
        <v>3.7</v>
      </c>
      <c r="C35" s="75" t="s">
        <v>72</v>
      </c>
      <c r="D35" s="302">
        <f>ROUNDUP(B30/D20,0)</f>
        <v>12</v>
      </c>
      <c r="E35" s="75" t="s">
        <v>185</v>
      </c>
      <c r="F35" s="305">
        <f>F33*F34</f>
        <v>0.14683199999999996</v>
      </c>
      <c r="G35" s="3"/>
      <c r="H35" s="278"/>
    </row>
    <row r="36" spans="1:8" ht="15" x14ac:dyDescent="0.25">
      <c r="A36" s="266" t="s">
        <v>290</v>
      </c>
      <c r="B36" s="340">
        <f>ROUND(B35*SIN(RADIANS(B37)),2)</f>
        <v>2.62</v>
      </c>
      <c r="C36" s="71" t="s">
        <v>58</v>
      </c>
      <c r="D36" s="594">
        <f>D34/60/24</f>
        <v>0.20666666666666667</v>
      </c>
      <c r="E36" s="3"/>
      <c r="F36" s="278"/>
      <c r="G36" s="3"/>
      <c r="H36" s="278"/>
    </row>
    <row r="37" spans="1:8" x14ac:dyDescent="0.2">
      <c r="A37" s="266" t="s">
        <v>289</v>
      </c>
      <c r="B37" s="11">
        <v>45</v>
      </c>
      <c r="C37" s="11"/>
      <c r="D37" s="56"/>
      <c r="E37" s="3"/>
      <c r="F37" s="278"/>
      <c r="G37" s="3"/>
      <c r="H37" s="278"/>
    </row>
    <row r="38" spans="1:8" x14ac:dyDescent="0.2">
      <c r="A38" s="266" t="s">
        <v>282</v>
      </c>
      <c r="B38" s="11">
        <f>2*1000</f>
        <v>2000</v>
      </c>
      <c r="C38" s="11"/>
      <c r="D38" s="56"/>
      <c r="E38" s="301" t="s">
        <v>181</v>
      </c>
      <c r="F38" s="267"/>
      <c r="G38" s="3"/>
      <c r="H38" s="278"/>
    </row>
    <row r="39" spans="1:8" x14ac:dyDescent="0.2">
      <c r="A39" s="266" t="s">
        <v>281</v>
      </c>
      <c r="B39" s="11">
        <f>30*1000</f>
        <v>30000</v>
      </c>
      <c r="C39" s="11"/>
      <c r="D39" s="56"/>
      <c r="E39" s="75" t="s">
        <v>179</v>
      </c>
      <c r="F39" s="299">
        <v>8</v>
      </c>
      <c r="G39" s="3"/>
      <c r="H39" s="278"/>
    </row>
    <row r="40" spans="1:8" ht="15" x14ac:dyDescent="0.25">
      <c r="A40" s="266" t="s">
        <v>561</v>
      </c>
      <c r="B40" s="11">
        <f>ROUNDUP(B19/B36,0)</f>
        <v>2</v>
      </c>
      <c r="C40" s="52"/>
      <c r="D40" s="56"/>
      <c r="E40" s="75" t="s">
        <v>178</v>
      </c>
      <c r="F40" s="298">
        <f>F35+B57</f>
        <v>0.22226666666666661</v>
      </c>
      <c r="G40" s="3"/>
      <c r="H40" s="278"/>
    </row>
    <row r="41" spans="1:8" x14ac:dyDescent="0.2">
      <c r="A41" s="266" t="s">
        <v>562</v>
      </c>
      <c r="B41" s="11">
        <f>ROUNDUP(B21/B36,0)</f>
        <v>5</v>
      </c>
      <c r="C41" s="11"/>
      <c r="D41" s="56"/>
      <c r="E41" s="297" t="s">
        <v>175</v>
      </c>
      <c r="F41" s="296">
        <f>F40/F39</f>
        <v>2.7783333333333327E-2</v>
      </c>
      <c r="G41" s="3"/>
      <c r="H41" s="278"/>
    </row>
    <row r="42" spans="1:8" x14ac:dyDescent="0.2">
      <c r="A42" s="266" t="s">
        <v>565</v>
      </c>
      <c r="B42" s="11">
        <f>B41+B40</f>
        <v>7</v>
      </c>
      <c r="C42" s="11"/>
      <c r="D42" s="56"/>
      <c r="E42" s="3"/>
      <c r="F42" s="3"/>
      <c r="G42" s="3"/>
      <c r="H42" s="278"/>
    </row>
    <row r="43" spans="1:8" x14ac:dyDescent="0.2">
      <c r="A43" s="266" t="s">
        <v>563</v>
      </c>
      <c r="B43" s="11">
        <f>B40*B20</f>
        <v>82.24</v>
      </c>
      <c r="C43" s="52"/>
      <c r="D43" s="56"/>
      <c r="E43" s="3"/>
      <c r="F43" s="3"/>
      <c r="G43" s="3"/>
      <c r="H43" s="278"/>
    </row>
    <row r="44" spans="1:8" x14ac:dyDescent="0.2">
      <c r="A44" s="266" t="s">
        <v>564</v>
      </c>
      <c r="B44" s="11">
        <f>B41*B22</f>
        <v>113.6</v>
      </c>
      <c r="C44" s="11"/>
      <c r="D44" s="56"/>
      <c r="E44" s="3"/>
      <c r="F44" s="3"/>
      <c r="G44" s="3"/>
      <c r="H44" s="278"/>
    </row>
    <row r="45" spans="1:8" x14ac:dyDescent="0.2">
      <c r="A45" s="266" t="s">
        <v>566</v>
      </c>
      <c r="B45" s="11">
        <f>B44+B43</f>
        <v>195.83999999999997</v>
      </c>
      <c r="C45" s="11"/>
      <c r="D45" s="56"/>
      <c r="E45" s="3"/>
      <c r="F45" s="3"/>
      <c r="G45" s="3"/>
      <c r="H45" s="278"/>
    </row>
    <row r="46" spans="1:8" x14ac:dyDescent="0.2">
      <c r="A46" s="266" t="s">
        <v>99</v>
      </c>
      <c r="B46" s="340">
        <f>8/6</f>
        <v>1.3333333333333333</v>
      </c>
      <c r="C46" s="52"/>
      <c r="D46" s="56"/>
      <c r="E46" s="295"/>
      <c r="F46" s="294"/>
      <c r="G46" s="3"/>
      <c r="H46" s="278"/>
    </row>
    <row r="47" spans="1:8" x14ac:dyDescent="0.2">
      <c r="A47" s="266" t="s">
        <v>280</v>
      </c>
      <c r="B47" s="340">
        <f>3</f>
        <v>3</v>
      </c>
      <c r="C47" s="26"/>
      <c r="D47" s="26"/>
      <c r="E47" s="293"/>
      <c r="F47" s="292"/>
      <c r="G47" s="3"/>
      <c r="H47" s="278"/>
    </row>
    <row r="48" spans="1:8" ht="13.5" thickBot="1" x14ac:dyDescent="0.25">
      <c r="A48" s="266" t="s">
        <v>279</v>
      </c>
      <c r="B48" s="340">
        <v>2</v>
      </c>
      <c r="C48" s="26"/>
      <c r="D48" s="26"/>
      <c r="E48" s="291"/>
      <c r="F48" s="290"/>
      <c r="G48" s="3"/>
      <c r="H48" s="278"/>
    </row>
    <row r="49" spans="1:8" x14ac:dyDescent="0.2">
      <c r="A49" s="266" t="s">
        <v>278</v>
      </c>
      <c r="B49" s="340">
        <f>(B47+B48)*B45</f>
        <v>979.19999999999982</v>
      </c>
      <c r="C49" s="26"/>
      <c r="D49" s="26"/>
      <c r="E49" s="3"/>
      <c r="F49" s="3"/>
      <c r="G49" s="3"/>
      <c r="H49" s="278"/>
    </row>
    <row r="50" spans="1:8" x14ac:dyDescent="0.2">
      <c r="A50" s="266" t="s">
        <v>277</v>
      </c>
      <c r="B50" s="340">
        <f>B49</f>
        <v>979.19999999999982</v>
      </c>
      <c r="C50" s="26"/>
      <c r="D50" s="26"/>
      <c r="E50" s="26"/>
      <c r="F50" s="26"/>
      <c r="G50" s="3"/>
      <c r="H50" s="278"/>
    </row>
    <row r="51" spans="1:8" x14ac:dyDescent="0.2">
      <c r="A51" s="266" t="s">
        <v>276</v>
      </c>
      <c r="B51" s="341">
        <f>B49/B38</f>
        <v>0.48959999999999992</v>
      </c>
      <c r="C51" s="52"/>
      <c r="D51" s="56"/>
      <c r="E51" s="3"/>
      <c r="F51" s="3"/>
      <c r="G51" s="3"/>
      <c r="H51" s="278"/>
    </row>
    <row r="52" spans="1:8" x14ac:dyDescent="0.2">
      <c r="A52" s="266" t="s">
        <v>275</v>
      </c>
      <c r="B52" s="342">
        <f>B50/B39</f>
        <v>3.2639999999999995E-2</v>
      </c>
      <c r="C52" s="52"/>
      <c r="D52" s="56"/>
      <c r="E52" s="3"/>
      <c r="F52" s="3"/>
      <c r="G52" s="3"/>
      <c r="H52" s="278"/>
    </row>
    <row r="53" spans="1:8" x14ac:dyDescent="0.2">
      <c r="A53" s="266" t="s">
        <v>274</v>
      </c>
      <c r="B53" s="342">
        <f>((B51+B52)*B46)</f>
        <v>0.69631999999999983</v>
      </c>
      <c r="C53" s="52"/>
      <c r="D53" s="56"/>
      <c r="E53" s="3"/>
      <c r="F53" s="3"/>
      <c r="G53" s="3"/>
      <c r="H53" s="278"/>
    </row>
    <row r="54" spans="1:8" x14ac:dyDescent="0.2">
      <c r="A54" s="270" t="s">
        <v>273</v>
      </c>
      <c r="B54" s="341">
        <v>1.3</v>
      </c>
      <c r="C54" s="52"/>
      <c r="D54" s="56"/>
      <c r="E54" s="3"/>
      <c r="F54" s="3"/>
      <c r="G54" s="3"/>
      <c r="H54" s="278"/>
    </row>
    <row r="55" spans="1:8" x14ac:dyDescent="0.2">
      <c r="A55" s="266" t="s">
        <v>272</v>
      </c>
      <c r="B55" s="343">
        <f>B53*B54</f>
        <v>0.9052159999999998</v>
      </c>
      <c r="C55" s="52"/>
      <c r="D55" s="56"/>
      <c r="E55" s="3"/>
      <c r="F55" s="3"/>
      <c r="G55" s="3"/>
      <c r="H55" s="278"/>
    </row>
    <row r="56" spans="1:8" ht="15.75" x14ac:dyDescent="0.25">
      <c r="A56" s="266"/>
      <c r="B56" s="344">
        <f>B55/24</f>
        <v>3.7717333333333325E-2</v>
      </c>
      <c r="C56" s="11"/>
      <c r="D56" s="56"/>
      <c r="E56" s="3"/>
      <c r="F56" s="3"/>
      <c r="G56" s="3"/>
      <c r="H56" s="278"/>
    </row>
    <row r="57" spans="1:8" ht="15.75" x14ac:dyDescent="0.25">
      <c r="A57" s="266" t="s">
        <v>567</v>
      </c>
      <c r="B57" s="344">
        <f>B56*2</f>
        <v>7.543466666666665E-2</v>
      </c>
      <c r="C57" s="11"/>
      <c r="D57" s="56"/>
      <c r="E57" s="3"/>
      <c r="F57" s="3"/>
      <c r="G57" s="3"/>
      <c r="H57" s="278"/>
    </row>
    <row r="58" spans="1:8" x14ac:dyDescent="0.2">
      <c r="A58" s="266" t="s">
        <v>271</v>
      </c>
      <c r="B58" s="343">
        <f>(B18)/B55</f>
        <v>530.76834700226254</v>
      </c>
      <c r="C58" s="11"/>
      <c r="D58" s="56"/>
      <c r="E58" s="3"/>
      <c r="F58" s="3"/>
      <c r="G58" s="3"/>
      <c r="H58" s="278"/>
    </row>
    <row r="59" spans="1:8" x14ac:dyDescent="0.2">
      <c r="A59" s="266" t="s">
        <v>270</v>
      </c>
      <c r="B59" s="340">
        <f>B55/(B18)*3600</f>
        <v>6.7826199891770376</v>
      </c>
      <c r="C59" s="588"/>
      <c r="D59" s="64"/>
      <c r="E59" s="3"/>
      <c r="F59" s="3"/>
      <c r="G59" s="3"/>
      <c r="H59" s="278"/>
    </row>
    <row r="60" spans="1:8" ht="13.5" thickBot="1" x14ac:dyDescent="0.25">
      <c r="A60" s="1355"/>
      <c r="B60" s="1356"/>
      <c r="C60" s="1356"/>
      <c r="D60" s="1356"/>
      <c r="E60" s="1356"/>
      <c r="F60" s="1356"/>
      <c r="G60" s="1356"/>
      <c r="H60" s="1357"/>
    </row>
    <row r="61" spans="1:8" x14ac:dyDescent="0.2">
      <c r="A61" s="289" t="s">
        <v>9</v>
      </c>
      <c r="B61" s="288"/>
      <c r="C61" s="288"/>
      <c r="D61" s="288"/>
      <c r="E61" s="288"/>
      <c r="F61" s="1151" t="s">
        <v>16</v>
      </c>
      <c r="G61" s="1151"/>
      <c r="H61" s="1152"/>
    </row>
    <row r="62" spans="1:8" x14ac:dyDescent="0.2">
      <c r="A62" s="520" t="s">
        <v>4</v>
      </c>
      <c r="B62" s="520" t="s">
        <v>5</v>
      </c>
      <c r="C62" s="520" t="s">
        <v>1</v>
      </c>
      <c r="D62" s="520" t="s">
        <v>6</v>
      </c>
      <c r="E62" s="520" t="s">
        <v>7</v>
      </c>
      <c r="F62" s="518" t="s">
        <v>17</v>
      </c>
      <c r="G62" s="518" t="s">
        <v>18</v>
      </c>
      <c r="H62" s="398" t="s">
        <v>19</v>
      </c>
    </row>
    <row r="63" spans="1:8" x14ac:dyDescent="0.2">
      <c r="A63" s="518" t="s">
        <v>549</v>
      </c>
      <c r="B63" s="519">
        <f>B18</f>
        <v>480.46</v>
      </c>
      <c r="C63" s="519" t="s">
        <v>302</v>
      </c>
      <c r="D63" s="396">
        <v>0.75</v>
      </c>
      <c r="E63" s="494">
        <f>B63*D63</f>
        <v>360.34499999999997</v>
      </c>
      <c r="F63" s="519"/>
      <c r="G63" s="519"/>
      <c r="H63" s="22"/>
    </row>
    <row r="64" spans="1:8" ht="60" x14ac:dyDescent="0.2">
      <c r="A64" s="520" t="s">
        <v>550</v>
      </c>
      <c r="B64" s="519">
        <f>B29*1.5</f>
        <v>144.13800000000001</v>
      </c>
      <c r="C64" s="519" t="s">
        <v>319</v>
      </c>
      <c r="D64" s="396">
        <f>12.57</f>
        <v>12.57</v>
      </c>
      <c r="E64" s="494">
        <f t="shared" ref="E64:E65" si="0">B64*D64</f>
        <v>1811.81466</v>
      </c>
      <c r="F64" s="1358" t="s">
        <v>631</v>
      </c>
      <c r="G64" s="519">
        <v>13</v>
      </c>
      <c r="H64" s="22"/>
    </row>
    <row r="65" spans="1:8" ht="60" x14ac:dyDescent="0.2">
      <c r="A65" s="518" t="s">
        <v>551</v>
      </c>
      <c r="B65" s="519">
        <f>B26*1.5</f>
        <v>144.13800000000001</v>
      </c>
      <c r="C65" s="519" t="s">
        <v>319</v>
      </c>
      <c r="D65" s="397">
        <v>9.73</v>
      </c>
      <c r="E65" s="494">
        <f t="shared" si="0"/>
        <v>1402.4627400000002</v>
      </c>
      <c r="F65" s="1358" t="s">
        <v>631</v>
      </c>
      <c r="G65" s="519">
        <v>13</v>
      </c>
      <c r="H65" s="22"/>
    </row>
  </sheetData>
  <mergeCells count="22">
    <mergeCell ref="A13:H13"/>
    <mergeCell ref="A14:H14"/>
    <mergeCell ref="G9:H9"/>
    <mergeCell ref="G10:H10"/>
    <mergeCell ref="G11:H11"/>
    <mergeCell ref="G12:H12"/>
    <mergeCell ref="C9:D9"/>
    <mergeCell ref="C10:D10"/>
    <mergeCell ref="C11:D11"/>
    <mergeCell ref="C12:D12"/>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63"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4"/>
  <sheetViews>
    <sheetView zoomScale="85" zoomScaleNormal="85" workbookViewId="0">
      <selection activeCell="D76" sqref="D76"/>
    </sheetView>
  </sheetViews>
  <sheetFormatPr baseColWidth="10" defaultRowHeight="12.75" x14ac:dyDescent="0.2"/>
  <cols>
    <col min="1" max="1" width="30.140625" customWidth="1"/>
    <col min="2" max="2" width="12" bestFit="1" customWidth="1"/>
    <col min="3" max="3" width="5.140625" bestFit="1" customWidth="1"/>
    <col min="4" max="4" width="30" bestFit="1" customWidth="1"/>
    <col min="5" max="5" width="12" bestFit="1" customWidth="1"/>
    <col min="6" max="6" width="10.7109375" customWidth="1"/>
    <col min="7" max="7" width="34.7109375" bestFit="1" customWidth="1"/>
  </cols>
  <sheetData>
    <row r="1" spans="1:8" ht="15.75" x14ac:dyDescent="0.25">
      <c r="A1" s="1157" t="s">
        <v>12</v>
      </c>
      <c r="B1" s="1158"/>
      <c r="C1" s="1159"/>
      <c r="D1" s="1157" t="s">
        <v>13</v>
      </c>
      <c r="E1" s="1158"/>
      <c r="F1" s="1158"/>
      <c r="G1" s="1158"/>
      <c r="H1" s="1160"/>
    </row>
    <row r="2" spans="1:8" ht="13.5" thickBot="1" x14ac:dyDescent="0.25">
      <c r="A2" s="1325" t="s">
        <v>548</v>
      </c>
      <c r="B2" s="1162"/>
      <c r="C2" s="1163"/>
      <c r="D2" s="1307" t="s">
        <v>464</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455</v>
      </c>
      <c r="F4" s="505" t="s">
        <v>449</v>
      </c>
      <c r="G4" s="504"/>
      <c r="H4" s="506"/>
    </row>
    <row r="5" spans="1:8" x14ac:dyDescent="0.2">
      <c r="A5" s="1175" t="s">
        <v>14</v>
      </c>
      <c r="B5" s="1176"/>
      <c r="C5" s="1176"/>
      <c r="D5" s="1176"/>
      <c r="E5" s="1176"/>
      <c r="F5" s="1176"/>
      <c r="G5" s="1176"/>
      <c r="H5" s="1177"/>
    </row>
    <row r="6" spans="1:8" ht="135.75" customHeight="1" thickBot="1" x14ac:dyDescent="0.25">
      <c r="A6" s="1284" t="s">
        <v>465</v>
      </c>
      <c r="B6" s="1285"/>
      <c r="C6" s="1285"/>
      <c r="D6" s="1285"/>
      <c r="E6" s="1285"/>
      <c r="F6" s="1285"/>
      <c r="G6" s="1285"/>
      <c r="H6" s="1195"/>
    </row>
    <row r="7" spans="1:8" x14ac:dyDescent="0.2">
      <c r="A7" s="1337" t="s">
        <v>8</v>
      </c>
      <c r="B7" s="1338"/>
      <c r="C7" s="1338"/>
      <c r="D7" s="1338"/>
      <c r="E7" s="1337" t="s">
        <v>10</v>
      </c>
      <c r="F7" s="1338"/>
      <c r="G7" s="1338"/>
      <c r="H7" s="1338"/>
    </row>
    <row r="8" spans="1:8" x14ac:dyDescent="0.2">
      <c r="A8" s="614" t="s">
        <v>4</v>
      </c>
      <c r="B8" s="615" t="s">
        <v>5</v>
      </c>
      <c r="C8" s="1285" t="s">
        <v>15</v>
      </c>
      <c r="D8" s="1285"/>
      <c r="E8" s="615" t="s">
        <v>4</v>
      </c>
      <c r="F8" s="615" t="s">
        <v>0</v>
      </c>
      <c r="G8" s="1285" t="s">
        <v>15</v>
      </c>
      <c r="H8" s="1195"/>
    </row>
    <row r="9" spans="1:8" ht="25.5" x14ac:dyDescent="0.2">
      <c r="A9" s="371" t="s">
        <v>321</v>
      </c>
      <c r="B9" s="371">
        <v>1</v>
      </c>
      <c r="C9" s="1339" t="s">
        <v>330</v>
      </c>
      <c r="D9" s="1339"/>
      <c r="E9" s="371" t="s">
        <v>324</v>
      </c>
      <c r="F9" s="371">
        <v>1</v>
      </c>
      <c r="G9" s="1339" t="s">
        <v>386</v>
      </c>
      <c r="H9" s="1339"/>
    </row>
    <row r="10" spans="1:8" ht="25.5" x14ac:dyDescent="0.2">
      <c r="A10" s="371" t="s">
        <v>329</v>
      </c>
      <c r="B10" s="371">
        <v>1</v>
      </c>
      <c r="C10" s="1339" t="s">
        <v>331</v>
      </c>
      <c r="D10" s="1339"/>
      <c r="E10" s="371" t="s">
        <v>326</v>
      </c>
      <c r="F10" s="371">
        <v>1</v>
      </c>
      <c r="G10" s="1339" t="s">
        <v>387</v>
      </c>
      <c r="H10" s="1339"/>
    </row>
    <row r="11" spans="1:8" ht="25.5" x14ac:dyDescent="0.2">
      <c r="A11" s="371" t="s">
        <v>322</v>
      </c>
      <c r="B11" s="371">
        <v>1</v>
      </c>
      <c r="C11" s="1339" t="s">
        <v>332</v>
      </c>
      <c r="D11" s="1339"/>
      <c r="E11" s="371" t="s">
        <v>327</v>
      </c>
      <c r="F11" s="371">
        <v>1</v>
      </c>
      <c r="G11" s="1339" t="s">
        <v>388</v>
      </c>
      <c r="H11" s="1339"/>
    </row>
    <row r="12" spans="1:8" ht="25.5" x14ac:dyDescent="0.2">
      <c r="A12" s="371" t="s">
        <v>171</v>
      </c>
      <c r="B12" s="371">
        <v>1</v>
      </c>
      <c r="C12" s="1339" t="s">
        <v>333</v>
      </c>
      <c r="D12" s="1339"/>
      <c r="E12" s="371" t="s">
        <v>325</v>
      </c>
      <c r="F12" s="371">
        <v>1</v>
      </c>
      <c r="G12" s="1339" t="s">
        <v>389</v>
      </c>
      <c r="H12" s="1339"/>
    </row>
    <row r="13" spans="1:8" x14ac:dyDescent="0.2">
      <c r="A13" s="371" t="s">
        <v>323</v>
      </c>
      <c r="B13" s="371">
        <v>3</v>
      </c>
      <c r="C13" s="1339" t="s">
        <v>334</v>
      </c>
      <c r="D13" s="1339"/>
      <c r="E13" s="371" t="s">
        <v>303</v>
      </c>
      <c r="F13" s="371">
        <v>4</v>
      </c>
      <c r="G13" s="1339" t="s">
        <v>392</v>
      </c>
      <c r="H13" s="1339"/>
    </row>
    <row r="14" spans="1:8" ht="14.25" x14ac:dyDescent="0.2">
      <c r="A14" s="1333" t="s">
        <v>11</v>
      </c>
      <c r="B14" s="1334"/>
      <c r="C14" s="1334"/>
      <c r="D14" s="1334"/>
      <c r="E14" s="1334"/>
      <c r="F14" s="1334"/>
      <c r="G14" s="1334"/>
      <c r="H14" s="1335"/>
    </row>
    <row r="15" spans="1:8" ht="69.75" customHeight="1" x14ac:dyDescent="0.2">
      <c r="A15" s="1340" t="s">
        <v>618</v>
      </c>
      <c r="B15" s="1341"/>
      <c r="C15" s="1341"/>
      <c r="D15" s="1341"/>
      <c r="E15" s="1341"/>
      <c r="F15" s="1341"/>
      <c r="G15" s="1341"/>
      <c r="H15" s="1342"/>
    </row>
    <row r="16" spans="1:8" ht="15.75" thickBot="1" x14ac:dyDescent="0.3">
      <c r="A16" s="183" t="s">
        <v>20</v>
      </c>
      <c r="B16" s="182"/>
      <c r="C16" s="182"/>
      <c r="D16" s="182"/>
      <c r="E16" s="182"/>
      <c r="F16" s="182"/>
      <c r="G16" s="182"/>
      <c r="H16" s="181"/>
    </row>
    <row r="17" spans="1:8" ht="15.75" thickBot="1" x14ac:dyDescent="0.3">
      <c r="A17" s="180" t="s">
        <v>25</v>
      </c>
      <c r="B17" s="179" t="s">
        <v>0</v>
      </c>
      <c r="C17" s="176"/>
      <c r="D17" s="178" t="s">
        <v>25</v>
      </c>
      <c r="E17" s="177" t="s">
        <v>0</v>
      </c>
      <c r="F17" s="176"/>
      <c r="G17" s="175" t="s">
        <v>25</v>
      </c>
      <c r="H17" s="174" t="s">
        <v>0</v>
      </c>
    </row>
    <row r="18" spans="1:8" ht="15.75" thickBot="1" x14ac:dyDescent="0.3">
      <c r="A18" s="173" t="s">
        <v>223</v>
      </c>
      <c r="B18" s="172"/>
      <c r="C18" s="170"/>
      <c r="D18" s="256" t="s">
        <v>223</v>
      </c>
      <c r="E18" s="112"/>
      <c r="F18" s="170"/>
      <c r="G18" s="255" t="s">
        <v>222</v>
      </c>
      <c r="H18" s="254"/>
    </row>
    <row r="19" spans="1:8" ht="15.75" thickBot="1" x14ac:dyDescent="0.3">
      <c r="A19" s="167" t="s">
        <v>221</v>
      </c>
      <c r="B19" s="112">
        <v>5</v>
      </c>
      <c r="C19" s="102"/>
      <c r="D19" s="624" t="s">
        <v>220</v>
      </c>
      <c r="E19" s="601">
        <f>B47+B49+B51</f>
        <v>5</v>
      </c>
      <c r="F19" s="102"/>
      <c r="G19" s="252" t="s">
        <v>219</v>
      </c>
      <c r="H19" s="251"/>
    </row>
    <row r="20" spans="1:8" ht="15.75" thickBot="1" x14ac:dyDescent="0.3">
      <c r="A20" s="136" t="s">
        <v>218</v>
      </c>
      <c r="B20" s="165">
        <v>0.06</v>
      </c>
      <c r="C20" s="102"/>
      <c r="D20" s="625" t="s">
        <v>612</v>
      </c>
      <c r="E20" s="112">
        <v>3</v>
      </c>
      <c r="F20" s="102"/>
      <c r="G20" s="250" t="s">
        <v>217</v>
      </c>
      <c r="H20" s="249">
        <v>0.06</v>
      </c>
    </row>
    <row r="21" spans="1:8" ht="15" x14ac:dyDescent="0.25">
      <c r="A21" s="117" t="s">
        <v>216</v>
      </c>
      <c r="B21" s="108">
        <v>8</v>
      </c>
      <c r="C21" s="102"/>
      <c r="D21" s="89" t="s">
        <v>613</v>
      </c>
      <c r="E21" s="226">
        <f>(E20*E19)/60/24</f>
        <v>1.0416666666666666E-2</v>
      </c>
      <c r="F21" s="102"/>
      <c r="G21" s="219" t="s">
        <v>315</v>
      </c>
      <c r="H21" s="221">
        <v>0.06</v>
      </c>
    </row>
    <row r="22" spans="1:8" ht="15" x14ac:dyDescent="0.25">
      <c r="A22" s="148" t="s">
        <v>215</v>
      </c>
      <c r="B22" s="108">
        <v>25</v>
      </c>
      <c r="C22" s="102"/>
      <c r="D22" s="89" t="s">
        <v>615</v>
      </c>
      <c r="E22" s="627">
        <f>(B50*B49)+(B48*B47)+B52</f>
        <v>111.33</v>
      </c>
      <c r="F22" s="102"/>
      <c r="G22" s="216" t="s">
        <v>316</v>
      </c>
      <c r="H22" s="248">
        <v>4</v>
      </c>
    </row>
    <row r="23" spans="1:8" ht="12.75" customHeight="1" x14ac:dyDescent="0.25">
      <c r="A23" s="117" t="s">
        <v>213</v>
      </c>
      <c r="B23" s="108">
        <v>2.4500000000000002</v>
      </c>
      <c r="C23" s="102"/>
      <c r="D23" s="626" t="s">
        <v>614</v>
      </c>
      <c r="E23" s="628">
        <f>E22/B21/60/24</f>
        <v>9.664062499999999E-3</v>
      </c>
      <c r="F23" s="102"/>
      <c r="G23" s="219" t="s">
        <v>317</v>
      </c>
      <c r="H23" s="247">
        <v>4</v>
      </c>
    </row>
    <row r="24" spans="1:8" ht="15.75" thickBot="1" x14ac:dyDescent="0.3">
      <c r="A24" s="117" t="s">
        <v>574</v>
      </c>
      <c r="B24" s="108">
        <v>25</v>
      </c>
      <c r="C24" s="102"/>
      <c r="D24" s="89" t="s">
        <v>214</v>
      </c>
      <c r="E24" s="606">
        <v>2</v>
      </c>
      <c r="F24" s="102"/>
      <c r="G24" s="246" t="s">
        <v>210</v>
      </c>
      <c r="H24" s="245">
        <f>ROUNDUP(H20/H21,0)</f>
        <v>1</v>
      </c>
    </row>
    <row r="25" spans="1:8" ht="15.75" thickBot="1" x14ac:dyDescent="0.3">
      <c r="A25" s="117" t="s">
        <v>209</v>
      </c>
      <c r="B25" s="144">
        <v>70</v>
      </c>
      <c r="C25" s="102"/>
      <c r="D25" s="89" t="s">
        <v>212</v>
      </c>
      <c r="E25" s="84">
        <f>E24*B50</f>
        <v>35.44</v>
      </c>
      <c r="F25" s="102"/>
      <c r="G25" s="244" t="s">
        <v>208</v>
      </c>
      <c r="H25" s="243"/>
    </row>
    <row r="26" spans="1:8" ht="15" x14ac:dyDescent="0.25">
      <c r="A26" s="237" t="s">
        <v>207</v>
      </c>
      <c r="B26" s="139"/>
      <c r="C26" s="102"/>
      <c r="D26" s="89" t="s">
        <v>211</v>
      </c>
      <c r="E26" s="226">
        <f>(E25/B22)/60/24</f>
        <v>9.8444444444444447E-4</v>
      </c>
      <c r="F26" s="102"/>
      <c r="G26" s="242" t="s">
        <v>205</v>
      </c>
      <c r="H26" s="241">
        <v>2.1339999999999999</v>
      </c>
    </row>
    <row r="27" spans="1:8" ht="15" x14ac:dyDescent="0.25">
      <c r="A27" s="266" t="s">
        <v>557</v>
      </c>
      <c r="B27" s="22">
        <v>4.5</v>
      </c>
      <c r="C27" s="102"/>
      <c r="D27" s="89" t="s">
        <v>206</v>
      </c>
      <c r="E27" s="226">
        <f>E21+E26+E23</f>
        <v>2.1065173611111109E-2</v>
      </c>
      <c r="F27" s="102"/>
      <c r="G27" s="219" t="s">
        <v>619</v>
      </c>
      <c r="H27" s="221">
        <f>ROUNDUP(B27/H26,0)</f>
        <v>3</v>
      </c>
    </row>
    <row r="28" spans="1:8" ht="15" x14ac:dyDescent="0.25">
      <c r="A28" s="596" t="s">
        <v>558</v>
      </c>
      <c r="B28" s="428">
        <f>41.12+4.75</f>
        <v>45.87</v>
      </c>
      <c r="C28" s="102"/>
      <c r="D28" s="89" t="s">
        <v>99</v>
      </c>
      <c r="E28" s="84">
        <f>8/6</f>
        <v>1.3333333333333333</v>
      </c>
      <c r="F28" s="102"/>
      <c r="G28" s="219" t="s">
        <v>620</v>
      </c>
      <c r="H28" s="221">
        <f>ROUNDUP(B30/H26,0)</f>
        <v>6</v>
      </c>
    </row>
    <row r="29" spans="1:8" ht="27" thickBot="1" x14ac:dyDescent="0.3">
      <c r="A29" s="274" t="s">
        <v>286</v>
      </c>
      <c r="B29" s="56">
        <f>B28*B27</f>
        <v>206.41499999999999</v>
      </c>
      <c r="C29" s="102"/>
      <c r="D29" s="240" t="s">
        <v>201</v>
      </c>
      <c r="E29" s="226">
        <f>E28*E27</f>
        <v>2.8086898148148146E-2</v>
      </c>
      <c r="F29" s="102"/>
      <c r="G29" s="239" t="s">
        <v>200</v>
      </c>
      <c r="H29" s="238"/>
    </row>
    <row r="30" spans="1:8" ht="15" x14ac:dyDescent="0.25">
      <c r="A30" s="266" t="s">
        <v>559</v>
      </c>
      <c r="B30" s="11">
        <v>12.3</v>
      </c>
      <c r="C30" s="102"/>
      <c r="D30" s="236" t="s">
        <v>198</v>
      </c>
      <c r="E30" s="84"/>
      <c r="F30" s="102"/>
      <c r="G30" s="235" t="s">
        <v>621</v>
      </c>
      <c r="H30" s="234"/>
    </row>
    <row r="31" spans="1:8" ht="15" x14ac:dyDescent="0.25">
      <c r="A31" s="596" t="s">
        <v>560</v>
      </c>
      <c r="B31" s="11">
        <v>22.72</v>
      </c>
      <c r="C31" s="102"/>
      <c r="D31" s="89" t="s">
        <v>195</v>
      </c>
      <c r="E31" s="84">
        <f>G72</f>
        <v>26.4</v>
      </c>
      <c r="F31" s="102"/>
      <c r="G31" s="232" t="s">
        <v>194</v>
      </c>
      <c r="H31" s="220">
        <f>H27*H22*H24</f>
        <v>12</v>
      </c>
    </row>
    <row r="32" spans="1:8" ht="15.75" thickBot="1" x14ac:dyDescent="0.3">
      <c r="A32" s="136" t="s">
        <v>286</v>
      </c>
      <c r="B32" s="202">
        <f>B31*B30</f>
        <v>279.45600000000002</v>
      </c>
      <c r="C32" s="102"/>
      <c r="D32" s="89" t="s">
        <v>192</v>
      </c>
      <c r="E32" s="84">
        <v>20</v>
      </c>
      <c r="F32" s="102"/>
      <c r="G32" s="228" t="s">
        <v>191</v>
      </c>
      <c r="H32" s="231">
        <f>H31*(B48*B47)</f>
        <v>550.43999999999994</v>
      </c>
    </row>
    <row r="33" spans="1:8" ht="15" x14ac:dyDescent="0.25">
      <c r="A33" s="237" t="s">
        <v>199</v>
      </c>
      <c r="B33" s="140"/>
      <c r="C33" s="102"/>
      <c r="D33" s="89" t="s">
        <v>190</v>
      </c>
      <c r="E33" s="84">
        <f>E31*60/B25</f>
        <v>22.62857142857143</v>
      </c>
      <c r="F33" s="102"/>
      <c r="G33" s="230" t="s">
        <v>189</v>
      </c>
      <c r="H33" s="229">
        <f>H32/(H23*1000)/24</f>
        <v>5.7337499999999993E-3</v>
      </c>
    </row>
    <row r="34" spans="1:8" ht="15" x14ac:dyDescent="0.25">
      <c r="A34" s="117" t="s">
        <v>196</v>
      </c>
      <c r="B34" s="233">
        <v>12.3</v>
      </c>
      <c r="C34" s="102"/>
      <c r="D34" s="89" t="s">
        <v>188</v>
      </c>
      <c r="E34" s="207">
        <f>B24/B44</f>
        <v>4.2517006802721093</v>
      </c>
      <c r="F34" s="102"/>
      <c r="G34" s="228" t="s">
        <v>187</v>
      </c>
      <c r="H34" s="227">
        <v>1.1499999999999999</v>
      </c>
    </row>
    <row r="35" spans="1:8" ht="15.75" thickBot="1" x14ac:dyDescent="0.3">
      <c r="A35" s="117" t="s">
        <v>193</v>
      </c>
      <c r="B35" s="108">
        <v>5</v>
      </c>
      <c r="C35" s="102"/>
      <c r="D35" s="89" t="s">
        <v>186</v>
      </c>
      <c r="E35" s="84">
        <f>E31*60/B25</f>
        <v>22.62857142857143</v>
      </c>
      <c r="F35" s="102"/>
      <c r="G35" s="246" t="s">
        <v>185</v>
      </c>
      <c r="H35" s="352">
        <f>H33*H34</f>
        <v>6.593812499999999E-3</v>
      </c>
    </row>
    <row r="36" spans="1:8" ht="22.5" customHeight="1" x14ac:dyDescent="0.25">
      <c r="A36" s="346" t="s">
        <v>313</v>
      </c>
      <c r="B36" s="128"/>
      <c r="C36" s="102"/>
      <c r="D36" s="89" t="s">
        <v>184</v>
      </c>
      <c r="E36" s="226">
        <f>SUM(E32:E35)/60/24</f>
        <v>4.8270030234315954E-2</v>
      </c>
      <c r="F36" s="102"/>
      <c r="G36" s="235" t="s">
        <v>622</v>
      </c>
      <c r="H36" s="633"/>
    </row>
    <row r="37" spans="1:8" ht="15" x14ac:dyDescent="0.25">
      <c r="A37" s="148" t="s">
        <v>575</v>
      </c>
      <c r="B37" s="137">
        <f>B20*B28*B27</f>
        <v>12.384899999999998</v>
      </c>
      <c r="C37" s="102"/>
      <c r="D37" s="125" t="s">
        <v>183</v>
      </c>
      <c r="E37" s="602">
        <f>(E36/E34)*60*24</f>
        <v>16.348479999999999</v>
      </c>
      <c r="F37" s="102"/>
      <c r="G37" s="232" t="s">
        <v>194</v>
      </c>
      <c r="H37" s="635">
        <f>H28*H24*H22</f>
        <v>24</v>
      </c>
    </row>
    <row r="38" spans="1:8" ht="23.25" customHeight="1" x14ac:dyDescent="0.25">
      <c r="A38" s="148" t="s">
        <v>576</v>
      </c>
      <c r="B38" s="137">
        <f>B20*B31*B30</f>
        <v>16.76736</v>
      </c>
      <c r="C38" s="102"/>
      <c r="D38" s="224" t="s">
        <v>23</v>
      </c>
      <c r="E38" s="223">
        <f>ROUNDUP(E37,0)</f>
        <v>17</v>
      </c>
      <c r="F38" s="102"/>
      <c r="G38" s="228" t="s">
        <v>191</v>
      </c>
      <c r="H38" s="231">
        <f>H37*(B50*B49+B52)</f>
        <v>1571.04</v>
      </c>
    </row>
    <row r="39" spans="1:8" ht="15" x14ac:dyDescent="0.25">
      <c r="A39" s="148" t="s">
        <v>577</v>
      </c>
      <c r="B39" s="137">
        <f>B38+B37</f>
        <v>29.152259999999998</v>
      </c>
      <c r="C39" s="102"/>
      <c r="D39" s="216" t="s">
        <v>56</v>
      </c>
      <c r="E39" s="216">
        <f>E38*B24</f>
        <v>425</v>
      </c>
      <c r="F39" s="102"/>
      <c r="G39" s="230" t="s">
        <v>189</v>
      </c>
      <c r="H39" s="229">
        <f>H38/(H23*1000)/24</f>
        <v>1.6365000000000001E-2</v>
      </c>
    </row>
    <row r="40" spans="1:8" ht="15" x14ac:dyDescent="0.25">
      <c r="A40" s="261" t="s">
        <v>617</v>
      </c>
      <c r="B40" s="137">
        <f>ROUNDUP(B39*B23,0)</f>
        <v>72</v>
      </c>
      <c r="C40" s="102"/>
      <c r="D40" s="219" t="s">
        <v>55</v>
      </c>
      <c r="E40" s="219">
        <f>B39/E39</f>
        <v>6.8593552941176472E-2</v>
      </c>
      <c r="F40" s="102"/>
      <c r="G40" s="228" t="s">
        <v>187</v>
      </c>
      <c r="H40" s="227">
        <v>1.1499999999999999</v>
      </c>
    </row>
    <row r="41" spans="1:8" ht="15.75" thickBot="1" x14ac:dyDescent="0.3">
      <c r="A41" s="225" t="s">
        <v>182</v>
      </c>
      <c r="B41" s="121"/>
      <c r="C41" s="102"/>
      <c r="D41" s="216" t="s">
        <v>176</v>
      </c>
      <c r="E41" s="215">
        <f>B40/B24</f>
        <v>2.88</v>
      </c>
      <c r="F41" s="102"/>
      <c r="G41" s="246" t="s">
        <v>185</v>
      </c>
      <c r="H41" s="352">
        <f>H39*H40</f>
        <v>1.881975E-2</v>
      </c>
    </row>
    <row r="42" spans="1:8" ht="15.75" thickBot="1" x14ac:dyDescent="0.3">
      <c r="A42" s="123" t="s">
        <v>180</v>
      </c>
      <c r="B42" s="145">
        <f>B19*B20*1</f>
        <v>0.3</v>
      </c>
      <c r="C42" s="102"/>
      <c r="D42" s="604"/>
      <c r="E42" s="605">
        <f>ROUNDUP(E41,0)</f>
        <v>3</v>
      </c>
      <c r="F42" s="102"/>
      <c r="G42" s="634"/>
      <c r="H42" s="633"/>
    </row>
    <row r="43" spans="1:8" ht="15.75" thickBot="1" x14ac:dyDescent="0.3">
      <c r="A43" s="120" t="s">
        <v>314</v>
      </c>
      <c r="B43" s="112">
        <f>B42*B23</f>
        <v>0.73499999999999999</v>
      </c>
      <c r="C43" s="102"/>
      <c r="D43" s="89"/>
      <c r="E43" s="84"/>
      <c r="F43" s="102"/>
      <c r="G43" s="349" t="s">
        <v>328</v>
      </c>
      <c r="H43" s="353"/>
    </row>
    <row r="44" spans="1:8" ht="15.75" thickBot="1" x14ac:dyDescent="0.3">
      <c r="A44" s="117" t="s">
        <v>177</v>
      </c>
      <c r="B44" s="217">
        <f>B43*B21</f>
        <v>5.88</v>
      </c>
      <c r="C44" s="102"/>
      <c r="D44" s="169" t="s">
        <v>173</v>
      </c>
      <c r="E44" s="168"/>
      <c r="F44" s="102"/>
      <c r="G44" s="263" t="s">
        <v>584</v>
      </c>
      <c r="H44" s="549">
        <v>3</v>
      </c>
    </row>
    <row r="45" spans="1:8" ht="27" thickBot="1" x14ac:dyDescent="0.3">
      <c r="A45" s="212" t="s">
        <v>174</v>
      </c>
      <c r="B45" s="211">
        <f>(B24/B44)/60/24</f>
        <v>2.9525699168556317E-3</v>
      </c>
      <c r="C45" s="102"/>
      <c r="D45" s="210" t="s">
        <v>171</v>
      </c>
      <c r="E45" s="84"/>
      <c r="F45" s="102"/>
      <c r="G45" s="257" t="s">
        <v>228</v>
      </c>
      <c r="H45" s="139">
        <f>(H44*B27*B28)+(H44*B30*B31)</f>
        <v>1457.6130000000001</v>
      </c>
    </row>
    <row r="46" spans="1:8" ht="15.75" thickBot="1" x14ac:dyDescent="0.3">
      <c r="A46" s="205" t="s">
        <v>172</v>
      </c>
      <c r="B46" s="145">
        <f>(B45*B21)*60*24</f>
        <v>34.013605442176875</v>
      </c>
      <c r="C46" s="102"/>
      <c r="D46" s="89" t="s">
        <v>170</v>
      </c>
      <c r="E46" s="84">
        <v>800</v>
      </c>
      <c r="F46" s="102"/>
      <c r="G46" s="262" t="s">
        <v>225</v>
      </c>
      <c r="H46" s="145">
        <f>H45/1000</f>
        <v>1.457613</v>
      </c>
    </row>
    <row r="47" spans="1:8" ht="15" x14ac:dyDescent="0.25">
      <c r="A47" s="117" t="s">
        <v>578</v>
      </c>
      <c r="B47" s="137">
        <f>ROUNDUP((B27/B19),0)</f>
        <v>1</v>
      </c>
      <c r="C47" s="102"/>
      <c r="D47" s="208" t="s">
        <v>169</v>
      </c>
      <c r="E47" s="84">
        <f>E46/1000</f>
        <v>0.8</v>
      </c>
      <c r="F47" s="102"/>
      <c r="G47" s="607" t="s">
        <v>573</v>
      </c>
      <c r="H47" s="608">
        <v>20</v>
      </c>
    </row>
    <row r="48" spans="1:8" ht="15" x14ac:dyDescent="0.25">
      <c r="A48" s="120" t="s">
        <v>579</v>
      </c>
      <c r="B48" s="209">
        <f>B28</f>
        <v>45.87</v>
      </c>
      <c r="C48" s="102"/>
      <c r="D48" s="89" t="s">
        <v>167</v>
      </c>
      <c r="E48" s="84">
        <v>60</v>
      </c>
      <c r="F48" s="102"/>
      <c r="G48" s="609" t="s">
        <v>227</v>
      </c>
      <c r="H48" s="610">
        <f>(H47*B27*B28)+(H47*B30*B31)</f>
        <v>9717.42</v>
      </c>
    </row>
    <row r="49" spans="1:8" ht="15" x14ac:dyDescent="0.25">
      <c r="A49" s="117" t="s">
        <v>580</v>
      </c>
      <c r="B49" s="137">
        <f>ROUNDUP((B30/B19),0)</f>
        <v>3</v>
      </c>
      <c r="C49" s="102"/>
      <c r="D49" s="89" t="s">
        <v>165</v>
      </c>
      <c r="E49" s="207">
        <f>E47*B23</f>
        <v>1.9600000000000002</v>
      </c>
      <c r="F49" s="102"/>
      <c r="G49" s="611" t="s">
        <v>169</v>
      </c>
      <c r="H49" s="608">
        <f>H48/1000</f>
        <v>9.7174200000000006</v>
      </c>
    </row>
    <row r="50" spans="1:8" ht="15.75" thickBot="1" x14ac:dyDescent="0.3">
      <c r="A50" s="120" t="s">
        <v>581</v>
      </c>
      <c r="B50" s="209">
        <f>(B31-B35)</f>
        <v>17.72</v>
      </c>
      <c r="C50" s="102"/>
      <c r="D50" s="206" t="s">
        <v>163</v>
      </c>
      <c r="E50" s="160">
        <f>E49/B43</f>
        <v>2.666666666666667</v>
      </c>
      <c r="F50" s="102"/>
      <c r="G50" s="609" t="s">
        <v>225</v>
      </c>
      <c r="H50" s="610">
        <f>H51*H49</f>
        <v>17.491356000000003</v>
      </c>
    </row>
    <row r="51" spans="1:8" ht="15.75" thickBot="1" x14ac:dyDescent="0.3">
      <c r="A51" s="117" t="s">
        <v>168</v>
      </c>
      <c r="B51" s="137">
        <f>ROUNDUP(B35/B19,0)</f>
        <v>1</v>
      </c>
      <c r="C51" s="102"/>
      <c r="D51" s="120" t="s">
        <v>162</v>
      </c>
      <c r="E51" s="141">
        <v>2</v>
      </c>
      <c r="F51" s="102"/>
      <c r="G51" s="612" t="s">
        <v>24</v>
      </c>
      <c r="H51" s="613">
        <v>1.8</v>
      </c>
    </row>
    <row r="52" spans="1:8" ht="15.75" thickBot="1" x14ac:dyDescent="0.3">
      <c r="A52" s="117" t="s">
        <v>166</v>
      </c>
      <c r="B52" s="137">
        <f>B34</f>
        <v>12.3</v>
      </c>
      <c r="C52" s="102"/>
      <c r="D52" s="125" t="s">
        <v>161</v>
      </c>
      <c r="E52" s="602">
        <v>1</v>
      </c>
      <c r="F52" s="102"/>
      <c r="G52" s="91"/>
      <c r="H52" s="76"/>
    </row>
    <row r="53" spans="1:8" ht="15.75" thickBot="1" x14ac:dyDescent="0.3">
      <c r="A53" s="125" t="s">
        <v>164</v>
      </c>
      <c r="B53" s="121">
        <f>(B50*B49)+(B48*B47)+(B52*B51)</f>
        <v>111.33</v>
      </c>
      <c r="C53" s="102"/>
      <c r="D53" s="125" t="s">
        <v>160</v>
      </c>
      <c r="E53" s="602">
        <f>(B35*B34)/E50</f>
        <v>23.062499999999996</v>
      </c>
      <c r="F53" s="102"/>
      <c r="G53" s="351" t="s">
        <v>234</v>
      </c>
      <c r="H53" s="348"/>
    </row>
    <row r="54" spans="1:8" ht="16.5" thickBot="1" x14ac:dyDescent="0.3">
      <c r="A54" s="205"/>
      <c r="B54" s="204"/>
      <c r="C54" s="102"/>
      <c r="D54" s="125" t="s">
        <v>23</v>
      </c>
      <c r="E54" s="602">
        <f>ROUNDUP(E53,0)</f>
        <v>24</v>
      </c>
      <c r="F54" s="102"/>
      <c r="G54" s="358" t="s">
        <v>336</v>
      </c>
      <c r="H54" s="357">
        <v>2.5</v>
      </c>
    </row>
    <row r="55" spans="1:8" ht="15" x14ac:dyDescent="0.25">
      <c r="A55" s="120"/>
      <c r="B55" s="119"/>
      <c r="C55" s="102"/>
      <c r="D55" s="125" t="s">
        <v>159</v>
      </c>
      <c r="E55" s="203">
        <f>(E54*(E51+E52))/60/24</f>
        <v>4.9999999999999996E-2</v>
      </c>
      <c r="F55" s="102"/>
      <c r="G55" s="358" t="s">
        <v>337</v>
      </c>
      <c r="H55" s="357">
        <f>(B27/H54)+(B30/H54)</f>
        <v>6.72</v>
      </c>
    </row>
    <row r="56" spans="1:8" ht="15" x14ac:dyDescent="0.25">
      <c r="A56" s="117"/>
      <c r="B56" s="116"/>
      <c r="C56" s="102"/>
      <c r="D56" s="125" t="s">
        <v>158</v>
      </c>
      <c r="E56" s="139">
        <v>10</v>
      </c>
      <c r="F56" s="102"/>
      <c r="G56" s="264" t="s">
        <v>232</v>
      </c>
      <c r="H56" s="603">
        <v>11</v>
      </c>
    </row>
    <row r="57" spans="1:8" ht="15" x14ac:dyDescent="0.25">
      <c r="A57" s="107"/>
      <c r="B57" s="102"/>
      <c r="C57" s="102"/>
      <c r="D57" s="117" t="s">
        <v>157</v>
      </c>
      <c r="E57" s="196">
        <f>(E56*B35*B34)/3600/24</f>
        <v>7.1180555555555554E-3</v>
      </c>
      <c r="F57" s="102"/>
      <c r="G57" s="264" t="s">
        <v>227</v>
      </c>
      <c r="H57" s="603">
        <f>H56*1000</f>
        <v>11000</v>
      </c>
    </row>
    <row r="58" spans="1:8" ht="15.75" thickBot="1" x14ac:dyDescent="0.3">
      <c r="A58" s="102"/>
      <c r="B58" s="102"/>
      <c r="C58" s="102"/>
      <c r="D58" s="136" t="s">
        <v>156</v>
      </c>
      <c r="E58" s="202">
        <v>30</v>
      </c>
      <c r="F58" s="102"/>
      <c r="G58" s="264" t="s">
        <v>230</v>
      </c>
      <c r="H58" s="603">
        <f>H57/H44</f>
        <v>3666.6666666666665</v>
      </c>
    </row>
    <row r="59" spans="1:8" ht="15" x14ac:dyDescent="0.25">
      <c r="A59" s="102"/>
      <c r="B59" s="102"/>
      <c r="C59" s="102"/>
      <c r="D59" s="117" t="s">
        <v>155</v>
      </c>
      <c r="E59" s="196">
        <f>(E58*B34*B35)/3600/24</f>
        <v>2.1354166666666664E-2</v>
      </c>
      <c r="F59" s="102"/>
      <c r="G59" s="264" t="s">
        <v>229</v>
      </c>
      <c r="H59" s="603">
        <f>H58/(B27)</f>
        <v>814.81481481481478</v>
      </c>
    </row>
    <row r="60" spans="1:8" ht="27" thickBot="1" x14ac:dyDescent="0.3">
      <c r="A60" s="102"/>
      <c r="B60" s="102"/>
      <c r="C60" s="102"/>
      <c r="D60" s="201" t="s">
        <v>154</v>
      </c>
      <c r="E60" s="200">
        <f>E59+E57+E55</f>
        <v>7.8472222222222221E-2</v>
      </c>
      <c r="F60" s="102"/>
      <c r="G60" s="260" t="s">
        <v>224</v>
      </c>
      <c r="H60" s="258">
        <f>H46/H56</f>
        <v>0.13251027272727273</v>
      </c>
    </row>
    <row r="61" spans="1:8" ht="15.75" thickBot="1" x14ac:dyDescent="0.3">
      <c r="A61" s="102"/>
      <c r="B61" s="102"/>
      <c r="C61" s="76"/>
      <c r="D61" s="199" t="s">
        <v>153</v>
      </c>
      <c r="E61" s="198"/>
      <c r="F61" s="76"/>
      <c r="G61" s="259" t="s">
        <v>23</v>
      </c>
      <c r="H61" s="258">
        <f>ROUNDUP(H60,0)</f>
        <v>1</v>
      </c>
    </row>
    <row r="62" spans="1:8" ht="15.75" thickBot="1" x14ac:dyDescent="0.3">
      <c r="A62" s="102"/>
      <c r="B62" s="102"/>
      <c r="D62" s="197" t="s">
        <v>582</v>
      </c>
      <c r="E62" s="200">
        <f>(E50*E56)/3600/24</f>
        <v>3.0864197530864202E-4</v>
      </c>
      <c r="G62" s="91" t="s">
        <v>226</v>
      </c>
      <c r="H62" s="354">
        <v>10000</v>
      </c>
    </row>
    <row r="63" spans="1:8" ht="16.5" thickBot="1" x14ac:dyDescent="0.3">
      <c r="A63" s="102"/>
      <c r="B63" s="102"/>
      <c r="D63" s="120" t="s">
        <v>583</v>
      </c>
      <c r="E63" s="200">
        <f>(E50*E58)/3600/24</f>
        <v>9.2592592592592607E-4</v>
      </c>
      <c r="G63" s="91" t="s">
        <v>335</v>
      </c>
      <c r="H63" s="356">
        <f>((60*H59/H62)/60/24)*H55</f>
        <v>2.2814814814814816E-2</v>
      </c>
    </row>
    <row r="64" spans="1:8" ht="15" x14ac:dyDescent="0.25">
      <c r="A64" s="102"/>
      <c r="B64" s="102"/>
      <c r="D64" s="117" t="s">
        <v>136</v>
      </c>
      <c r="E64" s="196">
        <f>E63+E62+E55</f>
        <v>5.1234567901234561E-2</v>
      </c>
      <c r="G64" s="91"/>
      <c r="H64" s="76"/>
    </row>
    <row r="65" spans="1:8" x14ac:dyDescent="0.2">
      <c r="G65" s="222" t="s">
        <v>181</v>
      </c>
      <c r="H65" s="221"/>
    </row>
    <row r="66" spans="1:8" x14ac:dyDescent="0.2">
      <c r="G66" s="216" t="s">
        <v>179</v>
      </c>
      <c r="H66" s="220">
        <v>8</v>
      </c>
    </row>
    <row r="67" spans="1:8" ht="15" x14ac:dyDescent="0.25">
      <c r="G67" s="216" t="s">
        <v>178</v>
      </c>
      <c r="H67" s="218">
        <f>H35+E64+E29+H63+H41</f>
        <v>0.12754984336419753</v>
      </c>
    </row>
    <row r="68" spans="1:8" ht="15" x14ac:dyDescent="0.25">
      <c r="G68" s="214" t="s">
        <v>175</v>
      </c>
      <c r="H68" s="213">
        <f>H67/H66</f>
        <v>1.5943730420524691E-2</v>
      </c>
    </row>
    <row r="69" spans="1:8" ht="15" x14ac:dyDescent="0.25">
      <c r="G69" s="91"/>
      <c r="H69" s="76"/>
    </row>
    <row r="70" spans="1:8" x14ac:dyDescent="0.2">
      <c r="A70" s="100" t="s">
        <v>9</v>
      </c>
      <c r="B70" s="99"/>
      <c r="C70" s="99"/>
      <c r="D70" s="99"/>
      <c r="E70" s="98" t="s">
        <v>16</v>
      </c>
      <c r="F70" s="98"/>
      <c r="G70" s="195"/>
      <c r="H70" s="98"/>
    </row>
    <row r="71" spans="1:8" ht="25.5" x14ac:dyDescent="0.2">
      <c r="A71" s="636" t="s">
        <v>4</v>
      </c>
      <c r="B71" s="637" t="s">
        <v>5</v>
      </c>
      <c r="C71" s="637" t="s">
        <v>1</v>
      </c>
      <c r="D71" s="637" t="s">
        <v>6</v>
      </c>
      <c r="E71" s="638" t="s">
        <v>7</v>
      </c>
      <c r="F71" s="639" t="s">
        <v>17</v>
      </c>
      <c r="G71" s="640" t="s">
        <v>18</v>
      </c>
      <c r="H71" s="641" t="s">
        <v>19</v>
      </c>
    </row>
    <row r="72" spans="1:8" ht="81.75" customHeight="1" x14ac:dyDescent="0.2">
      <c r="A72" s="642" t="s">
        <v>390</v>
      </c>
      <c r="B72" s="631">
        <f>B40</f>
        <v>72</v>
      </c>
      <c r="C72" s="434" t="s">
        <v>319</v>
      </c>
      <c r="D72" s="405">
        <v>55</v>
      </c>
      <c r="E72" s="643">
        <f>B72*D72</f>
        <v>3960</v>
      </c>
      <c r="F72" s="630" t="s">
        <v>616</v>
      </c>
      <c r="G72" s="632">
        <v>26.4</v>
      </c>
      <c r="H72" s="629">
        <v>1</v>
      </c>
    </row>
    <row r="73" spans="1:8" ht="15" x14ac:dyDescent="0.25">
      <c r="A73" s="493" t="s">
        <v>391</v>
      </c>
      <c r="B73" s="644">
        <f>H46</f>
        <v>1.457613</v>
      </c>
      <c r="C73" s="434" t="s">
        <v>319</v>
      </c>
      <c r="D73" s="405">
        <v>535</v>
      </c>
      <c r="E73" s="86">
        <f>B73*D73</f>
        <v>779.82295499999998</v>
      </c>
      <c r="F73" s="84"/>
      <c r="G73" s="89"/>
      <c r="H73" s="84">
        <v>1</v>
      </c>
    </row>
    <row r="74" spans="1:8" ht="15.75" thickBot="1" x14ac:dyDescent="0.3">
      <c r="A74" s="82"/>
      <c r="B74" s="80"/>
      <c r="C74" s="81"/>
      <c r="D74" s="80" t="str">
        <f>IF(A74="","",VLOOKUP(A74,$O$3:$P$26,2,FALSE))</f>
        <v/>
      </c>
      <c r="E74" s="79" t="str">
        <f>IF(A74="","",B74*D74)</f>
        <v/>
      </c>
      <c r="F74" s="78"/>
      <c r="G74" s="78"/>
      <c r="H74" s="78"/>
    </row>
  </sheetData>
  <mergeCells count="24">
    <mergeCell ref="C12:D12"/>
    <mergeCell ref="G12:H12"/>
    <mergeCell ref="C13:D13"/>
    <mergeCell ref="G13:H13"/>
    <mergeCell ref="A15:H15"/>
    <mergeCell ref="A14:H14"/>
    <mergeCell ref="C9:D9"/>
    <mergeCell ref="G9:H9"/>
    <mergeCell ref="C10:D10"/>
    <mergeCell ref="G10:H10"/>
    <mergeCell ref="C11:D11"/>
    <mergeCell ref="G11:H11"/>
    <mergeCell ref="A7:D7"/>
    <mergeCell ref="E7:H7"/>
    <mergeCell ref="C8:D8"/>
    <mergeCell ref="G8:H8"/>
    <mergeCell ref="A5:H5"/>
    <mergeCell ref="A6:H6"/>
    <mergeCell ref="A1:C1"/>
    <mergeCell ref="D1:H1"/>
    <mergeCell ref="A2:C2"/>
    <mergeCell ref="D2:H2"/>
    <mergeCell ref="A3:A4"/>
    <mergeCell ref="B3:D4"/>
  </mergeCells>
  <pageMargins left="0.25" right="0.25" top="0.75" bottom="0.75" header="0.3" footer="0.3"/>
  <pageSetup paperSize="9" scale="51" orientation="portrait" r:id="rId1"/>
  <tableParts count="3">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2"/>
  <sheetViews>
    <sheetView topLeftCell="A13" workbookViewId="0">
      <selection activeCell="E44" sqref="E44"/>
    </sheetView>
  </sheetViews>
  <sheetFormatPr baseColWidth="10" defaultRowHeight="12.75" x14ac:dyDescent="0.2"/>
  <cols>
    <col min="1" max="1" width="19" customWidth="1"/>
    <col min="2" max="2" width="8.42578125" customWidth="1"/>
    <col min="3" max="3" width="29.140625" customWidth="1"/>
    <col min="4" max="4" width="8" bestFit="1" customWidth="1"/>
    <col min="5" max="5" width="29" customWidth="1"/>
    <col min="7" max="7" width="27"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466</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61</v>
      </c>
      <c r="F4" s="505" t="s">
        <v>449</v>
      </c>
      <c r="G4" s="504"/>
      <c r="H4" s="506"/>
    </row>
    <row r="5" spans="1:8" x14ac:dyDescent="0.2">
      <c r="A5" s="1175" t="s">
        <v>14</v>
      </c>
      <c r="B5" s="1176"/>
      <c r="C5" s="1176"/>
      <c r="D5" s="1176"/>
      <c r="E5" s="1176"/>
      <c r="F5" s="1176"/>
      <c r="G5" s="1176"/>
      <c r="H5" s="1177"/>
    </row>
    <row r="6" spans="1:8" ht="103.5" customHeight="1" x14ac:dyDescent="0.2">
      <c r="A6" s="1284" t="s">
        <v>467</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49"/>
      <c r="D9" s="26"/>
      <c r="E9" s="500"/>
      <c r="F9" s="389"/>
      <c r="G9" s="1308"/>
      <c r="H9" s="1308"/>
    </row>
    <row r="10" spans="1:8" x14ac:dyDescent="0.2">
      <c r="A10" s="20"/>
      <c r="B10" s="1"/>
      <c r="C10" s="26"/>
      <c r="D10" s="26"/>
      <c r="E10" s="1"/>
      <c r="F10" s="1"/>
      <c r="G10" s="26"/>
      <c r="H10" s="35"/>
    </row>
    <row r="11" spans="1:8" ht="14.25" x14ac:dyDescent="0.2">
      <c r="A11" s="31" t="s">
        <v>11</v>
      </c>
      <c r="B11" s="30"/>
      <c r="C11" s="30"/>
      <c r="D11" s="30"/>
      <c r="E11" s="30"/>
      <c r="F11" s="30"/>
      <c r="G11" s="30"/>
      <c r="H11" s="32"/>
    </row>
    <row r="12" spans="1:8" ht="62.25" customHeight="1" x14ac:dyDescent="0.2">
      <c r="A12" s="1308" t="s">
        <v>893</v>
      </c>
      <c r="B12" s="1309"/>
      <c r="C12" s="1309"/>
      <c r="D12" s="1309"/>
      <c r="E12" s="1309"/>
      <c r="F12" s="1309"/>
      <c r="G12" s="1309"/>
      <c r="H12" s="1309"/>
    </row>
    <row r="13" spans="1:8" ht="15" thickBot="1" x14ac:dyDescent="0.25">
      <c r="A13" s="31" t="s">
        <v>20</v>
      </c>
      <c r="B13" s="29"/>
      <c r="C13" s="276"/>
      <c r="D13" s="276"/>
      <c r="E13" s="29"/>
      <c r="F13" s="29"/>
      <c r="G13" s="276"/>
      <c r="H13" s="333"/>
    </row>
    <row r="14" spans="1:8" ht="12.75" customHeight="1" x14ac:dyDescent="0.25">
      <c r="A14" s="1028" t="s">
        <v>894</v>
      </c>
      <c r="B14" s="1024"/>
      <c r="C14" s="1033" t="s">
        <v>41</v>
      </c>
      <c r="D14" s="1034"/>
      <c r="E14" s="1053" t="s">
        <v>217</v>
      </c>
      <c r="F14" s="1054">
        <f>B21</f>
        <v>0.2</v>
      </c>
      <c r="G14" s="1055" t="s">
        <v>130</v>
      </c>
      <c r="H14" s="1057"/>
    </row>
    <row r="15" spans="1:8" ht="15" x14ac:dyDescent="0.25">
      <c r="A15" s="1024" t="s">
        <v>233</v>
      </c>
      <c r="B15" s="1027">
        <f>B17/B16</f>
        <v>40.666666666666664</v>
      </c>
      <c r="C15" s="1035" t="s">
        <v>42</v>
      </c>
      <c r="D15" s="1035">
        <v>26</v>
      </c>
      <c r="E15" s="1032" t="s">
        <v>906</v>
      </c>
      <c r="F15" s="1032">
        <v>0.4</v>
      </c>
      <c r="G15" s="1056" t="s">
        <v>127</v>
      </c>
      <c r="H15" s="1057">
        <v>3</v>
      </c>
    </row>
    <row r="16" spans="1:8" x14ac:dyDescent="0.2">
      <c r="A16" s="1024" t="s">
        <v>231</v>
      </c>
      <c r="B16" s="1027">
        <v>1.5</v>
      </c>
      <c r="C16" s="1034" t="s">
        <v>24</v>
      </c>
      <c r="D16" s="1034">
        <v>1.8</v>
      </c>
      <c r="E16" s="1032" t="s">
        <v>907</v>
      </c>
      <c r="F16" s="1058">
        <v>6</v>
      </c>
      <c r="G16" s="1056" t="s">
        <v>77</v>
      </c>
      <c r="H16" s="1062">
        <f>(H15*B15)/3600/24</f>
        <v>1.4120370370370372E-3</v>
      </c>
    </row>
    <row r="17" spans="1:8" x14ac:dyDescent="0.2">
      <c r="A17" s="1010" t="s">
        <v>898</v>
      </c>
      <c r="B17" s="923">
        <v>61</v>
      </c>
      <c r="C17" s="1035" t="s">
        <v>43</v>
      </c>
      <c r="D17" s="1043">
        <f>D15/D16</f>
        <v>14.444444444444445</v>
      </c>
      <c r="E17" s="1032" t="s">
        <v>908</v>
      </c>
      <c r="F17" s="1058">
        <v>2</v>
      </c>
      <c r="G17" s="11"/>
      <c r="H17" s="11"/>
    </row>
    <row r="18" spans="1:8" ht="13.5" thickBot="1" x14ac:dyDescent="0.25">
      <c r="A18" s="1012" t="s">
        <v>816</v>
      </c>
      <c r="B18" s="923">
        <v>0.13</v>
      </c>
      <c r="C18" s="1036" t="s">
        <v>47</v>
      </c>
      <c r="D18" s="1044">
        <f>G40</f>
        <v>13</v>
      </c>
      <c r="E18" s="1032" t="s">
        <v>210</v>
      </c>
      <c r="F18" s="1058">
        <f>ROUNDUP(F14/F15,0)</f>
        <v>1</v>
      </c>
      <c r="G18" s="588"/>
      <c r="H18" s="588"/>
    </row>
    <row r="19" spans="1:8" ht="13.5" thickBot="1" x14ac:dyDescent="0.25">
      <c r="A19" s="1014" t="s">
        <v>60</v>
      </c>
      <c r="B19" s="994">
        <f>B18*B17</f>
        <v>7.9300000000000006</v>
      </c>
      <c r="C19" s="1037" t="s">
        <v>48</v>
      </c>
      <c r="D19" s="1045">
        <v>50</v>
      </c>
      <c r="E19" s="1059" t="s">
        <v>208</v>
      </c>
      <c r="F19" s="1063"/>
      <c r="G19" s="1065" t="s">
        <v>917</v>
      </c>
      <c r="H19" s="1066">
        <f>H16+F28+D33+B35+B36+B33+B30+B24</f>
        <v>9.1705092592592602E-2</v>
      </c>
    </row>
    <row r="20" spans="1:8" x14ac:dyDescent="0.2">
      <c r="A20" s="919" t="s">
        <v>902</v>
      </c>
      <c r="B20" s="932" t="s">
        <v>903</v>
      </c>
      <c r="C20" s="1036" t="s">
        <v>49</v>
      </c>
      <c r="D20" s="1044">
        <f>D18/D19*60</f>
        <v>15.600000000000001</v>
      </c>
      <c r="E20" s="1032" t="s">
        <v>205</v>
      </c>
      <c r="F20" s="1032">
        <v>0.45</v>
      </c>
      <c r="G20" s="1064"/>
      <c r="H20" s="1064"/>
    </row>
    <row r="21" spans="1:8" x14ac:dyDescent="0.2">
      <c r="A21" s="1012" t="s">
        <v>816</v>
      </c>
      <c r="B21" s="923">
        <v>0.2</v>
      </c>
      <c r="C21" s="1035" t="s">
        <v>50</v>
      </c>
      <c r="D21" s="1043">
        <v>10</v>
      </c>
      <c r="E21" s="1032" t="s">
        <v>203</v>
      </c>
      <c r="F21" s="1032">
        <f>ROUNDUP(B16/F20,0)</f>
        <v>4</v>
      </c>
      <c r="G21" s="979"/>
      <c r="H21" s="979"/>
    </row>
    <row r="22" spans="1:8" x14ac:dyDescent="0.2">
      <c r="A22" s="1012" t="s">
        <v>60</v>
      </c>
      <c r="B22" s="926">
        <f>B21*B17</f>
        <v>12.200000000000001</v>
      </c>
      <c r="C22" s="1034" t="s">
        <v>51</v>
      </c>
      <c r="D22" s="1046">
        <f>D20</f>
        <v>15.600000000000001</v>
      </c>
      <c r="E22" s="1059" t="s">
        <v>200</v>
      </c>
      <c r="F22" s="1032"/>
      <c r="G22" s="1010"/>
      <c r="H22" s="1025"/>
    </row>
    <row r="23" spans="1:8" x14ac:dyDescent="0.2">
      <c r="A23" s="1010" t="s">
        <v>905</v>
      </c>
      <c r="B23" s="923">
        <v>15</v>
      </c>
      <c r="C23" s="1035" t="s">
        <v>52</v>
      </c>
      <c r="D23" s="1043">
        <v>10</v>
      </c>
      <c r="E23" s="1032" t="s">
        <v>197</v>
      </c>
      <c r="F23" s="1032"/>
      <c r="G23" s="1010"/>
      <c r="H23" s="1010"/>
    </row>
    <row r="24" spans="1:8" x14ac:dyDescent="0.2">
      <c r="A24" s="1014" t="s">
        <v>7</v>
      </c>
      <c r="B24" s="1042">
        <f>(B23*B17)/3600/24</f>
        <v>1.0590277777777777E-2</v>
      </c>
      <c r="C24" s="1034"/>
      <c r="D24" s="1046"/>
      <c r="E24" s="1060" t="s">
        <v>194</v>
      </c>
      <c r="F24" s="1032">
        <f>F21*F16*F18</f>
        <v>24</v>
      </c>
      <c r="G24" s="1012"/>
      <c r="H24" s="1026"/>
    </row>
    <row r="25" spans="1:8" ht="24" x14ac:dyDescent="0.2">
      <c r="A25" s="919" t="s">
        <v>896</v>
      </c>
      <c r="B25" s="1010"/>
      <c r="C25" s="1035" t="s">
        <v>54</v>
      </c>
      <c r="D25" s="1043">
        <f>SUM(D21:D24)</f>
        <v>35.6</v>
      </c>
      <c r="E25" s="1032" t="s">
        <v>191</v>
      </c>
      <c r="F25" s="1032">
        <f>F24*B15</f>
        <v>976</v>
      </c>
      <c r="G25" s="1012"/>
      <c r="H25" s="1026"/>
    </row>
    <row r="26" spans="1:8" x14ac:dyDescent="0.2">
      <c r="A26" s="1012" t="s">
        <v>895</v>
      </c>
      <c r="B26" s="1010">
        <v>10</v>
      </c>
      <c r="C26" s="1034" t="s">
        <v>71</v>
      </c>
      <c r="D26" s="1046">
        <f>D25/D21</f>
        <v>3.56</v>
      </c>
      <c r="E26" s="1032" t="s">
        <v>189</v>
      </c>
      <c r="F26" s="1061">
        <f>F25/(F17*1000)/24</f>
        <v>2.0333333333333332E-2</v>
      </c>
      <c r="G26" s="1012"/>
      <c r="H26" s="1026"/>
    </row>
    <row r="27" spans="1:8" x14ac:dyDescent="0.2">
      <c r="A27" s="1012" t="s">
        <v>897</v>
      </c>
      <c r="B27" s="1012">
        <v>5</v>
      </c>
      <c r="C27" s="1038" t="s">
        <v>23</v>
      </c>
      <c r="D27" s="1043">
        <f>ROUNDUP(D26,0)</f>
        <v>4</v>
      </c>
      <c r="E27" s="1032" t="s">
        <v>187</v>
      </c>
      <c r="F27" s="1058">
        <v>1.1499999999999999</v>
      </c>
      <c r="G27" s="1012"/>
      <c r="H27" s="1026"/>
    </row>
    <row r="28" spans="1:8" x14ac:dyDescent="0.2">
      <c r="A28" s="1010" t="s">
        <v>899</v>
      </c>
      <c r="B28" s="1010">
        <v>10</v>
      </c>
      <c r="C28" s="1034" t="s">
        <v>56</v>
      </c>
      <c r="D28" s="1034">
        <f>D27*D17</f>
        <v>57.777777777777779</v>
      </c>
      <c r="E28" s="1032" t="s">
        <v>185</v>
      </c>
      <c r="F28" s="1049">
        <f>F26*F27</f>
        <v>2.3383333333333329E-2</v>
      </c>
      <c r="G28" s="1016"/>
      <c r="H28" s="1016"/>
    </row>
    <row r="29" spans="1:8" ht="23.25" customHeight="1" x14ac:dyDescent="0.2">
      <c r="A29" s="1012" t="s">
        <v>900</v>
      </c>
      <c r="B29" s="1012">
        <v>30</v>
      </c>
      <c r="C29" s="1035" t="s">
        <v>55</v>
      </c>
      <c r="D29" s="1035">
        <f>B23/D28</f>
        <v>0.25961538461538464</v>
      </c>
      <c r="E29" s="1047" t="s">
        <v>834</v>
      </c>
      <c r="F29" s="1016"/>
      <c r="G29" s="1016"/>
      <c r="H29" s="1016"/>
    </row>
    <row r="30" spans="1:8" x14ac:dyDescent="0.2">
      <c r="A30" s="1012" t="s">
        <v>901</v>
      </c>
      <c r="B30" s="1042">
        <f>(B29*B28)/3600/24</f>
        <v>3.472222222222222E-3</v>
      </c>
      <c r="C30" s="1040" t="s">
        <v>23</v>
      </c>
      <c r="D30" s="1034">
        <f>ROUNDUP(D29,0)</f>
        <v>1</v>
      </c>
      <c r="E30" s="1016" t="s">
        <v>909</v>
      </c>
      <c r="F30" s="1048">
        <v>5.5</v>
      </c>
      <c r="G30" s="1039"/>
      <c r="H30" s="1039"/>
    </row>
    <row r="31" spans="1:8" x14ac:dyDescent="0.2">
      <c r="A31" s="1047" t="s">
        <v>911</v>
      </c>
      <c r="B31" s="1016"/>
      <c r="C31" s="1035" t="s">
        <v>57</v>
      </c>
      <c r="D31" s="1035">
        <f>D25*D30</f>
        <v>35.6</v>
      </c>
      <c r="E31" s="1016" t="s">
        <v>910</v>
      </c>
      <c r="F31" s="1017">
        <f>ROUNDUP(B19/F30,0)</f>
        <v>2</v>
      </c>
      <c r="G31" s="1039"/>
      <c r="H31" s="1039"/>
    </row>
    <row r="32" spans="1:8" x14ac:dyDescent="0.2">
      <c r="A32" s="1016" t="s">
        <v>912</v>
      </c>
      <c r="B32" s="1029">
        <f>30/3600/24</f>
        <v>3.4722222222222224E-4</v>
      </c>
      <c r="C32" s="1034" t="s">
        <v>72</v>
      </c>
      <c r="D32" s="1031">
        <f>ROUNDUP(B22/D17,0)</f>
        <v>1</v>
      </c>
      <c r="E32" s="1039"/>
      <c r="F32" s="1039"/>
      <c r="G32" s="1039"/>
      <c r="H32" s="1039"/>
    </row>
    <row r="33" spans="1:8" x14ac:dyDescent="0.2">
      <c r="A33" s="1016" t="s">
        <v>913</v>
      </c>
      <c r="B33" s="1051">
        <f>B32*B17</f>
        <v>2.1180555555555557E-2</v>
      </c>
      <c r="C33" s="1052" t="s">
        <v>58</v>
      </c>
      <c r="D33" s="1041">
        <f>D31/60/24</f>
        <v>2.4722222222222225E-2</v>
      </c>
      <c r="E33" s="1039"/>
      <c r="F33" s="1039"/>
      <c r="G33" s="1039"/>
      <c r="H33" s="1039"/>
    </row>
    <row r="34" spans="1:8" x14ac:dyDescent="0.2">
      <c r="A34" s="1047" t="s">
        <v>914</v>
      </c>
      <c r="B34" s="979"/>
    </row>
    <row r="35" spans="1:8" x14ac:dyDescent="0.2">
      <c r="A35" s="1016" t="s">
        <v>915</v>
      </c>
      <c r="B35" s="1050">
        <f>5/60/24</f>
        <v>3.472222222222222E-3</v>
      </c>
    </row>
    <row r="36" spans="1:8" x14ac:dyDescent="0.2">
      <c r="A36" s="1016" t="s">
        <v>916</v>
      </c>
      <c r="B36" s="1050">
        <f>5/60/24</f>
        <v>3.472222222222222E-3</v>
      </c>
    </row>
    <row r="37" spans="1:8" x14ac:dyDescent="0.2">
      <c r="A37" s="14" t="s">
        <v>9</v>
      </c>
      <c r="B37" s="15"/>
      <c r="C37" s="15"/>
      <c r="D37" s="15"/>
      <c r="E37" s="15"/>
      <c r="F37" s="1155" t="s">
        <v>16</v>
      </c>
      <c r="G37" s="1155"/>
      <c r="H37" s="1156"/>
    </row>
    <row r="38" spans="1:8" ht="25.5" x14ac:dyDescent="0.2">
      <c r="A38" s="500" t="s">
        <v>4</v>
      </c>
      <c r="B38" s="500" t="s">
        <v>5</v>
      </c>
      <c r="C38" s="500" t="s">
        <v>1</v>
      </c>
      <c r="D38" s="500" t="s">
        <v>6</v>
      </c>
      <c r="E38" s="500" t="s">
        <v>7</v>
      </c>
      <c r="F38" s="498" t="s">
        <v>17</v>
      </c>
      <c r="G38" s="498" t="s">
        <v>18</v>
      </c>
      <c r="H38" s="398" t="s">
        <v>19</v>
      </c>
    </row>
    <row r="39" spans="1:8" x14ac:dyDescent="0.2">
      <c r="A39" s="756" t="s">
        <v>364</v>
      </c>
      <c r="B39" s="1">
        <f>B19</f>
        <v>7.9300000000000006</v>
      </c>
      <c r="C39" s="908" t="s">
        <v>22</v>
      </c>
      <c r="D39" s="1030">
        <v>98</v>
      </c>
      <c r="E39" s="2">
        <f>B39*D39</f>
        <v>777.1400000000001</v>
      </c>
      <c r="F39" s="43" t="s">
        <v>824</v>
      </c>
      <c r="G39" s="659">
        <v>18</v>
      </c>
      <c r="H39" s="778">
        <v>2</v>
      </c>
    </row>
    <row r="40" spans="1:8" x14ac:dyDescent="0.2">
      <c r="A40" s="756" t="s">
        <v>904</v>
      </c>
      <c r="B40" s="757">
        <f>B22*1.8</f>
        <v>21.96</v>
      </c>
      <c r="C40" s="908" t="s">
        <v>319</v>
      </c>
      <c r="D40" s="874">
        <v>12.57</v>
      </c>
      <c r="E40" s="2">
        <f>B40*D40</f>
        <v>276.03720000000004</v>
      </c>
      <c r="F40" s="43" t="s">
        <v>756</v>
      </c>
      <c r="G40" s="659">
        <v>13</v>
      </c>
      <c r="H40" s="779">
        <v>1</v>
      </c>
    </row>
    <row r="41" spans="1:8" x14ac:dyDescent="0.2">
      <c r="A41" s="498"/>
      <c r="B41" s="499"/>
      <c r="C41" s="499"/>
      <c r="D41" s="397"/>
      <c r="E41" s="494"/>
      <c r="F41" s="499"/>
      <c r="G41" s="499"/>
      <c r="H41" s="22"/>
    </row>
    <row r="42" spans="1:8" ht="13.5" thickBot="1" x14ac:dyDescent="0.25">
      <c r="A42" s="45"/>
      <c r="B42" s="23"/>
      <c r="C42" s="24"/>
      <c r="D42" s="23" t="str">
        <f>IF(A42="","",VLOOKUP(A42,$O$3:$P$11,2,FALSE))</f>
        <v/>
      </c>
      <c r="E42" s="25" t="str">
        <f>IF(A42="","",B42*D42)</f>
        <v/>
      </c>
      <c r="F42" s="12"/>
      <c r="G42" s="12"/>
      <c r="H42" s="13"/>
    </row>
  </sheetData>
  <mergeCells count="15">
    <mergeCell ref="F37:H37"/>
    <mergeCell ref="G9:H9"/>
    <mergeCell ref="A12:H12"/>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7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A14" sqref="A14"/>
    </sheetView>
  </sheetViews>
  <sheetFormatPr baseColWidth="10" defaultRowHeight="12.75" x14ac:dyDescent="0.2"/>
  <cols>
    <col min="1" max="1" width="21.42578125" customWidth="1"/>
    <col min="2" max="2" width="8.7109375" customWidth="1"/>
    <col min="3" max="3" width="5" bestFit="1"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468</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v>
      </c>
      <c r="F4" s="505" t="s">
        <v>449</v>
      </c>
      <c r="G4" s="504"/>
      <c r="H4" s="506"/>
    </row>
    <row r="5" spans="1:8" x14ac:dyDescent="0.2">
      <c r="A5" s="1175" t="s">
        <v>14</v>
      </c>
      <c r="B5" s="1176"/>
      <c r="C5" s="1176"/>
      <c r="D5" s="1176"/>
      <c r="E5" s="1176"/>
      <c r="F5" s="1176"/>
      <c r="G5" s="1176"/>
      <c r="H5" s="1177"/>
    </row>
    <row r="6" spans="1:8" ht="98.25" customHeight="1" x14ac:dyDescent="0.2">
      <c r="A6" s="1284" t="s">
        <v>469</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49"/>
      <c r="D9" s="26"/>
      <c r="E9" s="500"/>
      <c r="F9" s="389"/>
      <c r="G9" s="1308"/>
      <c r="H9" s="1308"/>
    </row>
    <row r="10" spans="1:8" x14ac:dyDescent="0.2">
      <c r="A10" s="20"/>
      <c r="B10" s="1"/>
      <c r="C10" s="26"/>
      <c r="D10" s="26"/>
      <c r="E10" s="1"/>
      <c r="F10" s="1"/>
      <c r="G10" s="26"/>
      <c r="H10" s="35"/>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ht="24" x14ac:dyDescent="0.2">
      <c r="A14" s="917" t="s">
        <v>920</v>
      </c>
      <c r="B14" s="909"/>
      <c r="C14" s="909"/>
      <c r="D14" s="909"/>
      <c r="E14" s="909"/>
      <c r="F14" s="909"/>
      <c r="G14" s="909"/>
      <c r="H14" s="909"/>
    </row>
    <row r="15" spans="1:8" x14ac:dyDescent="0.2">
      <c r="A15" s="938" t="s">
        <v>898</v>
      </c>
      <c r="B15" s="918">
        <f>B16*B17</f>
        <v>1</v>
      </c>
      <c r="C15" s="391"/>
      <c r="D15" s="391"/>
      <c r="E15" s="391"/>
      <c r="F15" s="391"/>
      <c r="G15" s="391"/>
      <c r="H15" s="391"/>
    </row>
    <row r="16" spans="1:8" x14ac:dyDescent="0.2">
      <c r="A16" s="943" t="s">
        <v>233</v>
      </c>
      <c r="B16" s="912">
        <v>2</v>
      </c>
      <c r="C16" s="912"/>
      <c r="D16" s="912"/>
      <c r="E16" s="912"/>
      <c r="F16" s="912"/>
      <c r="G16" s="912"/>
      <c r="H16" s="911"/>
    </row>
    <row r="17" spans="1:8" x14ac:dyDescent="0.2">
      <c r="A17" s="943" t="s">
        <v>231</v>
      </c>
      <c r="B17" s="912">
        <v>0.5</v>
      </c>
      <c r="C17" s="912"/>
      <c r="D17" s="912"/>
      <c r="E17" s="912"/>
      <c r="F17" s="912"/>
      <c r="G17" s="912"/>
      <c r="H17" s="912"/>
    </row>
    <row r="18" spans="1:8" x14ac:dyDescent="0.2">
      <c r="A18" s="1011" t="s">
        <v>918</v>
      </c>
      <c r="B18" s="912" t="s">
        <v>919</v>
      </c>
      <c r="C18" s="912"/>
      <c r="D18" s="912"/>
      <c r="E18" s="912"/>
      <c r="F18" s="912"/>
      <c r="G18" s="912"/>
      <c r="H18" s="912"/>
    </row>
    <row r="19" spans="1:8" x14ac:dyDescent="0.2">
      <c r="A19" s="909" t="s">
        <v>877</v>
      </c>
      <c r="B19" s="1067">
        <f>20/60/24</f>
        <v>1.3888888888888888E-2</v>
      </c>
      <c r="C19" s="912"/>
      <c r="D19" s="912"/>
      <c r="E19" s="912"/>
      <c r="F19" s="912"/>
      <c r="G19" s="912"/>
      <c r="H19" s="912"/>
    </row>
    <row r="20" spans="1:8" x14ac:dyDescent="0.2">
      <c r="A20" s="909"/>
      <c r="B20" s="912"/>
      <c r="C20" s="912"/>
      <c r="D20" s="912"/>
      <c r="E20" s="912"/>
      <c r="F20" s="912"/>
      <c r="G20" s="912"/>
      <c r="H20" s="912"/>
    </row>
    <row r="21" spans="1:8" x14ac:dyDescent="0.2">
      <c r="A21" s="912"/>
      <c r="B21" s="912"/>
      <c r="C21" s="912"/>
      <c r="D21" s="912"/>
      <c r="E21" s="912"/>
      <c r="F21" s="912"/>
      <c r="G21" s="912"/>
      <c r="H21" s="912"/>
    </row>
    <row r="22" spans="1:8" x14ac:dyDescent="0.2">
      <c r="A22" s="911"/>
      <c r="B22" s="911"/>
      <c r="C22" s="911"/>
      <c r="D22" s="911"/>
      <c r="E22" s="911"/>
      <c r="F22" s="911"/>
      <c r="G22" s="911"/>
      <c r="H22" s="393"/>
    </row>
    <row r="23" spans="1:8" x14ac:dyDescent="0.2">
      <c r="A23" s="912"/>
      <c r="B23" s="912"/>
      <c r="C23" s="912"/>
      <c r="D23" s="912"/>
      <c r="E23" s="912"/>
      <c r="F23" s="912"/>
      <c r="G23" s="912"/>
      <c r="H23" s="912"/>
    </row>
    <row r="24" spans="1:8" x14ac:dyDescent="0.2">
      <c r="A24" s="910"/>
      <c r="B24" s="910"/>
      <c r="C24" s="910"/>
      <c r="D24" s="910"/>
      <c r="E24" s="910"/>
      <c r="F24" s="910"/>
      <c r="G24" s="910"/>
      <c r="H24" s="394"/>
    </row>
    <row r="25" spans="1:8" x14ac:dyDescent="0.2">
      <c r="A25" s="14" t="s">
        <v>9</v>
      </c>
      <c r="B25" s="15"/>
      <c r="C25" s="15"/>
      <c r="D25" s="15"/>
      <c r="E25" s="15"/>
      <c r="F25" s="1155" t="s">
        <v>16</v>
      </c>
      <c r="G25" s="1155"/>
      <c r="H25" s="1156"/>
    </row>
    <row r="26" spans="1:8" ht="25.5" x14ac:dyDescent="0.2">
      <c r="A26" s="500" t="s">
        <v>4</v>
      </c>
      <c r="B26" s="500" t="s">
        <v>5</v>
      </c>
      <c r="C26" s="500" t="s">
        <v>1</v>
      </c>
      <c r="D26" s="500" t="s">
        <v>6</v>
      </c>
      <c r="E26" s="500" t="s">
        <v>7</v>
      </c>
      <c r="F26" s="498" t="s">
        <v>17</v>
      </c>
      <c r="G26" s="498" t="s">
        <v>18</v>
      </c>
      <c r="H26" s="398" t="s">
        <v>19</v>
      </c>
    </row>
    <row r="27" spans="1:8" ht="22.5" customHeight="1" x14ac:dyDescent="0.2">
      <c r="A27" s="498"/>
      <c r="B27" s="499"/>
      <c r="C27" s="499"/>
      <c r="D27" s="396"/>
      <c r="E27" s="494"/>
      <c r="F27" s="499"/>
      <c r="G27" s="499"/>
      <c r="H27" s="22"/>
    </row>
    <row r="28" spans="1:8" x14ac:dyDescent="0.2">
      <c r="A28" s="500"/>
      <c r="B28" s="499"/>
      <c r="C28" s="499"/>
      <c r="D28" s="396"/>
      <c r="E28" s="494"/>
      <c r="F28" s="499"/>
      <c r="G28" s="499"/>
      <c r="H28" s="22"/>
    </row>
    <row r="29" spans="1:8" ht="23.25" customHeight="1" x14ac:dyDescent="0.2">
      <c r="A29" s="498"/>
      <c r="B29" s="499"/>
      <c r="C29" s="499"/>
      <c r="D29" s="397"/>
      <c r="E29" s="494"/>
      <c r="F29" s="499"/>
      <c r="G29" s="499"/>
      <c r="H29" s="22"/>
    </row>
    <row r="30" spans="1:8" ht="13.5" thickBot="1" x14ac:dyDescent="0.25">
      <c r="A30" s="45"/>
      <c r="B30" s="23"/>
      <c r="C30" s="24"/>
      <c r="D30" s="23" t="str">
        <f>IF(A30="","",VLOOKUP(A30,$O$3:$P$12,2,FALSE))</f>
        <v/>
      </c>
      <c r="E30" s="25" t="str">
        <f>IF(A30="","",B30*D30)</f>
        <v/>
      </c>
      <c r="F30" s="12"/>
      <c r="G30" s="12"/>
      <c r="H30" s="13"/>
    </row>
  </sheetData>
  <mergeCells count="15">
    <mergeCell ref="F25:H25"/>
    <mergeCell ref="G9:H9"/>
    <mergeCell ref="A12:H12"/>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0"/>
  <sheetViews>
    <sheetView workbookViewId="0">
      <selection activeCell="A10" sqref="A10"/>
    </sheetView>
  </sheetViews>
  <sheetFormatPr baseColWidth="10" defaultRowHeight="12.75" x14ac:dyDescent="0.2"/>
  <cols>
    <col min="1" max="1" width="15.5703125" customWidth="1"/>
    <col min="2" max="2" width="21.42578125" customWidth="1"/>
    <col min="3" max="3" width="30.42578125" customWidth="1"/>
    <col min="4" max="4" width="12.42578125"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325" t="s">
        <v>548</v>
      </c>
      <c r="B2" s="1162"/>
      <c r="C2" s="1163"/>
      <c r="D2" s="1307" t="s">
        <v>470</v>
      </c>
      <c r="E2" s="1225"/>
      <c r="F2" s="1225"/>
      <c r="G2" s="1225"/>
      <c r="H2" s="1226"/>
    </row>
    <row r="3" spans="1:8" ht="12.75" customHeight="1" x14ac:dyDescent="0.2">
      <c r="A3" s="1167" t="s">
        <v>21</v>
      </c>
      <c r="B3" s="1169"/>
      <c r="C3" s="1170"/>
      <c r="D3" s="1171"/>
      <c r="E3" s="501" t="s">
        <v>0</v>
      </c>
      <c r="F3" s="501" t="s">
        <v>1</v>
      </c>
      <c r="G3" s="501" t="s">
        <v>2</v>
      </c>
      <c r="H3" s="502" t="s">
        <v>3</v>
      </c>
    </row>
    <row r="4" spans="1:8" ht="19.5" customHeight="1" thickBot="1" x14ac:dyDescent="0.25">
      <c r="A4" s="1168"/>
      <c r="B4" s="1172"/>
      <c r="C4" s="1173"/>
      <c r="D4" s="1174"/>
      <c r="E4" s="504">
        <v>40</v>
      </c>
      <c r="F4" s="505" t="s">
        <v>449</v>
      </c>
      <c r="G4" s="504" t="s">
        <v>926</v>
      </c>
      <c r="H4" s="506" t="s">
        <v>924</v>
      </c>
    </row>
    <row r="5" spans="1:8" x14ac:dyDescent="0.2">
      <c r="A5" s="1175" t="s">
        <v>14</v>
      </c>
      <c r="B5" s="1176"/>
      <c r="C5" s="1176"/>
      <c r="D5" s="1176"/>
      <c r="E5" s="1176"/>
      <c r="F5" s="1176"/>
      <c r="G5" s="1176"/>
      <c r="H5" s="1177"/>
    </row>
    <row r="6" spans="1:8" ht="56.25" customHeight="1" x14ac:dyDescent="0.2">
      <c r="A6" s="1284" t="s">
        <v>471</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24" x14ac:dyDescent="0.2">
      <c r="A9" s="20" t="s">
        <v>269</v>
      </c>
      <c r="B9" s="1">
        <v>1</v>
      </c>
      <c r="C9" s="1186" t="s">
        <v>929</v>
      </c>
      <c r="D9" s="1187"/>
      <c r="E9" s="1006" t="s">
        <v>927</v>
      </c>
      <c r="F9" s="389">
        <v>1</v>
      </c>
      <c r="G9" s="1308" t="s">
        <v>928</v>
      </c>
      <c r="H9" s="1308"/>
    </row>
    <row r="10" spans="1:8" x14ac:dyDescent="0.2">
      <c r="A10" s="20" t="s">
        <v>320</v>
      </c>
      <c r="B10" s="1">
        <v>1</v>
      </c>
      <c r="C10" s="1186" t="s">
        <v>930</v>
      </c>
      <c r="D10" s="1187"/>
      <c r="E10" s="1008" t="s">
        <v>303</v>
      </c>
      <c r="F10" s="389">
        <v>2</v>
      </c>
      <c r="G10" s="1186" t="s">
        <v>929</v>
      </c>
      <c r="H10" s="1187"/>
    </row>
    <row r="11" spans="1:8" x14ac:dyDescent="0.2">
      <c r="A11" s="20"/>
      <c r="B11" s="1"/>
      <c r="C11" s="1186"/>
      <c r="D11" s="1187"/>
      <c r="E11" s="1008" t="s">
        <v>931</v>
      </c>
      <c r="F11" s="389">
        <v>1</v>
      </c>
      <c r="G11" s="1186" t="s">
        <v>929</v>
      </c>
      <c r="H11" s="1187"/>
    </row>
    <row r="12" spans="1:8" x14ac:dyDescent="0.2">
      <c r="A12" s="20"/>
      <c r="B12" s="1"/>
      <c r="C12" s="1186"/>
      <c r="D12" s="1187"/>
      <c r="E12" s="1"/>
      <c r="F12" s="1"/>
      <c r="G12" s="1308"/>
      <c r="H12" s="1308"/>
    </row>
    <row r="13" spans="1:8" ht="14.25" x14ac:dyDescent="0.2">
      <c r="A13" s="31" t="s">
        <v>11</v>
      </c>
      <c r="B13" s="30"/>
      <c r="C13" s="30"/>
      <c r="D13" s="30"/>
      <c r="E13" s="30"/>
      <c r="F13" s="30"/>
      <c r="G13" s="30"/>
      <c r="H13" s="32"/>
    </row>
    <row r="14" spans="1:8" ht="62.25" customHeight="1" x14ac:dyDescent="0.2">
      <c r="A14" s="1308" t="s">
        <v>932</v>
      </c>
      <c r="B14" s="1309"/>
      <c r="C14" s="1309"/>
      <c r="D14" s="1309"/>
      <c r="E14" s="1309"/>
      <c r="F14" s="1309"/>
      <c r="G14" s="1309"/>
      <c r="H14" s="1309"/>
    </row>
    <row r="15" spans="1:8" ht="15" thickBot="1" x14ac:dyDescent="0.25">
      <c r="A15" s="31" t="s">
        <v>20</v>
      </c>
      <c r="B15" s="29"/>
      <c r="C15" s="29"/>
      <c r="D15" s="29"/>
      <c r="E15" s="29"/>
      <c r="F15" s="29"/>
      <c r="G15" s="29"/>
      <c r="H15" s="38"/>
    </row>
    <row r="16" spans="1:8" ht="12.75" customHeight="1" x14ac:dyDescent="0.2">
      <c r="A16" s="1068" t="s">
        <v>781</v>
      </c>
      <c r="B16" s="1068"/>
      <c r="C16" s="1069" t="s">
        <v>41</v>
      </c>
      <c r="D16" s="1070"/>
      <c r="E16" s="1068"/>
      <c r="F16" s="1068"/>
      <c r="G16" s="920"/>
      <c r="H16" s="920"/>
    </row>
    <row r="17" spans="1:8" ht="24" x14ac:dyDescent="0.2">
      <c r="A17" s="1071" t="s">
        <v>60</v>
      </c>
      <c r="B17" s="1071">
        <f>49.299</f>
        <v>49.298999999999999</v>
      </c>
      <c r="C17" s="1072" t="s">
        <v>42</v>
      </c>
      <c r="D17" s="1073">
        <v>26</v>
      </c>
      <c r="E17" s="1071"/>
      <c r="F17" s="1071" t="s">
        <v>917</v>
      </c>
      <c r="G17" s="921"/>
      <c r="H17" s="921"/>
    </row>
    <row r="18" spans="1:8" x14ac:dyDescent="0.2">
      <c r="A18" s="1074" t="s">
        <v>874</v>
      </c>
      <c r="B18" s="1075"/>
      <c r="C18" s="1076" t="s">
        <v>24</v>
      </c>
      <c r="D18" s="1076">
        <v>1.5</v>
      </c>
      <c r="E18" s="1071"/>
      <c r="F18" s="1095">
        <f>D36</f>
        <v>9.7000000000000017E-2</v>
      </c>
      <c r="G18" s="921"/>
      <c r="H18" s="921"/>
    </row>
    <row r="19" spans="1:8" x14ac:dyDescent="0.2">
      <c r="A19" s="1078" t="s">
        <v>26</v>
      </c>
      <c r="B19" s="1079">
        <v>300</v>
      </c>
      <c r="C19" s="1073" t="s">
        <v>43</v>
      </c>
      <c r="D19" s="1073">
        <f>D17/D18</f>
        <v>17.333333333333332</v>
      </c>
      <c r="E19" s="1071"/>
      <c r="F19" s="1071"/>
      <c r="G19" s="921"/>
      <c r="H19" s="921"/>
    </row>
    <row r="20" spans="1:8" x14ac:dyDescent="0.2">
      <c r="A20" s="1074" t="s">
        <v>27</v>
      </c>
      <c r="B20" s="1075">
        <f>B19/1000</f>
        <v>0.3</v>
      </c>
      <c r="C20" s="896" t="s">
        <v>47</v>
      </c>
      <c r="D20" s="1080">
        <f>G47</f>
        <v>26.6</v>
      </c>
      <c r="E20" s="1071"/>
      <c r="F20" s="1071"/>
      <c r="G20" s="921"/>
      <c r="H20" s="921"/>
    </row>
    <row r="21" spans="1:8" ht="38.25" customHeight="1" x14ac:dyDescent="0.2">
      <c r="A21" s="1078" t="s">
        <v>69</v>
      </c>
      <c r="B21" s="1079">
        <f>ROUNDUP(B17/B20,0)</f>
        <v>165</v>
      </c>
      <c r="C21" s="1081" t="s">
        <v>48</v>
      </c>
      <c r="D21" s="1082">
        <v>50</v>
      </c>
      <c r="E21" s="1071"/>
      <c r="F21" s="1071"/>
      <c r="G21" s="921"/>
      <c r="H21" s="921"/>
    </row>
    <row r="22" spans="1:8" x14ac:dyDescent="0.2">
      <c r="A22" s="1074" t="s">
        <v>29</v>
      </c>
      <c r="B22" s="1075">
        <v>10</v>
      </c>
      <c r="C22" s="896" t="s">
        <v>49</v>
      </c>
      <c r="D22" s="1080">
        <f>D20/D21*60</f>
        <v>31.92</v>
      </c>
      <c r="E22" s="1071"/>
      <c r="F22" s="1071"/>
      <c r="G22" s="921"/>
      <c r="H22" s="921"/>
    </row>
    <row r="23" spans="1:8" x14ac:dyDescent="0.2">
      <c r="A23" s="1078" t="s">
        <v>30</v>
      </c>
      <c r="B23" s="1079">
        <v>4</v>
      </c>
      <c r="C23" s="1073" t="s">
        <v>50</v>
      </c>
      <c r="D23" s="1083">
        <f>5</f>
        <v>5</v>
      </c>
      <c r="E23" s="1071"/>
      <c r="F23" s="1071"/>
      <c r="G23" s="921"/>
      <c r="H23" s="921"/>
    </row>
    <row r="24" spans="1:8" x14ac:dyDescent="0.2">
      <c r="A24" s="1074" t="s">
        <v>31</v>
      </c>
      <c r="B24" s="1075">
        <v>4</v>
      </c>
      <c r="C24" s="1076" t="s">
        <v>51</v>
      </c>
      <c r="D24" s="1084">
        <f>D22</f>
        <v>31.92</v>
      </c>
      <c r="E24" s="1071"/>
      <c r="F24" s="1071"/>
      <c r="G24" s="921"/>
      <c r="H24" s="921"/>
    </row>
    <row r="25" spans="1:8" x14ac:dyDescent="0.2">
      <c r="A25" s="1078" t="s">
        <v>32</v>
      </c>
      <c r="B25" s="1079">
        <v>4</v>
      </c>
      <c r="C25" s="1073" t="s">
        <v>52</v>
      </c>
      <c r="D25" s="1083">
        <v>1</v>
      </c>
      <c r="E25" s="1071"/>
      <c r="F25" s="1071"/>
      <c r="G25" s="921"/>
      <c r="H25" s="921"/>
    </row>
    <row r="26" spans="1:8" x14ac:dyDescent="0.2">
      <c r="A26" s="1074" t="s">
        <v>35</v>
      </c>
      <c r="B26" s="1075">
        <f>SUM(B22:B25)</f>
        <v>22</v>
      </c>
      <c r="C26" s="1076" t="s">
        <v>53</v>
      </c>
      <c r="D26" s="1084">
        <f>D22</f>
        <v>31.92</v>
      </c>
      <c r="E26" s="1071"/>
      <c r="F26" s="1071"/>
      <c r="G26" s="921"/>
      <c r="H26" s="921"/>
    </row>
    <row r="27" spans="1:8" x14ac:dyDescent="0.2">
      <c r="A27" s="1078" t="s">
        <v>64</v>
      </c>
      <c r="B27" s="1079">
        <f>60/80</f>
        <v>0.75</v>
      </c>
      <c r="C27" s="1073" t="s">
        <v>54</v>
      </c>
      <c r="D27" s="1083">
        <f>SUM(D23:D26)</f>
        <v>69.84</v>
      </c>
      <c r="E27" s="1071"/>
      <c r="F27" s="1071"/>
      <c r="G27" s="921"/>
      <c r="H27" s="921"/>
    </row>
    <row r="28" spans="1:8" x14ac:dyDescent="0.2">
      <c r="A28" s="1074" t="s">
        <v>65</v>
      </c>
      <c r="B28" s="1075">
        <f>80/40</f>
        <v>2</v>
      </c>
      <c r="C28" s="1076" t="s">
        <v>71</v>
      </c>
      <c r="D28" s="1084">
        <f>D27/D23</f>
        <v>13.968</v>
      </c>
      <c r="E28" s="1071"/>
      <c r="F28" s="1071"/>
      <c r="G28" s="921"/>
      <c r="H28" s="921"/>
    </row>
    <row r="29" spans="1:8" ht="25.5" x14ac:dyDescent="0.2">
      <c r="A29" s="1078" t="s">
        <v>34</v>
      </c>
      <c r="B29" s="1079">
        <f>B26*B28</f>
        <v>44</v>
      </c>
      <c r="C29" s="1085" t="s">
        <v>23</v>
      </c>
      <c r="D29" s="1083">
        <f>ROUNDUP(D28,0)</f>
        <v>14</v>
      </c>
      <c r="E29" s="1071"/>
      <c r="F29" s="1071"/>
      <c r="G29" s="921"/>
      <c r="H29" s="921"/>
    </row>
    <row r="30" spans="1:8" ht="25.5" x14ac:dyDescent="0.2">
      <c r="A30" s="1074" t="s">
        <v>235</v>
      </c>
      <c r="B30" s="1086">
        <f>B29*B21</f>
        <v>7260</v>
      </c>
      <c r="C30" s="1076" t="s">
        <v>56</v>
      </c>
      <c r="D30" s="1084">
        <f>D34*D19</f>
        <v>52</v>
      </c>
      <c r="E30" s="1071"/>
      <c r="F30" s="1071"/>
      <c r="G30" s="921"/>
      <c r="H30" s="921"/>
    </row>
    <row r="31" spans="1:8" ht="25.5" x14ac:dyDescent="0.2">
      <c r="A31" s="1087" t="s">
        <v>344</v>
      </c>
      <c r="B31" s="1088">
        <f>B30/3600/24</f>
        <v>8.4027777777777771E-2</v>
      </c>
      <c r="C31" s="1073" t="s">
        <v>55</v>
      </c>
      <c r="D31" s="1083">
        <f>B17/D30</f>
        <v>0.94805769230769232</v>
      </c>
      <c r="E31" s="1071"/>
      <c r="F31" s="1071"/>
      <c r="G31" s="921"/>
      <c r="H31" s="921"/>
    </row>
    <row r="32" spans="1:8" x14ac:dyDescent="0.2">
      <c r="A32" s="1071" t="s">
        <v>925</v>
      </c>
      <c r="B32" s="1077">
        <f>B31/B17</f>
        <v>1.7044519722058818E-3</v>
      </c>
      <c r="C32" s="1089" t="s">
        <v>23</v>
      </c>
      <c r="D32" s="1084">
        <f>ROUNDUP(D31,0)</f>
        <v>1</v>
      </c>
      <c r="E32" s="1071"/>
      <c r="F32" s="1071"/>
      <c r="G32" s="921"/>
      <c r="H32" s="921"/>
    </row>
    <row r="33" spans="1:8" x14ac:dyDescent="0.2">
      <c r="A33" s="1071"/>
      <c r="B33" s="1071"/>
      <c r="C33" s="1073" t="s">
        <v>57</v>
      </c>
      <c r="D33" s="1083">
        <f>D27*D34*D32</f>
        <v>209.52</v>
      </c>
      <c r="E33" s="1071"/>
      <c r="F33" s="1071"/>
      <c r="G33" s="921"/>
      <c r="H33" s="921"/>
    </row>
    <row r="34" spans="1:8" x14ac:dyDescent="0.2">
      <c r="A34" s="1071"/>
      <c r="B34" s="1071"/>
      <c r="C34" s="1076" t="s">
        <v>72</v>
      </c>
      <c r="D34" s="1084">
        <f>ROUNDUP(B17/D19,0)</f>
        <v>3</v>
      </c>
      <c r="E34" s="1071"/>
      <c r="F34" s="1071"/>
      <c r="G34" s="921"/>
      <c r="H34" s="921"/>
    </row>
    <row r="35" spans="1:8" ht="15" x14ac:dyDescent="0.25">
      <c r="A35" s="1071"/>
      <c r="B35" s="1071"/>
      <c r="C35" s="1073" t="s">
        <v>58</v>
      </c>
      <c r="D35" s="1090">
        <f>D33/60/24</f>
        <v>0.14549999999999999</v>
      </c>
      <c r="E35" s="1071"/>
      <c r="F35" s="1071"/>
      <c r="G35" s="921"/>
      <c r="H35" s="921"/>
    </row>
    <row r="36" spans="1:8" ht="24" x14ac:dyDescent="0.25">
      <c r="A36" s="1091"/>
      <c r="B36" s="1091"/>
      <c r="C36" s="1092" t="s">
        <v>923</v>
      </c>
      <c r="D36" s="1090">
        <f>(D27*2)/60/24</f>
        <v>9.7000000000000017E-2</v>
      </c>
      <c r="E36" s="1091"/>
      <c r="F36" s="1091"/>
      <c r="G36" s="923"/>
      <c r="H36" s="925"/>
    </row>
    <row r="37" spans="1:8" x14ac:dyDescent="0.2">
      <c r="A37" s="1091"/>
      <c r="B37" s="1091"/>
      <c r="C37" s="1091"/>
      <c r="D37" s="1091"/>
      <c r="E37" s="1091"/>
      <c r="F37" s="1091"/>
      <c r="G37" s="923"/>
      <c r="H37" s="923"/>
    </row>
    <row r="38" spans="1:8" x14ac:dyDescent="0.2">
      <c r="A38" s="926"/>
      <c r="B38" s="923"/>
      <c r="C38" s="923"/>
      <c r="D38" s="923"/>
      <c r="E38" s="923"/>
      <c r="F38" s="923"/>
      <c r="G38" s="923"/>
      <c r="H38" s="923"/>
    </row>
    <row r="39" spans="1:8" x14ac:dyDescent="0.2">
      <c r="A39" s="926"/>
      <c r="B39" s="923"/>
      <c r="C39" s="923"/>
      <c r="D39" s="923"/>
      <c r="E39" s="923"/>
      <c r="F39" s="923"/>
      <c r="G39" s="923"/>
      <c r="H39" s="923"/>
    </row>
    <row r="40" spans="1:8" x14ac:dyDescent="0.2">
      <c r="A40" s="926"/>
      <c r="B40" s="923"/>
      <c r="C40" s="923"/>
      <c r="D40" s="923"/>
      <c r="E40" s="923"/>
      <c r="F40" s="923"/>
      <c r="G40" s="923"/>
      <c r="H40" s="923"/>
    </row>
    <row r="41" spans="1:8" x14ac:dyDescent="0.2">
      <c r="A41" s="923"/>
      <c r="B41" s="923"/>
      <c r="C41" s="923"/>
      <c r="D41" s="923"/>
      <c r="E41" s="923"/>
      <c r="F41" s="923"/>
      <c r="G41" s="923"/>
      <c r="H41" s="923"/>
    </row>
    <row r="42" spans="1:8" x14ac:dyDescent="0.2">
      <c r="A42" s="929"/>
      <c r="B42" s="929"/>
      <c r="C42" s="929"/>
      <c r="D42" s="929"/>
      <c r="E42" s="929"/>
      <c r="F42" s="929"/>
      <c r="G42" s="929"/>
      <c r="H42" s="927"/>
    </row>
    <row r="43" spans="1:8" x14ac:dyDescent="0.2">
      <c r="A43" s="930"/>
      <c r="B43" s="930"/>
      <c r="C43" s="930"/>
      <c r="D43" s="930"/>
      <c r="E43" s="930"/>
      <c r="F43" s="930"/>
      <c r="G43" s="930"/>
      <c r="H43" s="923"/>
    </row>
    <row r="44" spans="1:8" x14ac:dyDescent="0.2">
      <c r="A44" s="920"/>
      <c r="B44" s="920"/>
      <c r="C44" s="920"/>
      <c r="D44" s="920"/>
      <c r="E44" s="920"/>
      <c r="F44" s="920"/>
      <c r="G44" s="920"/>
      <c r="H44" s="1023"/>
    </row>
    <row r="45" spans="1:8" x14ac:dyDescent="0.2">
      <c r="A45" s="14" t="s">
        <v>9</v>
      </c>
      <c r="B45" s="15"/>
      <c r="C45" s="15"/>
      <c r="D45" s="15"/>
      <c r="E45" s="15"/>
      <c r="F45" s="1155" t="s">
        <v>16</v>
      </c>
      <c r="G45" s="1155"/>
      <c r="H45" s="1156"/>
    </row>
    <row r="46" spans="1:8" ht="25.5" x14ac:dyDescent="0.2">
      <c r="A46" s="500" t="s">
        <v>4</v>
      </c>
      <c r="B46" s="500" t="s">
        <v>5</v>
      </c>
      <c r="C46" s="500" t="s">
        <v>1</v>
      </c>
      <c r="D46" s="500" t="s">
        <v>6</v>
      </c>
      <c r="E46" s="500" t="s">
        <v>7</v>
      </c>
      <c r="F46" s="498" t="s">
        <v>17</v>
      </c>
      <c r="G46" s="498" t="s">
        <v>18</v>
      </c>
      <c r="H46" s="398" t="s">
        <v>19</v>
      </c>
    </row>
    <row r="47" spans="1:8" ht="22.5" customHeight="1" x14ac:dyDescent="0.2">
      <c r="A47" s="498" t="s">
        <v>921</v>
      </c>
      <c r="B47" s="499">
        <f>B17</f>
        <v>49.298999999999999</v>
      </c>
      <c r="C47" s="499" t="s">
        <v>22</v>
      </c>
      <c r="D47" s="1096"/>
      <c r="E47" s="494">
        <f>D47*B47</f>
        <v>0</v>
      </c>
      <c r="F47" s="499" t="s">
        <v>922</v>
      </c>
      <c r="G47" s="499">
        <v>26.6</v>
      </c>
      <c r="H47" s="22">
        <v>2</v>
      </c>
    </row>
    <row r="48" spans="1:8" x14ac:dyDescent="0.2">
      <c r="A48" s="500"/>
      <c r="B48" s="499"/>
      <c r="C48" s="499"/>
      <c r="D48" s="396"/>
      <c r="E48" s="494"/>
      <c r="F48" s="499"/>
      <c r="G48" s="499"/>
      <c r="H48" s="22"/>
    </row>
    <row r="49" spans="1:8" ht="23.25" customHeight="1" x14ac:dyDescent="0.2">
      <c r="A49" s="498"/>
      <c r="B49" s="499"/>
      <c r="C49" s="499"/>
      <c r="D49" s="397"/>
      <c r="E49" s="494"/>
      <c r="F49" s="499"/>
      <c r="G49" s="499"/>
      <c r="H49" s="22"/>
    </row>
    <row r="50" spans="1:8" ht="13.5" thickBot="1" x14ac:dyDescent="0.25">
      <c r="A50" s="45"/>
      <c r="B50" s="23"/>
      <c r="C50" s="24"/>
      <c r="D50" s="23" t="str">
        <f>IF(A50="","",VLOOKUP(A50,$O$3:$P$14,2,FALSE))</f>
        <v/>
      </c>
      <c r="E50" s="25" t="str">
        <f>IF(A50="","",B50*D50)</f>
        <v/>
      </c>
      <c r="F50" s="12"/>
      <c r="G50" s="12"/>
      <c r="H50" s="13"/>
    </row>
  </sheetData>
  <mergeCells count="22">
    <mergeCell ref="F45:H45"/>
    <mergeCell ref="G9:H9"/>
    <mergeCell ref="A14:H14"/>
    <mergeCell ref="A5:H5"/>
    <mergeCell ref="A6:H6"/>
    <mergeCell ref="A7:D7"/>
    <mergeCell ref="E7:H7"/>
    <mergeCell ref="C8:D8"/>
    <mergeCell ref="G8:H8"/>
    <mergeCell ref="C9:D9"/>
    <mergeCell ref="C12:D12"/>
    <mergeCell ref="C10:D10"/>
    <mergeCell ref="C11:D11"/>
    <mergeCell ref="G10:H10"/>
    <mergeCell ref="G11:H11"/>
    <mergeCell ref="G12:H12"/>
    <mergeCell ref="A1:C1"/>
    <mergeCell ref="D1:H1"/>
    <mergeCell ref="A2:C2"/>
    <mergeCell ref="D2:H2"/>
    <mergeCell ref="A3:A4"/>
    <mergeCell ref="B3:D4"/>
  </mergeCells>
  <pageMargins left="0.25" right="0.25" top="0.75" bottom="0.75" header="0.3" footer="0.3"/>
  <pageSetup paperSize="9" scale="81"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E9" sqref="E9:H10"/>
    </sheetView>
  </sheetViews>
  <sheetFormatPr baseColWidth="10" defaultRowHeight="12.75" x14ac:dyDescent="0.2"/>
  <cols>
    <col min="1" max="1" width="15.5703125" customWidth="1"/>
    <col min="2" max="2" width="6.85546875" bestFit="1" customWidth="1"/>
    <col min="3" max="3" width="5" bestFit="1"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39.75" customHeight="1" thickBot="1" x14ac:dyDescent="0.25">
      <c r="A2" s="1343" t="s">
        <v>548</v>
      </c>
      <c r="B2" s="1344"/>
      <c r="C2" s="1345"/>
      <c r="D2" s="1307" t="s">
        <v>472</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500</v>
      </c>
      <c r="F4" s="505" t="s">
        <v>449</v>
      </c>
      <c r="G4" s="504" t="s">
        <v>947</v>
      </c>
      <c r="H4" s="506" t="s">
        <v>946</v>
      </c>
    </row>
    <row r="5" spans="1:8" x14ac:dyDescent="0.2">
      <c r="A5" s="1175" t="s">
        <v>14</v>
      </c>
      <c r="B5" s="1176"/>
      <c r="C5" s="1176"/>
      <c r="D5" s="1176"/>
      <c r="E5" s="1176"/>
      <c r="F5" s="1176"/>
      <c r="G5" s="1176"/>
      <c r="H5" s="1177"/>
    </row>
    <row r="6" spans="1:8" ht="237" customHeight="1" x14ac:dyDescent="0.2">
      <c r="A6" s="1284" t="s">
        <v>933</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1186"/>
      <c r="D9" s="1187"/>
      <c r="E9" s="1008" t="s">
        <v>303</v>
      </c>
      <c r="F9" s="389">
        <v>2</v>
      </c>
      <c r="G9" s="1186" t="s">
        <v>929</v>
      </c>
      <c r="H9" s="1187"/>
    </row>
    <row r="10" spans="1:8" x14ac:dyDescent="0.2">
      <c r="A10" s="20"/>
      <c r="B10" s="1"/>
      <c r="C10" s="1318"/>
      <c r="D10" s="1319"/>
      <c r="E10" s="1008" t="s">
        <v>931</v>
      </c>
      <c r="F10" s="389">
        <v>1</v>
      </c>
      <c r="G10" s="1186" t="s">
        <v>929</v>
      </c>
      <c r="H10" s="1187"/>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x14ac:dyDescent="0.2">
      <c r="A14" s="915" t="s">
        <v>781</v>
      </c>
      <c r="B14" s="915"/>
      <c r="C14" s="915"/>
      <c r="D14" s="915"/>
      <c r="E14" s="915"/>
      <c r="F14" s="915"/>
      <c r="G14" s="915"/>
      <c r="H14" s="915"/>
    </row>
    <row r="15" spans="1:8" x14ac:dyDescent="0.2">
      <c r="A15" s="915" t="s">
        <v>937</v>
      </c>
      <c r="B15" s="915">
        <v>500</v>
      </c>
      <c r="C15" s="391"/>
      <c r="D15" s="391"/>
      <c r="E15" s="391"/>
      <c r="F15" s="391"/>
      <c r="G15" s="391"/>
      <c r="H15" s="391"/>
    </row>
    <row r="16" spans="1:8" ht="24" x14ac:dyDescent="0.2">
      <c r="A16" s="915" t="s">
        <v>945</v>
      </c>
      <c r="B16" s="915">
        <v>10</v>
      </c>
      <c r="C16" s="1008"/>
      <c r="D16" s="1008"/>
      <c r="E16" s="1008"/>
      <c r="F16" s="1008"/>
      <c r="G16" s="1008"/>
      <c r="H16" s="392"/>
    </row>
    <row r="17" spans="1:8" x14ac:dyDescent="0.2">
      <c r="A17" s="915" t="s">
        <v>102</v>
      </c>
      <c r="B17" s="915">
        <f>B15*B16</f>
        <v>5000</v>
      </c>
      <c r="C17" s="1008"/>
      <c r="D17" s="1008"/>
      <c r="E17" s="1008"/>
      <c r="F17" s="1008"/>
      <c r="G17" s="1008"/>
      <c r="H17" s="1008"/>
    </row>
    <row r="18" spans="1:8" x14ac:dyDescent="0.2">
      <c r="A18" s="1006"/>
      <c r="B18" s="1132">
        <f>B17/3600/24</f>
        <v>5.7870370370370371E-2</v>
      </c>
      <c r="C18" s="1008"/>
      <c r="D18" s="1008"/>
      <c r="E18" s="1008"/>
      <c r="F18" s="1008"/>
      <c r="G18" s="1008"/>
      <c r="H18" s="1008"/>
    </row>
    <row r="19" spans="1:8" x14ac:dyDescent="0.2">
      <c r="A19" s="1006"/>
      <c r="B19" s="1008"/>
      <c r="C19" s="1008"/>
      <c r="D19" s="1008"/>
      <c r="E19" s="1008"/>
      <c r="F19" s="1008"/>
      <c r="G19" s="1008"/>
      <c r="H19" s="1008"/>
    </row>
    <row r="20" spans="1:8" x14ac:dyDescent="0.2">
      <c r="A20" s="1006"/>
      <c r="B20" s="1008"/>
      <c r="C20" s="1008"/>
      <c r="D20" s="1008"/>
      <c r="E20" s="1008"/>
      <c r="F20" s="1008"/>
      <c r="G20" s="1008"/>
      <c r="H20" s="1008"/>
    </row>
    <row r="21" spans="1:8" x14ac:dyDescent="0.2">
      <c r="A21" s="1008"/>
      <c r="B21" s="1008"/>
      <c r="C21" s="1008"/>
      <c r="D21" s="1008"/>
      <c r="E21" s="1008"/>
      <c r="F21" s="1008"/>
      <c r="G21" s="1008"/>
      <c r="H21" s="1008"/>
    </row>
    <row r="22" spans="1:8" x14ac:dyDescent="0.2">
      <c r="A22" s="935"/>
      <c r="B22" s="935"/>
      <c r="C22" s="935"/>
      <c r="D22" s="935"/>
      <c r="E22" s="935"/>
      <c r="F22" s="935"/>
      <c r="G22" s="935"/>
      <c r="H22" s="393"/>
    </row>
    <row r="23" spans="1:8" x14ac:dyDescent="0.2">
      <c r="A23" s="936"/>
      <c r="B23" s="936"/>
      <c r="C23" s="936"/>
      <c r="D23" s="936"/>
      <c r="E23" s="936"/>
      <c r="F23" s="936"/>
      <c r="G23" s="936"/>
      <c r="H23" s="1008"/>
    </row>
    <row r="24" spans="1:8" x14ac:dyDescent="0.2">
      <c r="A24" s="937"/>
      <c r="B24" s="937"/>
      <c r="C24" s="937"/>
      <c r="D24" s="937"/>
      <c r="E24" s="937"/>
      <c r="F24" s="937"/>
      <c r="G24" s="937"/>
      <c r="H24" s="394"/>
    </row>
    <row r="25" spans="1:8" x14ac:dyDescent="0.2">
      <c r="A25" s="14" t="s">
        <v>9</v>
      </c>
      <c r="B25" s="15"/>
      <c r="C25" s="15"/>
      <c r="D25" s="15"/>
      <c r="E25" s="15"/>
      <c r="F25" s="1155" t="s">
        <v>16</v>
      </c>
      <c r="G25" s="1155"/>
      <c r="H25" s="1156"/>
    </row>
    <row r="26" spans="1:8" ht="25.5" x14ac:dyDescent="0.2">
      <c r="A26" s="500" t="s">
        <v>4</v>
      </c>
      <c r="B26" s="500" t="s">
        <v>5</v>
      </c>
      <c r="C26" s="500" t="s">
        <v>1</v>
      </c>
      <c r="D26" s="500" t="s">
        <v>6</v>
      </c>
      <c r="E26" s="500" t="s">
        <v>7</v>
      </c>
      <c r="F26" s="498" t="s">
        <v>17</v>
      </c>
      <c r="G26" s="498" t="s">
        <v>18</v>
      </c>
      <c r="H26" s="398" t="s">
        <v>19</v>
      </c>
    </row>
    <row r="27" spans="1:8" ht="22.5" customHeight="1" x14ac:dyDescent="0.2">
      <c r="A27" s="498"/>
      <c r="B27" s="499"/>
      <c r="C27" s="499"/>
      <c r="D27" s="396"/>
      <c r="E27" s="494"/>
      <c r="F27" s="499"/>
      <c r="G27" s="499"/>
      <c r="H27" s="22"/>
    </row>
    <row r="28" spans="1:8" x14ac:dyDescent="0.2">
      <c r="A28" s="500"/>
      <c r="B28" s="499"/>
      <c r="C28" s="499"/>
      <c r="D28" s="396"/>
      <c r="E28" s="494"/>
      <c r="F28" s="499"/>
      <c r="G28" s="499"/>
      <c r="H28" s="22"/>
    </row>
    <row r="29" spans="1:8" ht="23.25" customHeight="1" x14ac:dyDescent="0.2">
      <c r="A29" s="498"/>
      <c r="B29" s="499"/>
      <c r="C29" s="499"/>
      <c r="D29" s="397"/>
      <c r="E29" s="494"/>
      <c r="F29" s="499"/>
      <c r="G29" s="499"/>
      <c r="H29" s="22"/>
    </row>
    <row r="30" spans="1:8" ht="13.5" thickBot="1" x14ac:dyDescent="0.25">
      <c r="A30" s="45"/>
      <c r="B30" s="23"/>
      <c r="C30" s="24"/>
      <c r="D30" s="23" t="str">
        <f>IF(A30="","",VLOOKUP(A30,$O$3:$P$12,2,FALSE))</f>
        <v/>
      </c>
      <c r="E30" s="25" t="str">
        <f>IF(A30="","",B30*D30)</f>
        <v/>
      </c>
      <c r="F30" s="12"/>
      <c r="G30" s="12"/>
      <c r="H30" s="13"/>
    </row>
  </sheetData>
  <mergeCells count="18">
    <mergeCell ref="F25:H25"/>
    <mergeCell ref="G9:H9"/>
    <mergeCell ref="A12:H12"/>
    <mergeCell ref="G10:H10"/>
    <mergeCell ref="C9:D9"/>
    <mergeCell ref="C10:D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topLeftCell="A10" workbookViewId="0">
      <selection activeCell="G19" sqref="G19"/>
    </sheetView>
  </sheetViews>
  <sheetFormatPr baseColWidth="10" defaultRowHeight="12.75" x14ac:dyDescent="0.2"/>
  <cols>
    <col min="1" max="1" width="15.5703125" customWidth="1"/>
    <col min="2" max="2" width="4.85546875" bestFit="1" customWidth="1"/>
    <col min="3" max="3" width="14.7109375" bestFit="1" customWidth="1"/>
    <col min="4" max="4" width="17.7109375" customWidth="1"/>
    <col min="5" max="5" width="17.28515625" customWidth="1"/>
    <col min="6" max="6" width="18.140625" customWidth="1"/>
    <col min="14" max="14" width="12.42578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473</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500</v>
      </c>
      <c r="F4" s="505" t="s">
        <v>449</v>
      </c>
      <c r="G4" s="504" t="s">
        <v>944</v>
      </c>
      <c r="H4" s="506" t="s">
        <v>943</v>
      </c>
    </row>
    <row r="5" spans="1:8" x14ac:dyDescent="0.2">
      <c r="A5" s="1175" t="s">
        <v>14</v>
      </c>
      <c r="B5" s="1176"/>
      <c r="C5" s="1176"/>
      <c r="D5" s="1176"/>
      <c r="E5" s="1176"/>
      <c r="F5" s="1176"/>
      <c r="G5" s="1176"/>
      <c r="H5" s="1177"/>
    </row>
    <row r="6" spans="1:8" ht="151.5" customHeight="1" x14ac:dyDescent="0.2">
      <c r="A6" s="1284" t="s">
        <v>936</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ht="15.75" x14ac:dyDescent="0.25">
      <c r="A9" s="4" t="s">
        <v>269</v>
      </c>
      <c r="B9" s="5"/>
      <c r="C9" s="1005"/>
      <c r="D9" s="1104"/>
      <c r="E9" s="5"/>
      <c r="F9" s="5"/>
      <c r="G9" s="1004"/>
      <c r="H9" s="1004"/>
    </row>
    <row r="10" spans="1:8" ht="15.75" x14ac:dyDescent="0.25">
      <c r="A10" s="4"/>
      <c r="B10" s="5"/>
      <c r="C10" s="1005"/>
      <c r="D10" s="1104"/>
      <c r="E10" s="5"/>
      <c r="F10" s="5"/>
      <c r="G10" s="1004"/>
      <c r="H10" s="1004"/>
    </row>
    <row r="11" spans="1:8" x14ac:dyDescent="0.2">
      <c r="A11" s="20"/>
      <c r="B11" s="1"/>
      <c r="C11" s="1186"/>
      <c r="D11" s="1187"/>
      <c r="E11" s="1008"/>
      <c r="F11" s="389"/>
      <c r="G11" s="1308"/>
      <c r="H11" s="1308"/>
    </row>
    <row r="12" spans="1:8" x14ac:dyDescent="0.2">
      <c r="A12" s="20"/>
      <c r="B12" s="1"/>
      <c r="C12" s="1318"/>
      <c r="D12" s="1319"/>
      <c r="E12" s="1"/>
      <c r="F12" s="1"/>
      <c r="G12" s="1324"/>
      <c r="H12" s="1310"/>
    </row>
    <row r="13" spans="1:8" ht="14.25" x14ac:dyDescent="0.2">
      <c r="A13" s="31" t="s">
        <v>11</v>
      </c>
      <c r="B13" s="30"/>
      <c r="C13" s="30"/>
      <c r="D13" s="30"/>
      <c r="E13" s="30"/>
      <c r="F13" s="30"/>
      <c r="G13" s="30"/>
      <c r="H13" s="32"/>
    </row>
    <row r="14" spans="1:8" ht="62.25" customHeight="1" x14ac:dyDescent="0.2">
      <c r="A14" s="1308"/>
      <c r="B14" s="1309"/>
      <c r="C14" s="1309"/>
      <c r="D14" s="1309"/>
      <c r="E14" s="1309"/>
      <c r="F14" s="1309"/>
      <c r="G14" s="1309"/>
      <c r="H14" s="1309"/>
    </row>
    <row r="15" spans="1:8" ht="15" thickBot="1" x14ac:dyDescent="0.25">
      <c r="A15" s="277" t="s">
        <v>20</v>
      </c>
      <c r="B15" s="276"/>
      <c r="C15" s="276"/>
      <c r="D15" s="276"/>
      <c r="E15" s="276"/>
      <c r="F15" s="276"/>
      <c r="G15" s="29"/>
      <c r="H15" s="38"/>
    </row>
    <row r="16" spans="1:8" ht="12.75" customHeight="1" thickBot="1" x14ac:dyDescent="0.25">
      <c r="A16" s="1128" t="s">
        <v>939</v>
      </c>
      <c r="B16" s="1127"/>
      <c r="C16" s="1118" t="s">
        <v>874</v>
      </c>
      <c r="D16" s="1119" t="s">
        <v>941</v>
      </c>
      <c r="E16" s="1118" t="s">
        <v>874</v>
      </c>
      <c r="F16" s="1119" t="s">
        <v>939</v>
      </c>
      <c r="G16" s="1126"/>
      <c r="H16" s="1101"/>
    </row>
    <row r="17" spans="1:8" ht="24.75" customHeight="1" thickBot="1" x14ac:dyDescent="0.25">
      <c r="A17" s="1129" t="s">
        <v>781</v>
      </c>
      <c r="B17" s="1130"/>
      <c r="C17" s="1116" t="s">
        <v>26</v>
      </c>
      <c r="D17" s="1117">
        <v>800</v>
      </c>
      <c r="E17" s="1116" t="s">
        <v>26</v>
      </c>
      <c r="F17" s="1117">
        <v>800</v>
      </c>
      <c r="G17" s="1346" t="s">
        <v>942</v>
      </c>
      <c r="H17" s="1347"/>
    </row>
    <row r="18" spans="1:8" x14ac:dyDescent="0.2">
      <c r="A18" s="1131" t="s">
        <v>898</v>
      </c>
      <c r="B18" s="1121">
        <v>500</v>
      </c>
      <c r="C18" s="1109" t="s">
        <v>27</v>
      </c>
      <c r="D18" s="1110">
        <f>D17/1000</f>
        <v>0.8</v>
      </c>
      <c r="E18" s="1109" t="s">
        <v>27</v>
      </c>
      <c r="F18" s="1110">
        <f>F17/1000</f>
        <v>0.8</v>
      </c>
      <c r="G18" s="1149">
        <f>D29+F29</f>
        <v>9.1481481481481469E-2</v>
      </c>
      <c r="H18" s="1150"/>
    </row>
    <row r="19" spans="1:8" ht="25.5" x14ac:dyDescent="0.2">
      <c r="A19" s="1123" t="s">
        <v>938</v>
      </c>
      <c r="B19" s="1122">
        <v>0.15</v>
      </c>
      <c r="C19" s="1107" t="s">
        <v>69</v>
      </c>
      <c r="D19" s="1108">
        <f>ROUNDUP(B22/D18,0)</f>
        <v>157</v>
      </c>
      <c r="E19" s="1107" t="s">
        <v>69</v>
      </c>
      <c r="F19" s="1108">
        <f>ROUNDUP(B20/F18,0)</f>
        <v>94</v>
      </c>
      <c r="G19" s="1126"/>
      <c r="H19" s="1101"/>
    </row>
    <row r="20" spans="1:8" x14ac:dyDescent="0.2">
      <c r="A20" s="1123" t="s">
        <v>283</v>
      </c>
      <c r="B20" s="1122">
        <f>B19*B18</f>
        <v>75</v>
      </c>
      <c r="C20" s="1109" t="s">
        <v>29</v>
      </c>
      <c r="D20" s="1110">
        <v>6</v>
      </c>
      <c r="E20" s="1109" t="s">
        <v>29</v>
      </c>
      <c r="F20" s="1110">
        <v>10</v>
      </c>
      <c r="G20" s="1126"/>
      <c r="H20" s="1101"/>
    </row>
    <row r="21" spans="1:8" ht="24" x14ac:dyDescent="0.2">
      <c r="A21" s="1123" t="s">
        <v>940</v>
      </c>
      <c r="B21" s="1122">
        <v>0.25</v>
      </c>
      <c r="C21" s="1107" t="s">
        <v>30</v>
      </c>
      <c r="D21" s="1108">
        <v>4</v>
      </c>
      <c r="E21" s="1107" t="s">
        <v>30</v>
      </c>
      <c r="F21" s="1108">
        <v>4</v>
      </c>
      <c r="G21" s="1126"/>
      <c r="H21" s="1101"/>
    </row>
    <row r="22" spans="1:8" ht="13.5" thickBot="1" x14ac:dyDescent="0.25">
      <c r="A22" s="1124" t="s">
        <v>283</v>
      </c>
      <c r="B22" s="1125">
        <f>B21*B18</f>
        <v>125</v>
      </c>
      <c r="C22" s="1109" t="s">
        <v>31</v>
      </c>
      <c r="D22" s="1110">
        <v>4</v>
      </c>
      <c r="E22" s="1109" t="s">
        <v>31</v>
      </c>
      <c r="F22" s="1110">
        <v>4</v>
      </c>
      <c r="G22" s="1126"/>
      <c r="H22" s="1101"/>
    </row>
    <row r="23" spans="1:8" x14ac:dyDescent="0.2">
      <c r="A23" s="1106"/>
      <c r="B23" s="1120"/>
      <c r="C23" s="1107" t="s">
        <v>32</v>
      </c>
      <c r="D23" s="1108">
        <v>4</v>
      </c>
      <c r="E23" s="1107" t="s">
        <v>32</v>
      </c>
      <c r="F23" s="1108">
        <v>4</v>
      </c>
      <c r="G23" s="1126"/>
      <c r="H23" s="1101"/>
    </row>
    <row r="24" spans="1:8" x14ac:dyDescent="0.2">
      <c r="A24" s="1101"/>
      <c r="B24" s="1105"/>
      <c r="C24" s="1109" t="s">
        <v>35</v>
      </c>
      <c r="D24" s="1110">
        <f>SUM(D20:D23)</f>
        <v>18</v>
      </c>
      <c r="E24" s="1109" t="s">
        <v>35</v>
      </c>
      <c r="F24" s="1110">
        <f>SUM(F20:F23)</f>
        <v>22</v>
      </c>
      <c r="G24" s="1126"/>
      <c r="H24" s="1101"/>
    </row>
    <row r="25" spans="1:8" ht="25.5" x14ac:dyDescent="0.2">
      <c r="A25" s="1101"/>
      <c r="B25" s="1105"/>
      <c r="C25" s="1107" t="s">
        <v>64</v>
      </c>
      <c r="D25" s="1108">
        <f>60/80</f>
        <v>0.75</v>
      </c>
      <c r="E25" s="1107" t="s">
        <v>64</v>
      </c>
      <c r="F25" s="1108">
        <f>60/80</f>
        <v>0.75</v>
      </c>
      <c r="G25" s="1126"/>
      <c r="H25" s="1101"/>
    </row>
    <row r="26" spans="1:8" x14ac:dyDescent="0.2">
      <c r="A26" s="1101"/>
      <c r="B26" s="1105"/>
      <c r="C26" s="1109" t="s">
        <v>65</v>
      </c>
      <c r="D26" s="1110">
        <f>80/60</f>
        <v>1.3333333333333333</v>
      </c>
      <c r="E26" s="1109" t="s">
        <v>65</v>
      </c>
      <c r="F26" s="1110">
        <f>80/40</f>
        <v>2</v>
      </c>
      <c r="G26" s="1126"/>
      <c r="H26" s="1101"/>
    </row>
    <row r="27" spans="1:8" ht="25.5" x14ac:dyDescent="0.2">
      <c r="A27" s="1101"/>
      <c r="B27" s="1105"/>
      <c r="C27" s="1107" t="s">
        <v>34</v>
      </c>
      <c r="D27" s="1108">
        <f>D24*D26</f>
        <v>24</v>
      </c>
      <c r="E27" s="1107" t="s">
        <v>34</v>
      </c>
      <c r="F27" s="1108">
        <f>F24*F26</f>
        <v>44</v>
      </c>
      <c r="G27" s="1126"/>
      <c r="H27" s="1101"/>
    </row>
    <row r="28" spans="1:8" ht="25.5" x14ac:dyDescent="0.2">
      <c r="A28" s="1101"/>
      <c r="B28" s="1105"/>
      <c r="C28" s="1109" t="s">
        <v>235</v>
      </c>
      <c r="D28" s="1111">
        <f>D27*D19</f>
        <v>3768</v>
      </c>
      <c r="E28" s="1109" t="s">
        <v>235</v>
      </c>
      <c r="F28" s="1111">
        <f>F27*F19</f>
        <v>4136</v>
      </c>
      <c r="G28" s="1126"/>
      <c r="H28" s="1101"/>
    </row>
    <row r="29" spans="1:8" ht="25.5" x14ac:dyDescent="0.2">
      <c r="A29" s="1101"/>
      <c r="B29" s="1105"/>
      <c r="C29" s="1112" t="s">
        <v>344</v>
      </c>
      <c r="D29" s="1113">
        <f>D28/3600/24</f>
        <v>4.3611111111111107E-2</v>
      </c>
      <c r="E29" s="1112" t="s">
        <v>344</v>
      </c>
      <c r="F29" s="1113">
        <f>F28/3600/24</f>
        <v>4.7870370370370369E-2</v>
      </c>
      <c r="G29" s="1126"/>
      <c r="H29" s="1101"/>
    </row>
    <row r="30" spans="1:8" ht="13.5" thickBot="1" x14ac:dyDescent="0.25">
      <c r="A30" s="1101"/>
      <c r="B30" s="1105"/>
      <c r="C30" s="1114" t="s">
        <v>925</v>
      </c>
      <c r="D30" s="1115">
        <f>D29/B18</f>
        <v>8.7222222222222218E-5</v>
      </c>
      <c r="E30" s="1114" t="s">
        <v>925</v>
      </c>
      <c r="F30" s="1115">
        <f>F29/B18</f>
        <v>9.5740740740740733E-5</v>
      </c>
      <c r="G30" s="1126"/>
      <c r="H30" s="1101"/>
    </row>
    <row r="31" spans="1:8" x14ac:dyDescent="0.2">
      <c r="A31" s="1101"/>
      <c r="B31" s="1101"/>
      <c r="C31" s="1106"/>
      <c r="D31" s="1106"/>
      <c r="E31" s="1106"/>
      <c r="F31" s="1106"/>
      <c r="G31" s="1101"/>
      <c r="H31" s="1101"/>
    </row>
    <row r="32" spans="1:8" x14ac:dyDescent="0.2">
      <c r="A32" s="1101"/>
      <c r="B32" s="1101"/>
      <c r="C32" s="1101"/>
      <c r="D32" s="1101"/>
      <c r="E32" s="1101"/>
      <c r="F32" s="1101"/>
      <c r="G32" s="1101"/>
      <c r="H32" s="1102"/>
    </row>
    <row r="33" spans="1:8" x14ac:dyDescent="0.2">
      <c r="A33" s="1101"/>
      <c r="B33" s="1101"/>
      <c r="C33" s="1101"/>
      <c r="D33" s="1101"/>
      <c r="E33" s="1101"/>
      <c r="F33" s="1101"/>
      <c r="G33" s="1101"/>
      <c r="H33" s="1101"/>
    </row>
    <row r="34" spans="1:8" x14ac:dyDescent="0.2">
      <c r="A34" s="1101"/>
      <c r="B34" s="1101"/>
      <c r="C34" s="1101"/>
      <c r="D34" s="1101"/>
      <c r="E34" s="1101"/>
      <c r="F34" s="1101"/>
      <c r="G34" s="1101"/>
      <c r="H34" s="1103"/>
    </row>
    <row r="35" spans="1:8" x14ac:dyDescent="0.2">
      <c r="A35" s="14" t="s">
        <v>9</v>
      </c>
      <c r="B35" s="15"/>
      <c r="C35" s="15"/>
      <c r="D35" s="15"/>
      <c r="E35" s="15"/>
      <c r="F35" s="1155" t="s">
        <v>16</v>
      </c>
      <c r="G35" s="1155"/>
      <c r="H35" s="1156"/>
    </row>
    <row r="36" spans="1:8" ht="25.5" x14ac:dyDescent="0.2">
      <c r="A36" s="1008" t="s">
        <v>4</v>
      </c>
      <c r="B36" s="1008" t="s">
        <v>5</v>
      </c>
      <c r="C36" s="1008" t="s">
        <v>1</v>
      </c>
      <c r="D36" s="1008" t="s">
        <v>6</v>
      </c>
      <c r="E36" s="1008" t="s">
        <v>7</v>
      </c>
      <c r="F36" s="1006" t="s">
        <v>17</v>
      </c>
      <c r="G36" s="1006" t="s">
        <v>18</v>
      </c>
      <c r="H36" s="398" t="s">
        <v>19</v>
      </c>
    </row>
    <row r="37" spans="1:8" ht="22.5" customHeight="1" x14ac:dyDescent="0.2">
      <c r="A37" s="2" t="s">
        <v>934</v>
      </c>
      <c r="B37" s="1">
        <f>B20</f>
        <v>75</v>
      </c>
      <c r="C37" s="1004" t="s">
        <v>22</v>
      </c>
      <c r="D37" s="1"/>
      <c r="E37" s="2"/>
      <c r="F37" s="662" t="s">
        <v>935</v>
      </c>
      <c r="G37" s="662">
        <v>1</v>
      </c>
      <c r="H37" s="778"/>
    </row>
    <row r="38" spans="1:8" x14ac:dyDescent="0.2">
      <c r="A38" s="1008"/>
      <c r="B38" s="1007"/>
      <c r="C38" s="1007"/>
      <c r="D38" s="396"/>
      <c r="E38" s="494"/>
      <c r="F38" s="1007"/>
      <c r="G38" s="1007"/>
      <c r="H38" s="22"/>
    </row>
    <row r="39" spans="1:8" ht="23.25" customHeight="1" x14ac:dyDescent="0.2">
      <c r="A39" s="1006"/>
      <c r="B39" s="1007"/>
      <c r="C39" s="1007"/>
      <c r="D39" s="397"/>
      <c r="E39" s="494"/>
      <c r="F39" s="1007"/>
      <c r="G39" s="1007"/>
      <c r="H39" s="22"/>
    </row>
    <row r="40" spans="1:8" ht="13.5" thickBot="1" x14ac:dyDescent="0.25">
      <c r="A40" s="45"/>
      <c r="B40" s="23"/>
      <c r="C40" s="24"/>
      <c r="D40" s="23" t="str">
        <f>IF(A40="","",VLOOKUP(A40,$O$3:$P$14,2,FALSE))</f>
        <v/>
      </c>
      <c r="E40" s="25" t="str">
        <f>IF(A40="","",B40*D40)</f>
        <v/>
      </c>
      <c r="F40" s="12"/>
      <c r="G40" s="12"/>
      <c r="H40" s="13"/>
    </row>
  </sheetData>
  <mergeCells count="19">
    <mergeCell ref="F35:H35"/>
    <mergeCell ref="G11:H11"/>
    <mergeCell ref="A14:H14"/>
    <mergeCell ref="C11:D11"/>
    <mergeCell ref="C12:D12"/>
    <mergeCell ref="G12:H12"/>
    <mergeCell ref="G17:H17"/>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scale="8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topLeftCell="A4" workbookViewId="0">
      <selection activeCell="G11" sqref="G11"/>
    </sheetView>
  </sheetViews>
  <sheetFormatPr baseColWidth="10" defaultRowHeight="12.75" x14ac:dyDescent="0.2"/>
  <cols>
    <col min="1" max="1" width="20.7109375" customWidth="1"/>
    <col min="2" max="2" width="6.85546875" bestFit="1" customWidth="1"/>
    <col min="3" max="3" width="5" bestFit="1"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948</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c r="F4" s="505" t="s">
        <v>474</v>
      </c>
      <c r="G4" s="504"/>
      <c r="H4" s="506"/>
    </row>
    <row r="5" spans="1:8" x14ac:dyDescent="0.2">
      <c r="A5" s="1175" t="s">
        <v>14</v>
      </c>
      <c r="B5" s="1176"/>
      <c r="C5" s="1176"/>
      <c r="D5" s="1176"/>
      <c r="E5" s="1176"/>
      <c r="F5" s="1176"/>
      <c r="G5" s="1176"/>
      <c r="H5" s="1177"/>
    </row>
    <row r="6" spans="1:8" ht="96" customHeight="1" x14ac:dyDescent="0.2">
      <c r="A6" s="1284" t="s">
        <v>949</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1186"/>
      <c r="D9" s="1187"/>
      <c r="E9" s="1008" t="s">
        <v>303</v>
      </c>
      <c r="F9" s="389">
        <v>2</v>
      </c>
      <c r="G9" s="1186" t="s">
        <v>954</v>
      </c>
      <c r="H9" s="1187"/>
    </row>
    <row r="10" spans="1:8" x14ac:dyDescent="0.2">
      <c r="A10" s="20"/>
      <c r="B10" s="1"/>
      <c r="C10" s="1093"/>
      <c r="D10" s="1094"/>
      <c r="E10" s="1008" t="s">
        <v>931</v>
      </c>
      <c r="F10" s="389">
        <v>1</v>
      </c>
      <c r="G10" s="1186" t="s">
        <v>955</v>
      </c>
      <c r="H10" s="1187"/>
    </row>
    <row r="11" spans="1:8" x14ac:dyDescent="0.2">
      <c r="A11" s="20"/>
      <c r="B11" s="1"/>
      <c r="C11" s="1093"/>
      <c r="D11" s="1094"/>
      <c r="E11" s="1008"/>
      <c r="F11" s="389"/>
      <c r="G11" s="1135"/>
      <c r="H11" s="1136"/>
    </row>
    <row r="12" spans="1:8" x14ac:dyDescent="0.2">
      <c r="A12" s="20"/>
      <c r="B12" s="1"/>
      <c r="C12" s="1318"/>
      <c r="D12" s="1319"/>
      <c r="E12" s="1"/>
      <c r="F12" s="1"/>
      <c r="G12" s="1324"/>
      <c r="H12" s="1310"/>
    </row>
    <row r="13" spans="1:8" ht="14.25" x14ac:dyDescent="0.2">
      <c r="A13" s="31" t="s">
        <v>11</v>
      </c>
      <c r="B13" s="30"/>
      <c r="C13" s="30"/>
      <c r="D13" s="30"/>
      <c r="E13" s="30"/>
      <c r="F13" s="30"/>
      <c r="G13" s="30"/>
      <c r="H13" s="32"/>
    </row>
    <row r="14" spans="1:8" ht="62.25" customHeight="1" x14ac:dyDescent="0.2">
      <c r="A14" s="1308"/>
      <c r="B14" s="1309"/>
      <c r="C14" s="1309"/>
      <c r="D14" s="1309"/>
      <c r="E14" s="1309"/>
      <c r="F14" s="1309"/>
      <c r="G14" s="1309"/>
      <c r="H14" s="1309"/>
    </row>
    <row r="15" spans="1:8" ht="14.25" x14ac:dyDescent="0.2">
      <c r="A15" s="31" t="s">
        <v>20</v>
      </c>
      <c r="B15" s="29"/>
      <c r="C15" s="29"/>
      <c r="D15" s="29"/>
      <c r="E15" s="29"/>
      <c r="F15" s="29"/>
      <c r="G15" s="29"/>
      <c r="H15" s="38"/>
    </row>
    <row r="16" spans="1:8" ht="12.75" customHeight="1" x14ac:dyDescent="0.2">
      <c r="A16" s="1098" t="s">
        <v>781</v>
      </c>
      <c r="B16" s="1099"/>
      <c r="C16" s="915"/>
      <c r="D16" s="915"/>
      <c r="E16" s="915"/>
      <c r="F16" s="915"/>
      <c r="G16" s="915"/>
      <c r="H16" s="915"/>
    </row>
    <row r="17" spans="1:8" x14ac:dyDescent="0.2">
      <c r="A17" s="1133" t="s">
        <v>898</v>
      </c>
      <c r="B17" s="1133">
        <v>500</v>
      </c>
      <c r="C17" s="391"/>
      <c r="D17" s="391"/>
      <c r="E17" s="391"/>
      <c r="F17" s="391"/>
      <c r="G17" s="391"/>
      <c r="H17" s="391"/>
    </row>
    <row r="18" spans="1:8" ht="24" x14ac:dyDescent="0.2">
      <c r="A18" s="1099" t="s">
        <v>950</v>
      </c>
      <c r="B18" s="1100">
        <v>6</v>
      </c>
      <c r="C18" s="1008"/>
      <c r="D18" s="1008"/>
      <c r="E18" s="1008"/>
      <c r="F18" s="1008"/>
      <c r="G18" s="1008"/>
      <c r="H18" s="392"/>
    </row>
    <row r="19" spans="1:8" x14ac:dyDescent="0.2">
      <c r="A19" s="1100" t="s">
        <v>952</v>
      </c>
      <c r="B19" s="1100">
        <f>B18*B17</f>
        <v>3000</v>
      </c>
      <c r="C19" s="1008"/>
      <c r="D19" s="1008"/>
      <c r="E19" s="1008"/>
      <c r="F19" s="1008"/>
      <c r="G19" s="1008"/>
      <c r="H19" s="1008"/>
    </row>
    <row r="20" spans="1:8" x14ac:dyDescent="0.2">
      <c r="A20" s="1100" t="s">
        <v>951</v>
      </c>
      <c r="B20" s="1100">
        <v>4</v>
      </c>
      <c r="C20" s="1008"/>
      <c r="D20" s="1008"/>
      <c r="E20" s="1008"/>
      <c r="F20" s="1008"/>
      <c r="G20" s="1008"/>
      <c r="H20" s="1008"/>
    </row>
    <row r="21" spans="1:8" x14ac:dyDescent="0.2">
      <c r="A21" s="1100" t="s">
        <v>953</v>
      </c>
      <c r="B21" s="1100">
        <f>B20*B17</f>
        <v>2000</v>
      </c>
      <c r="C21" s="1008"/>
      <c r="D21" s="1008"/>
      <c r="E21" s="1008"/>
      <c r="F21" s="1008"/>
      <c r="G21" s="1008"/>
      <c r="H21" s="1008"/>
    </row>
    <row r="22" spans="1:8" x14ac:dyDescent="0.2">
      <c r="A22" s="1099" t="s">
        <v>99</v>
      </c>
      <c r="B22" s="1100">
        <f>8/6</f>
        <v>1.3333333333333333</v>
      </c>
      <c r="C22" s="1008"/>
      <c r="D22" s="1008"/>
      <c r="E22" s="1008"/>
      <c r="F22" s="1008"/>
      <c r="G22" s="1008"/>
      <c r="H22" s="1008"/>
    </row>
    <row r="23" spans="1:8" x14ac:dyDescent="0.2">
      <c r="A23" s="1100" t="s">
        <v>102</v>
      </c>
      <c r="B23" s="1134">
        <f>B22*(B21+B19)/3600/24</f>
        <v>7.716049382716049E-2</v>
      </c>
      <c r="C23" s="1008"/>
      <c r="D23" s="1008"/>
      <c r="E23" s="1008"/>
      <c r="F23" s="1008"/>
      <c r="G23" s="1008"/>
      <c r="H23" s="1008"/>
    </row>
    <row r="24" spans="1:8" x14ac:dyDescent="0.2">
      <c r="A24" s="935"/>
      <c r="B24" s="935"/>
      <c r="C24" s="935"/>
      <c r="D24" s="935"/>
      <c r="E24" s="935"/>
      <c r="F24" s="935"/>
      <c r="G24" s="935"/>
      <c r="H24" s="393"/>
    </row>
    <row r="25" spans="1:8" x14ac:dyDescent="0.2">
      <c r="A25" s="936"/>
      <c r="B25" s="936"/>
      <c r="C25" s="936"/>
      <c r="D25" s="936"/>
      <c r="E25" s="936"/>
      <c r="F25" s="936"/>
      <c r="G25" s="936"/>
      <c r="H25" s="1008"/>
    </row>
    <row r="26" spans="1:8" x14ac:dyDescent="0.2">
      <c r="A26" s="937"/>
      <c r="B26" s="937"/>
      <c r="C26" s="937"/>
      <c r="D26" s="937"/>
      <c r="E26" s="937"/>
      <c r="F26" s="937"/>
      <c r="G26" s="937"/>
      <c r="H26" s="394"/>
    </row>
    <row r="27" spans="1:8" x14ac:dyDescent="0.2">
      <c r="A27" s="14" t="s">
        <v>9</v>
      </c>
      <c r="B27" s="15"/>
      <c r="C27" s="15"/>
      <c r="D27" s="15"/>
      <c r="E27" s="15"/>
      <c r="F27" s="1155" t="s">
        <v>16</v>
      </c>
      <c r="G27" s="1155"/>
      <c r="H27" s="1156"/>
    </row>
    <row r="28" spans="1:8" ht="25.5" x14ac:dyDescent="0.2">
      <c r="A28" s="1008" t="s">
        <v>4</v>
      </c>
      <c r="B28" s="1008" t="s">
        <v>5</v>
      </c>
      <c r="C28" s="1008" t="s">
        <v>1</v>
      </c>
      <c r="D28" s="1008" t="s">
        <v>6</v>
      </c>
      <c r="E28" s="1008" t="s">
        <v>7</v>
      </c>
      <c r="F28" s="1006" t="s">
        <v>17</v>
      </c>
      <c r="G28" s="1006" t="s">
        <v>18</v>
      </c>
      <c r="H28" s="398" t="s">
        <v>19</v>
      </c>
    </row>
    <row r="29" spans="1:8" ht="22.5" customHeight="1" x14ac:dyDescent="0.2">
      <c r="A29" s="1006"/>
      <c r="B29" s="1007"/>
      <c r="C29" s="1007"/>
      <c r="D29" s="396"/>
      <c r="E29" s="494"/>
      <c r="F29" s="1007"/>
      <c r="G29" s="1007"/>
      <c r="H29" s="22"/>
    </row>
    <row r="30" spans="1:8" x14ac:dyDescent="0.2">
      <c r="A30" s="1008"/>
      <c r="B30" s="1007"/>
      <c r="C30" s="1007"/>
      <c r="D30" s="396"/>
      <c r="E30" s="494"/>
      <c r="F30" s="1007"/>
      <c r="G30" s="1007"/>
      <c r="H30" s="22"/>
    </row>
    <row r="31" spans="1:8" ht="23.25" customHeight="1" x14ac:dyDescent="0.2">
      <c r="A31" s="1006"/>
      <c r="B31" s="1007"/>
      <c r="C31" s="1007"/>
      <c r="D31" s="397"/>
      <c r="E31" s="494"/>
      <c r="F31" s="1007"/>
      <c r="G31" s="1007"/>
      <c r="H31" s="22"/>
    </row>
    <row r="32" spans="1:8" ht="13.5" thickBot="1" x14ac:dyDescent="0.25">
      <c r="A32" s="45"/>
      <c r="B32" s="23"/>
      <c r="C32" s="24"/>
      <c r="D32" s="23" t="str">
        <f>IF(A32="","",VLOOKUP(A32,$O$3:$P$14,2,FALSE))</f>
        <v/>
      </c>
      <c r="E32" s="25" t="str">
        <f>IF(A32="","",B32*D32)</f>
        <v/>
      </c>
      <c r="F32" s="12"/>
      <c r="G32" s="12"/>
      <c r="H32" s="13"/>
    </row>
  </sheetData>
  <mergeCells count="19">
    <mergeCell ref="F27:H27"/>
    <mergeCell ref="G9:H9"/>
    <mergeCell ref="A14:H14"/>
    <mergeCell ref="C9:D9"/>
    <mergeCell ref="C12:D12"/>
    <mergeCell ref="G12:H12"/>
    <mergeCell ref="G10:H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topLeftCell="A7" workbookViewId="0">
      <selection activeCell="B27" sqref="B27:B31"/>
    </sheetView>
  </sheetViews>
  <sheetFormatPr baseColWidth="10" defaultRowHeight="12.75" x14ac:dyDescent="0.2"/>
  <cols>
    <col min="1" max="1" width="15.5703125" customWidth="1"/>
    <col min="2" max="2" width="5.28515625" bestFit="1" customWidth="1"/>
    <col min="3" max="3" width="16.7109375" customWidth="1"/>
    <col min="4" max="4" width="8" bestFit="1" customWidth="1"/>
    <col min="5" max="5" width="12.85546875"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475</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500</v>
      </c>
      <c r="F4" s="505" t="s">
        <v>302</v>
      </c>
      <c r="G4" s="504" t="s">
        <v>976</v>
      </c>
      <c r="H4" s="506" t="s">
        <v>975</v>
      </c>
    </row>
    <row r="5" spans="1:8" x14ac:dyDescent="0.2">
      <c r="A5" s="1175" t="s">
        <v>14</v>
      </c>
      <c r="B5" s="1176"/>
      <c r="C5" s="1176"/>
      <c r="D5" s="1176"/>
      <c r="E5" s="1176"/>
      <c r="F5" s="1176"/>
      <c r="G5" s="1176"/>
      <c r="H5" s="1177"/>
    </row>
    <row r="6" spans="1:8" ht="237" customHeight="1" x14ac:dyDescent="0.2">
      <c r="A6" s="1284" t="s">
        <v>956</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1186"/>
      <c r="D9" s="1187"/>
      <c r="E9" s="1008" t="s">
        <v>303</v>
      </c>
      <c r="F9" s="389">
        <v>2</v>
      </c>
      <c r="G9" s="1186" t="s">
        <v>929</v>
      </c>
      <c r="H9" s="1187"/>
    </row>
    <row r="10" spans="1:8" x14ac:dyDescent="0.2">
      <c r="A10" s="20"/>
      <c r="B10" s="1"/>
      <c r="C10" s="1318"/>
      <c r="D10" s="1319"/>
      <c r="E10" s="1008" t="s">
        <v>931</v>
      </c>
      <c r="F10" s="389">
        <v>1</v>
      </c>
      <c r="G10" s="1186" t="s">
        <v>929</v>
      </c>
      <c r="H10" s="1187"/>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ht="24" x14ac:dyDescent="0.2">
      <c r="A14" s="919" t="s">
        <v>781</v>
      </c>
      <c r="B14" s="920"/>
      <c r="C14" s="919" t="s">
        <v>962</v>
      </c>
      <c r="D14" s="926"/>
      <c r="E14" s="1097" t="s">
        <v>969</v>
      </c>
      <c r="F14" s="1097" t="s">
        <v>970</v>
      </c>
      <c r="G14" s="915"/>
      <c r="H14" s="915"/>
    </row>
    <row r="15" spans="1:8" ht="24" x14ac:dyDescent="0.2">
      <c r="A15" s="1009" t="s">
        <v>898</v>
      </c>
      <c r="B15" s="922">
        <v>500</v>
      </c>
      <c r="C15" s="1012" t="s">
        <v>963</v>
      </c>
      <c r="D15" s="926">
        <v>15</v>
      </c>
      <c r="E15" s="391">
        <f>B18*D15/100</f>
        <v>3</v>
      </c>
      <c r="F15" s="918" t="s">
        <v>972</v>
      </c>
      <c r="G15" s="391">
        <v>800</v>
      </c>
      <c r="H15" s="391"/>
    </row>
    <row r="16" spans="1:8" x14ac:dyDescent="0.2">
      <c r="A16" s="1010" t="s">
        <v>961</v>
      </c>
      <c r="B16" s="923">
        <v>40</v>
      </c>
      <c r="C16" s="1012" t="s">
        <v>964</v>
      </c>
      <c r="D16" s="926">
        <v>40</v>
      </c>
      <c r="E16" s="391">
        <f>B18*D16/100</f>
        <v>8</v>
      </c>
      <c r="F16" s="1008" t="s">
        <v>973</v>
      </c>
      <c r="G16" s="1008">
        <f>3600/G15</f>
        <v>4.5</v>
      </c>
      <c r="H16" s="392"/>
    </row>
    <row r="17" spans="1:8" x14ac:dyDescent="0.2">
      <c r="A17" s="1010" t="s">
        <v>967</v>
      </c>
      <c r="B17" s="923">
        <f>B16*B15</f>
        <v>20000</v>
      </c>
      <c r="C17" s="1012" t="s">
        <v>965</v>
      </c>
      <c r="D17" s="926">
        <v>10</v>
      </c>
      <c r="E17" s="391">
        <f>B18*D17/100</f>
        <v>2</v>
      </c>
      <c r="F17" s="1008" t="s">
        <v>136</v>
      </c>
      <c r="G17" s="1008">
        <f>G16*B15</f>
        <v>2250</v>
      </c>
      <c r="H17" s="1008"/>
    </row>
    <row r="18" spans="1:8" x14ac:dyDescent="0.2">
      <c r="A18" s="1137" t="s">
        <v>968</v>
      </c>
      <c r="B18" s="1139">
        <f>B17/1000</f>
        <v>20</v>
      </c>
      <c r="C18" s="1012" t="s">
        <v>966</v>
      </c>
      <c r="D18" s="926">
        <v>35</v>
      </c>
      <c r="E18" s="391">
        <f>B18*D18/100</f>
        <v>7</v>
      </c>
      <c r="F18" s="1008"/>
      <c r="G18" s="1140">
        <f>G17/3600/24</f>
        <v>2.6041666666666668E-2</v>
      </c>
      <c r="H18" s="1008"/>
    </row>
    <row r="19" spans="1:8" x14ac:dyDescent="0.2">
      <c r="A19" s="1138"/>
      <c r="B19" s="11"/>
      <c r="C19" s="923"/>
      <c r="D19" s="1008"/>
      <c r="E19" s="1008"/>
      <c r="F19" s="1008"/>
      <c r="G19" s="1008"/>
      <c r="H19" s="1008"/>
    </row>
    <row r="20" spans="1:8" x14ac:dyDescent="0.2">
      <c r="A20" s="11"/>
      <c r="B20" s="11"/>
      <c r="C20" s="923"/>
      <c r="D20" s="1008"/>
      <c r="E20" s="1008"/>
      <c r="F20" s="1008"/>
      <c r="G20" s="1008"/>
      <c r="H20" s="1008"/>
    </row>
    <row r="21" spans="1:8" x14ac:dyDescent="0.2">
      <c r="A21" s="11"/>
      <c r="B21" s="11"/>
      <c r="C21" s="923"/>
      <c r="D21" s="1008"/>
      <c r="E21" s="1008"/>
      <c r="F21" s="1008"/>
      <c r="G21" s="1008"/>
      <c r="H21" s="1008"/>
    </row>
    <row r="22" spans="1:8" x14ac:dyDescent="0.2">
      <c r="A22" s="11"/>
      <c r="B22" s="11"/>
      <c r="C22" s="935"/>
      <c r="D22" s="935"/>
      <c r="E22" s="935"/>
      <c r="F22" s="935"/>
      <c r="G22" s="935"/>
      <c r="H22" s="393"/>
    </row>
    <row r="23" spans="1:8" x14ac:dyDescent="0.2">
      <c r="A23" s="11"/>
      <c r="B23" s="11"/>
      <c r="C23" s="936"/>
      <c r="D23" s="936"/>
      <c r="E23" s="936"/>
      <c r="F23" s="936"/>
      <c r="G23" s="936"/>
      <c r="H23" s="1008"/>
    </row>
    <row r="24" spans="1:8" x14ac:dyDescent="0.2">
      <c r="A24" s="937"/>
      <c r="B24" s="937"/>
      <c r="C24" s="937"/>
      <c r="D24" s="937"/>
      <c r="E24" s="937"/>
      <c r="F24" s="937"/>
      <c r="G24" s="937"/>
      <c r="H24" s="394"/>
    </row>
    <row r="25" spans="1:8" x14ac:dyDescent="0.2">
      <c r="A25" s="14" t="s">
        <v>9</v>
      </c>
      <c r="B25" s="15"/>
      <c r="C25" s="15"/>
      <c r="D25" s="15"/>
      <c r="E25" s="15"/>
      <c r="F25" s="1155" t="s">
        <v>16</v>
      </c>
      <c r="G25" s="1155"/>
      <c r="H25" s="1156"/>
    </row>
    <row r="26" spans="1:8" ht="25.5" x14ac:dyDescent="0.2">
      <c r="A26" s="1008" t="s">
        <v>4</v>
      </c>
      <c r="B26" s="1008" t="s">
        <v>5</v>
      </c>
      <c r="C26" s="1008" t="s">
        <v>1</v>
      </c>
      <c r="D26" s="1008" t="s">
        <v>6</v>
      </c>
      <c r="E26" s="1008" t="s">
        <v>7</v>
      </c>
      <c r="F26" s="1006" t="s">
        <v>17</v>
      </c>
      <c r="G26" s="1006" t="s">
        <v>18</v>
      </c>
      <c r="H26" s="398" t="s">
        <v>19</v>
      </c>
    </row>
    <row r="27" spans="1:8" ht="22.5" customHeight="1" x14ac:dyDescent="0.2">
      <c r="A27" s="1006" t="s">
        <v>971</v>
      </c>
      <c r="B27" s="1007">
        <v>1</v>
      </c>
      <c r="C27" s="1007" t="s">
        <v>1</v>
      </c>
      <c r="D27" s="396"/>
      <c r="E27" s="494"/>
      <c r="F27" s="1007"/>
      <c r="G27" s="1007"/>
      <c r="H27" s="22"/>
    </row>
    <row r="28" spans="1:8" x14ac:dyDescent="0.2">
      <c r="A28" s="1006" t="s">
        <v>957</v>
      </c>
      <c r="B28" s="1007">
        <f>E15</f>
        <v>3</v>
      </c>
      <c r="C28" s="1007" t="s">
        <v>974</v>
      </c>
      <c r="D28" s="396"/>
      <c r="E28" s="494"/>
      <c r="F28" s="1007"/>
      <c r="G28" s="1007"/>
      <c r="H28" s="22"/>
    </row>
    <row r="29" spans="1:8" ht="23.25" customHeight="1" x14ac:dyDescent="0.2">
      <c r="A29" s="1008" t="s">
        <v>958</v>
      </c>
      <c r="B29" s="1007">
        <f>E16</f>
        <v>8</v>
      </c>
      <c r="C29" s="1007" t="s">
        <v>974</v>
      </c>
      <c r="D29" s="396"/>
      <c r="E29" s="494"/>
      <c r="F29" s="1007"/>
      <c r="G29" s="1007"/>
      <c r="H29" s="22"/>
    </row>
    <row r="30" spans="1:8" x14ac:dyDescent="0.2">
      <c r="A30" s="1006" t="s">
        <v>959</v>
      </c>
      <c r="B30" s="1007">
        <f>E17</f>
        <v>2</v>
      </c>
      <c r="C30" s="1007" t="s">
        <v>974</v>
      </c>
      <c r="D30" s="397"/>
      <c r="E30" s="494"/>
      <c r="F30" s="1007"/>
      <c r="G30" s="1007"/>
      <c r="H30" s="22"/>
    </row>
    <row r="31" spans="1:8" ht="13.5" thickBot="1" x14ac:dyDescent="0.25">
      <c r="A31" s="45" t="s">
        <v>960</v>
      </c>
      <c r="B31" s="23">
        <f>E18</f>
        <v>7</v>
      </c>
      <c r="C31" s="1007" t="s">
        <v>974</v>
      </c>
      <c r="D31" s="23"/>
      <c r="E31" s="25"/>
      <c r="F31" s="12"/>
      <c r="G31" s="12"/>
      <c r="H31" s="13"/>
    </row>
  </sheetData>
  <mergeCells count="18">
    <mergeCell ref="F25:H25"/>
    <mergeCell ref="G9:H9"/>
    <mergeCell ref="A12:H12"/>
    <mergeCell ref="C9:D9"/>
    <mergeCell ref="C10:D10"/>
    <mergeCell ref="G10:H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topLeftCell="A4" workbookViewId="0">
      <selection activeCell="A12" sqref="A12:H12"/>
    </sheetView>
  </sheetViews>
  <sheetFormatPr baseColWidth="10" defaultRowHeight="12.75" x14ac:dyDescent="0.2"/>
  <cols>
    <col min="1" max="1" width="21.42578125" customWidth="1"/>
    <col min="2" max="2" width="7.85546875" bestFit="1" customWidth="1"/>
    <col min="3" max="3" width="5" bestFit="1"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325" t="s">
        <v>59</v>
      </c>
      <c r="B2" s="1162"/>
      <c r="C2" s="1163"/>
      <c r="D2" s="1307" t="s">
        <v>476</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500</v>
      </c>
      <c r="F4" s="505" t="s">
        <v>302</v>
      </c>
      <c r="G4" s="504"/>
      <c r="H4" s="506" t="s">
        <v>980</v>
      </c>
    </row>
    <row r="5" spans="1:8" x14ac:dyDescent="0.2">
      <c r="A5" s="1175" t="s">
        <v>14</v>
      </c>
      <c r="B5" s="1176"/>
      <c r="C5" s="1176"/>
      <c r="D5" s="1176"/>
      <c r="E5" s="1176"/>
      <c r="F5" s="1176"/>
      <c r="G5" s="1176"/>
      <c r="H5" s="1177"/>
    </row>
    <row r="6" spans="1:8" ht="74.25" customHeight="1" x14ac:dyDescent="0.2">
      <c r="A6" s="1284" t="s">
        <v>981</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1008"/>
      <c r="B9" s="1007"/>
      <c r="C9" s="1186"/>
      <c r="D9" s="1187"/>
      <c r="E9" s="1008" t="s">
        <v>831</v>
      </c>
      <c r="F9" s="389">
        <v>1</v>
      </c>
      <c r="G9" s="1186" t="s">
        <v>988</v>
      </c>
      <c r="H9" s="1187"/>
    </row>
    <row r="10" spans="1:8" x14ac:dyDescent="0.2">
      <c r="A10" s="20"/>
      <c r="B10" s="1"/>
      <c r="C10" s="1318"/>
      <c r="D10" s="1319"/>
      <c r="E10" s="1008"/>
      <c r="F10" s="389"/>
      <c r="G10" s="1186"/>
      <c r="H10" s="1187"/>
    </row>
    <row r="11" spans="1:8" ht="14.25" x14ac:dyDescent="0.2">
      <c r="A11" s="31" t="s">
        <v>11</v>
      </c>
      <c r="B11" s="30"/>
      <c r="C11" s="30"/>
      <c r="D11" s="30"/>
      <c r="E11" s="30"/>
      <c r="F11" s="30"/>
      <c r="G11" s="30"/>
      <c r="H11" s="32"/>
    </row>
    <row r="12" spans="1:8" ht="62.25" customHeight="1" x14ac:dyDescent="0.2">
      <c r="A12" s="1308" t="s">
        <v>989</v>
      </c>
      <c r="B12" s="1309"/>
      <c r="C12" s="1309"/>
      <c r="D12" s="1309"/>
      <c r="E12" s="1309"/>
      <c r="F12" s="1309"/>
      <c r="G12" s="1309"/>
      <c r="H12" s="1309"/>
    </row>
    <row r="13" spans="1:8" ht="14.25" x14ac:dyDescent="0.2">
      <c r="A13" s="31" t="s">
        <v>20</v>
      </c>
      <c r="B13" s="29"/>
      <c r="C13" s="29"/>
      <c r="D13" s="29"/>
      <c r="E13" s="29"/>
      <c r="F13" s="29"/>
      <c r="G13" s="29"/>
      <c r="H13" s="38"/>
    </row>
    <row r="14" spans="1:8" ht="12.75" customHeight="1" x14ac:dyDescent="0.2">
      <c r="A14" s="915" t="s">
        <v>781</v>
      </c>
      <c r="B14" s="915"/>
      <c r="C14" s="915"/>
      <c r="D14" s="915"/>
      <c r="E14" s="915"/>
      <c r="F14" s="915"/>
      <c r="G14" s="915"/>
      <c r="H14" s="915"/>
    </row>
    <row r="15" spans="1:8" x14ac:dyDescent="0.2">
      <c r="A15" s="391" t="s">
        <v>937</v>
      </c>
      <c r="B15" s="391">
        <v>500</v>
      </c>
      <c r="C15" s="391"/>
      <c r="D15" s="391"/>
      <c r="E15" s="391"/>
      <c r="F15" s="391"/>
      <c r="G15" s="391"/>
      <c r="H15" s="391"/>
    </row>
    <row r="16" spans="1:8" x14ac:dyDescent="0.2">
      <c r="A16" s="1008" t="s">
        <v>979</v>
      </c>
      <c r="B16" s="1008">
        <v>5</v>
      </c>
      <c r="C16" s="1008"/>
      <c r="D16" s="1008"/>
      <c r="E16" s="1008"/>
      <c r="F16" s="1008"/>
      <c r="G16" s="1008"/>
      <c r="H16" s="392"/>
    </row>
    <row r="17" spans="1:8" x14ac:dyDescent="0.2">
      <c r="A17" s="1008" t="s">
        <v>372</v>
      </c>
      <c r="B17" s="1008">
        <f>B16*B15</f>
        <v>2500</v>
      </c>
      <c r="C17" s="1008"/>
      <c r="D17" s="1008"/>
      <c r="E17" s="1008"/>
      <c r="F17" s="1008"/>
      <c r="G17" s="1008"/>
      <c r="H17" s="1008"/>
    </row>
    <row r="18" spans="1:8" x14ac:dyDescent="0.2">
      <c r="A18" s="1006"/>
      <c r="B18" s="1140">
        <f>B17/3600/24</f>
        <v>2.8935185185185185E-2</v>
      </c>
      <c r="C18" s="1008"/>
      <c r="D18" s="1008"/>
      <c r="E18" s="1008"/>
      <c r="F18" s="1008"/>
      <c r="G18" s="1008"/>
      <c r="H18" s="1008"/>
    </row>
    <row r="19" spans="1:8" x14ac:dyDescent="0.2">
      <c r="A19" s="1006"/>
      <c r="B19" s="1008"/>
      <c r="C19" s="1008"/>
      <c r="D19" s="1008"/>
      <c r="E19" s="1008"/>
      <c r="F19" s="1008"/>
      <c r="G19" s="1008"/>
      <c r="H19" s="1008"/>
    </row>
    <row r="20" spans="1:8" x14ac:dyDescent="0.2">
      <c r="A20" s="1006"/>
      <c r="B20" s="1008"/>
      <c r="C20" s="1008"/>
      <c r="D20" s="1008"/>
      <c r="E20" s="1008"/>
      <c r="F20" s="1008"/>
      <c r="G20" s="1008"/>
      <c r="H20" s="1008"/>
    </row>
    <row r="21" spans="1:8" x14ac:dyDescent="0.2">
      <c r="A21" s="1008"/>
      <c r="B21" s="1008"/>
      <c r="C21" s="1008"/>
      <c r="D21" s="1008"/>
      <c r="E21" s="1008"/>
      <c r="F21" s="1008"/>
      <c r="G21" s="1008"/>
      <c r="H21" s="1008"/>
    </row>
    <row r="22" spans="1:8" x14ac:dyDescent="0.2">
      <c r="A22" s="935"/>
      <c r="B22" s="935"/>
      <c r="C22" s="935"/>
      <c r="D22" s="935"/>
      <c r="E22" s="935"/>
      <c r="F22" s="935"/>
      <c r="G22" s="935"/>
      <c r="H22" s="393"/>
    </row>
    <row r="23" spans="1:8" x14ac:dyDescent="0.2">
      <c r="A23" s="936"/>
      <c r="B23" s="936"/>
      <c r="C23" s="936"/>
      <c r="D23" s="936"/>
      <c r="E23" s="936"/>
      <c r="F23" s="936"/>
      <c r="G23" s="936"/>
      <c r="H23" s="1008"/>
    </row>
    <row r="24" spans="1:8" x14ac:dyDescent="0.2">
      <c r="A24" s="937"/>
      <c r="B24" s="937"/>
      <c r="C24" s="937"/>
      <c r="D24" s="937"/>
      <c r="E24" s="937"/>
      <c r="F24" s="937"/>
      <c r="G24" s="937"/>
      <c r="H24" s="394"/>
    </row>
    <row r="25" spans="1:8" x14ac:dyDescent="0.2">
      <c r="A25" s="14" t="s">
        <v>9</v>
      </c>
      <c r="B25" s="15"/>
      <c r="C25" s="15"/>
      <c r="D25" s="15"/>
      <c r="E25" s="15"/>
      <c r="F25" s="1155" t="s">
        <v>16</v>
      </c>
      <c r="G25" s="1155"/>
      <c r="H25" s="1156"/>
    </row>
    <row r="26" spans="1:8" ht="25.5" x14ac:dyDescent="0.2">
      <c r="A26" s="1008" t="s">
        <v>4</v>
      </c>
      <c r="B26" s="1008" t="s">
        <v>5</v>
      </c>
      <c r="C26" s="1008" t="s">
        <v>1</v>
      </c>
      <c r="D26" s="1008" t="s">
        <v>6</v>
      </c>
      <c r="E26" s="1008" t="s">
        <v>7</v>
      </c>
      <c r="F26" s="1006" t="s">
        <v>17</v>
      </c>
      <c r="G26" s="1006" t="s">
        <v>18</v>
      </c>
      <c r="H26" s="398" t="s">
        <v>19</v>
      </c>
    </row>
    <row r="27" spans="1:8" ht="22.5" customHeight="1" x14ac:dyDescent="0.2">
      <c r="A27" s="1006" t="s">
        <v>977</v>
      </c>
      <c r="B27" s="1007">
        <v>1</v>
      </c>
      <c r="C27" s="1007"/>
      <c r="D27" s="396"/>
      <c r="E27" s="494"/>
      <c r="F27" s="1007"/>
      <c r="G27" s="1007"/>
      <c r="H27" s="22"/>
    </row>
    <row r="28" spans="1:8" x14ac:dyDescent="0.2">
      <c r="A28" s="1008" t="s">
        <v>978</v>
      </c>
      <c r="B28" s="1007">
        <v>1</v>
      </c>
      <c r="C28" s="1007"/>
      <c r="D28" s="396"/>
      <c r="E28" s="494"/>
      <c r="F28" s="1007"/>
      <c r="G28" s="1007"/>
      <c r="H28" s="22"/>
    </row>
    <row r="29" spans="1:8" ht="23.25" customHeight="1" x14ac:dyDescent="0.2">
      <c r="A29" s="1006"/>
      <c r="B29" s="1007"/>
      <c r="C29" s="1007"/>
      <c r="D29" s="397"/>
      <c r="E29" s="494"/>
      <c r="F29" s="1007"/>
      <c r="G29" s="1007"/>
      <c r="H29" s="22"/>
    </row>
    <row r="30" spans="1:8" ht="13.5" thickBot="1" x14ac:dyDescent="0.25">
      <c r="A30" s="45"/>
      <c r="B30" s="23"/>
      <c r="C30" s="24"/>
      <c r="D30" s="23" t="str">
        <f>IF(A30="","",VLOOKUP(A30,$O$3:$P$12,2,FALSE))</f>
        <v/>
      </c>
      <c r="E30" s="25" t="str">
        <f>IF(A30="","",B30*D30)</f>
        <v/>
      </c>
      <c r="F30" s="12"/>
      <c r="G30" s="12"/>
      <c r="H30" s="13"/>
    </row>
  </sheetData>
  <mergeCells count="18">
    <mergeCell ref="F25:H25"/>
    <mergeCell ref="G9:H9"/>
    <mergeCell ref="A12:H12"/>
    <mergeCell ref="C9:D9"/>
    <mergeCell ref="C10:D10"/>
    <mergeCell ref="G10:H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activeCell="E10" sqref="E10"/>
    </sheetView>
  </sheetViews>
  <sheetFormatPr baseColWidth="10" defaultRowHeight="12.75" x14ac:dyDescent="0.2"/>
  <cols>
    <col min="1" max="1" width="15.5703125" customWidth="1"/>
    <col min="2" max="2" width="10" bestFit="1" customWidth="1"/>
    <col min="3" max="3" width="5" bestFit="1" customWidth="1"/>
    <col min="4" max="4" width="8" bestFit="1" customWidth="1"/>
    <col min="5" max="5" width="10.5703125" bestFit="1" customWidth="1"/>
    <col min="8" max="8" width="19.28515625"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477</v>
      </c>
      <c r="E2" s="1225"/>
      <c r="F2" s="1225"/>
      <c r="G2" s="1225"/>
      <c r="H2" s="1226"/>
    </row>
    <row r="3" spans="1:8" ht="12.75" customHeight="1" x14ac:dyDescent="0.2">
      <c r="A3" s="1167" t="s">
        <v>21</v>
      </c>
      <c r="B3" s="1169"/>
      <c r="C3" s="1170"/>
      <c r="D3" s="1171"/>
      <c r="E3" s="501" t="s">
        <v>0</v>
      </c>
      <c r="F3" s="501" t="s">
        <v>1</v>
      </c>
      <c r="G3" s="501" t="s">
        <v>2</v>
      </c>
      <c r="H3" s="502" t="s">
        <v>3</v>
      </c>
    </row>
    <row r="4" spans="1:8" ht="19.5" customHeight="1" thickBot="1" x14ac:dyDescent="0.25">
      <c r="A4" s="1168"/>
      <c r="B4" s="1172"/>
      <c r="C4" s="1173"/>
      <c r="D4" s="1174"/>
      <c r="E4" s="504">
        <v>500</v>
      </c>
      <c r="F4" s="505" t="s">
        <v>449</v>
      </c>
      <c r="G4" s="504" t="s">
        <v>986</v>
      </c>
      <c r="H4" s="506" t="s">
        <v>985</v>
      </c>
    </row>
    <row r="5" spans="1:8" x14ac:dyDescent="0.2">
      <c r="A5" s="1175" t="s">
        <v>14</v>
      </c>
      <c r="B5" s="1176"/>
      <c r="C5" s="1176"/>
      <c r="D5" s="1176"/>
      <c r="E5" s="1176"/>
      <c r="F5" s="1176"/>
      <c r="G5" s="1176"/>
      <c r="H5" s="1177"/>
    </row>
    <row r="6" spans="1:8" ht="58.5" customHeight="1" x14ac:dyDescent="0.2">
      <c r="A6" s="1284" t="s">
        <v>982</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1186"/>
      <c r="D9" s="1187"/>
      <c r="E9" s="1008" t="s">
        <v>831</v>
      </c>
      <c r="F9" s="389">
        <v>1</v>
      </c>
      <c r="G9" s="1308" t="s">
        <v>987</v>
      </c>
      <c r="H9" s="1308"/>
    </row>
    <row r="10" spans="1:8" x14ac:dyDescent="0.2">
      <c r="A10" s="20"/>
      <c r="B10" s="1"/>
      <c r="C10" s="1318"/>
      <c r="D10" s="1319"/>
      <c r="E10" s="1"/>
      <c r="F10" s="1"/>
      <c r="G10" s="1324"/>
      <c r="H10" s="1310"/>
    </row>
    <row r="11" spans="1:8" ht="14.25" x14ac:dyDescent="0.2">
      <c r="A11" s="31" t="s">
        <v>11</v>
      </c>
      <c r="B11" s="30"/>
      <c r="C11" s="30"/>
      <c r="D11" s="30"/>
      <c r="E11" s="30"/>
      <c r="F11" s="30"/>
      <c r="G11" s="30"/>
      <c r="H11" s="32"/>
    </row>
    <row r="12" spans="1:8" ht="31.5" customHeight="1" x14ac:dyDescent="0.2">
      <c r="A12" s="1308" t="s">
        <v>990</v>
      </c>
      <c r="B12" s="1309"/>
      <c r="C12" s="1309"/>
      <c r="D12" s="1309"/>
      <c r="E12" s="1309"/>
      <c r="F12" s="1309"/>
      <c r="G12" s="1309"/>
      <c r="H12" s="1309"/>
    </row>
    <row r="13" spans="1:8" ht="14.25" x14ac:dyDescent="0.2">
      <c r="A13" s="1268" t="s">
        <v>20</v>
      </c>
      <c r="B13" s="1269"/>
      <c r="C13" s="1269"/>
      <c r="D13" s="1269"/>
      <c r="E13" s="1269"/>
      <c r="F13" s="1269"/>
      <c r="G13" s="1269"/>
      <c r="H13" s="1272"/>
    </row>
    <row r="14" spans="1:8" ht="12.75" customHeight="1" x14ac:dyDescent="0.2">
      <c r="A14" s="919" t="s">
        <v>781</v>
      </c>
      <c r="B14" s="1012"/>
      <c r="C14" s="1012"/>
      <c r="D14" s="1012"/>
      <c r="E14" s="1012"/>
      <c r="F14" s="1012"/>
      <c r="G14" s="1012"/>
      <c r="H14" s="1012"/>
    </row>
    <row r="15" spans="1:8" x14ac:dyDescent="0.2">
      <c r="A15" s="1012" t="s">
        <v>937</v>
      </c>
      <c r="B15" s="1012">
        <v>500</v>
      </c>
      <c r="C15" s="1012"/>
      <c r="D15" s="1012"/>
      <c r="E15" s="1012"/>
      <c r="F15" s="1012"/>
      <c r="G15" s="1012"/>
      <c r="H15" s="1012"/>
    </row>
    <row r="16" spans="1:8" ht="24" x14ac:dyDescent="0.2">
      <c r="A16" s="1012" t="s">
        <v>984</v>
      </c>
      <c r="B16" s="1012">
        <v>6</v>
      </c>
      <c r="C16" s="1012"/>
      <c r="D16" s="1012"/>
      <c r="E16" s="1012"/>
      <c r="F16" s="1012"/>
      <c r="G16" s="1012"/>
      <c r="H16" s="1012"/>
    </row>
    <row r="17" spans="1:8" x14ac:dyDescent="0.2">
      <c r="A17" s="1012" t="s">
        <v>136</v>
      </c>
      <c r="B17" s="1012">
        <f>B16*B15</f>
        <v>3000</v>
      </c>
      <c r="C17" s="1012"/>
      <c r="D17" s="1012"/>
      <c r="E17" s="1012"/>
      <c r="F17" s="1012"/>
      <c r="G17" s="1012"/>
      <c r="H17" s="1012"/>
    </row>
    <row r="18" spans="1:8" x14ac:dyDescent="0.2">
      <c r="A18" s="1012"/>
      <c r="B18" s="1143">
        <f>B17/3600/24</f>
        <v>3.4722222222222224E-2</v>
      </c>
      <c r="C18" s="1012"/>
      <c r="D18" s="1012"/>
      <c r="E18" s="1012"/>
      <c r="F18" s="1012"/>
      <c r="G18" s="1012"/>
      <c r="H18" s="1012"/>
    </row>
    <row r="19" spans="1:8" x14ac:dyDescent="0.2">
      <c r="A19" s="1012"/>
      <c r="B19" s="1012"/>
      <c r="C19" s="1012"/>
      <c r="D19" s="1012"/>
      <c r="E19" s="1012"/>
      <c r="F19" s="1012"/>
      <c r="G19" s="1012"/>
      <c r="H19" s="1012"/>
    </row>
    <row r="20" spans="1:8" x14ac:dyDescent="0.2">
      <c r="A20" s="1012"/>
      <c r="B20" s="1012"/>
      <c r="C20" s="1012"/>
      <c r="D20" s="1012"/>
      <c r="E20" s="1012"/>
      <c r="F20" s="1012"/>
      <c r="G20" s="1012"/>
      <c r="H20" s="1012"/>
    </row>
    <row r="21" spans="1:8" x14ac:dyDescent="0.2">
      <c r="A21" s="1012"/>
      <c r="B21" s="1012"/>
      <c r="C21" s="1012"/>
      <c r="D21" s="1012"/>
      <c r="E21" s="1012"/>
      <c r="F21" s="1012"/>
      <c r="G21" s="1012"/>
      <c r="H21" s="1012"/>
    </row>
    <row r="22" spans="1:8" x14ac:dyDescent="0.2">
      <c r="A22" s="1012"/>
      <c r="B22" s="1012"/>
      <c r="C22" s="1012"/>
      <c r="D22" s="1012"/>
      <c r="E22" s="1012"/>
      <c r="F22" s="1012"/>
      <c r="G22" s="1012"/>
      <c r="H22" s="1141"/>
    </row>
    <row r="23" spans="1:8" x14ac:dyDescent="0.2">
      <c r="A23" s="1012"/>
      <c r="B23" s="1012"/>
      <c r="C23" s="1012"/>
      <c r="D23" s="1012"/>
      <c r="E23" s="1012"/>
      <c r="F23" s="1012"/>
      <c r="G23" s="1012"/>
      <c r="H23" s="1012"/>
    </row>
    <row r="24" spans="1:8" x14ac:dyDescent="0.2">
      <c r="A24" s="1012"/>
      <c r="B24" s="1012"/>
      <c r="C24" s="1012"/>
      <c r="D24" s="1012"/>
      <c r="E24" s="1012"/>
      <c r="F24" s="1012"/>
      <c r="G24" s="1012"/>
      <c r="H24" s="1142"/>
    </row>
    <row r="25" spans="1:8" x14ac:dyDescent="0.2">
      <c r="A25" s="14" t="s">
        <v>9</v>
      </c>
      <c r="B25" s="15"/>
      <c r="C25" s="15"/>
      <c r="D25" s="15"/>
      <c r="E25" s="15"/>
      <c r="F25" s="1155" t="s">
        <v>16</v>
      </c>
      <c r="G25" s="1155"/>
      <c r="H25" s="1156"/>
    </row>
    <row r="26" spans="1:8" ht="24" x14ac:dyDescent="0.2">
      <c r="A26" s="1008" t="s">
        <v>4</v>
      </c>
      <c r="B26" s="1008" t="s">
        <v>5</v>
      </c>
      <c r="C26" s="1008" t="s">
        <v>1</v>
      </c>
      <c r="D26" s="1008" t="s">
        <v>6</v>
      </c>
      <c r="E26" s="1008" t="s">
        <v>7</v>
      </c>
      <c r="F26" s="1006" t="s">
        <v>17</v>
      </c>
      <c r="G26" s="1006" t="s">
        <v>18</v>
      </c>
      <c r="H26" s="398" t="s">
        <v>19</v>
      </c>
    </row>
    <row r="27" spans="1:8" ht="22.5" customHeight="1" x14ac:dyDescent="0.2">
      <c r="A27" s="1006" t="s">
        <v>983</v>
      </c>
      <c r="B27" s="1007"/>
      <c r="C27" s="1007"/>
      <c r="D27" s="396"/>
      <c r="E27" s="494"/>
      <c r="F27" s="1007"/>
      <c r="G27" s="1007"/>
      <c r="H27" s="22"/>
    </row>
    <row r="28" spans="1:8" x14ac:dyDescent="0.2">
      <c r="A28" s="1008"/>
      <c r="B28" s="1007"/>
      <c r="C28" s="1007"/>
      <c r="D28" s="396"/>
      <c r="E28" s="494"/>
      <c r="F28" s="1007"/>
      <c r="G28" s="1007"/>
      <c r="H28" s="22"/>
    </row>
    <row r="29" spans="1:8" ht="23.25" customHeight="1" x14ac:dyDescent="0.2">
      <c r="A29" s="1006"/>
      <c r="B29" s="1007"/>
      <c r="C29" s="1007"/>
      <c r="D29" s="397"/>
      <c r="E29" s="494"/>
      <c r="F29" s="1007"/>
      <c r="G29" s="1007"/>
      <c r="H29" s="22"/>
    </row>
    <row r="30" spans="1:8" ht="13.5" thickBot="1" x14ac:dyDescent="0.25">
      <c r="A30" s="45"/>
      <c r="B30" s="23"/>
      <c r="C30" s="24"/>
      <c r="D30" s="23" t="str">
        <f>IF(A30="","",VLOOKUP(A30,$O$3:$P$12,2,FALSE))</f>
        <v/>
      </c>
      <c r="E30" s="25" t="str">
        <f>IF(A30="","",B30*D30)</f>
        <v/>
      </c>
      <c r="F30" s="12"/>
      <c r="G30" s="12"/>
      <c r="H30" s="13"/>
    </row>
  </sheetData>
  <mergeCells count="19">
    <mergeCell ref="F25:H25"/>
    <mergeCell ref="G9:H9"/>
    <mergeCell ref="A12:H12"/>
    <mergeCell ref="C9:D9"/>
    <mergeCell ref="C10:D10"/>
    <mergeCell ref="G10:H10"/>
    <mergeCell ref="A13:H13"/>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tabSelected="1" workbookViewId="0">
      <selection activeCell="J18" sqref="J18"/>
    </sheetView>
  </sheetViews>
  <sheetFormatPr baseColWidth="10" defaultRowHeight="12.75" x14ac:dyDescent="0.2"/>
  <cols>
    <col min="1" max="1" width="15.5703125" customWidth="1"/>
    <col min="2" max="2" width="10" bestFit="1" customWidth="1"/>
    <col min="3" max="3" width="12.42578125" customWidth="1"/>
    <col min="4" max="4" width="8" bestFit="1" customWidth="1"/>
    <col min="5" max="5" width="10.5703125" bestFit="1" customWidth="1"/>
  </cols>
  <sheetData>
    <row r="1" spans="1:8" ht="15.75" x14ac:dyDescent="0.25">
      <c r="A1" s="1157" t="s">
        <v>12</v>
      </c>
      <c r="B1" s="1158"/>
      <c r="C1" s="1159"/>
      <c r="D1" s="1157" t="s">
        <v>13</v>
      </c>
      <c r="E1" s="1158"/>
      <c r="F1" s="1158"/>
      <c r="G1" s="1158"/>
      <c r="H1" s="1160"/>
    </row>
    <row r="2" spans="1:8" ht="13.5" thickBot="1" x14ac:dyDescent="0.25">
      <c r="A2" s="1161" t="s">
        <v>548</v>
      </c>
      <c r="B2" s="1162"/>
      <c r="C2" s="1163"/>
      <c r="D2" s="1307" t="s">
        <v>478</v>
      </c>
      <c r="E2" s="1225"/>
      <c r="F2" s="1225"/>
      <c r="G2" s="1225"/>
      <c r="H2" s="1226"/>
    </row>
    <row r="3" spans="1:8" ht="12.75" customHeight="1" x14ac:dyDescent="0.2">
      <c r="A3" s="1167" t="s">
        <v>21</v>
      </c>
      <c r="B3" s="1169"/>
      <c r="C3" s="1170"/>
      <c r="D3" s="1171"/>
      <c r="E3" s="501" t="s">
        <v>0</v>
      </c>
      <c r="F3" s="501" t="s">
        <v>1</v>
      </c>
      <c r="G3" s="501" t="s">
        <v>2</v>
      </c>
      <c r="H3" s="502" t="s">
        <v>3</v>
      </c>
    </row>
    <row r="4" spans="1:8" ht="16.5" thickBot="1" x14ac:dyDescent="0.25">
      <c r="A4" s="1168"/>
      <c r="B4" s="1172"/>
      <c r="C4" s="1173"/>
      <c r="D4" s="1174"/>
      <c r="E4" s="504">
        <v>1</v>
      </c>
      <c r="F4" s="505" t="s">
        <v>435</v>
      </c>
      <c r="G4" s="504" t="s">
        <v>999</v>
      </c>
      <c r="H4" s="506" t="s">
        <v>998</v>
      </c>
    </row>
    <row r="5" spans="1:8" x14ac:dyDescent="0.2">
      <c r="A5" s="1175" t="s">
        <v>14</v>
      </c>
      <c r="B5" s="1176"/>
      <c r="C5" s="1176"/>
      <c r="D5" s="1176"/>
      <c r="E5" s="1176"/>
      <c r="F5" s="1176"/>
      <c r="G5" s="1176"/>
      <c r="H5" s="1177"/>
    </row>
    <row r="6" spans="1:8" ht="150" customHeight="1" x14ac:dyDescent="0.2">
      <c r="A6" s="1284" t="s">
        <v>991</v>
      </c>
      <c r="B6" s="1285"/>
      <c r="C6" s="1285"/>
      <c r="D6" s="1285"/>
      <c r="E6" s="1285"/>
      <c r="F6" s="1285"/>
      <c r="G6" s="1285"/>
      <c r="H6" s="1195"/>
    </row>
    <row r="7" spans="1:8" ht="14.25" x14ac:dyDescent="0.2">
      <c r="A7" s="1178" t="s">
        <v>8</v>
      </c>
      <c r="B7" s="1179"/>
      <c r="C7" s="1179"/>
      <c r="D7" s="1179"/>
      <c r="E7" s="1179" t="s">
        <v>10</v>
      </c>
      <c r="F7" s="1179"/>
      <c r="G7" s="1179"/>
      <c r="H7" s="1180"/>
    </row>
    <row r="8" spans="1:8" ht="15.75" x14ac:dyDescent="0.25">
      <c r="A8" s="4" t="s">
        <v>4</v>
      </c>
      <c r="B8" s="5" t="s">
        <v>5</v>
      </c>
      <c r="C8" s="1181" t="s">
        <v>15</v>
      </c>
      <c r="D8" s="1181"/>
      <c r="E8" s="5" t="s">
        <v>4</v>
      </c>
      <c r="F8" s="5" t="s">
        <v>0</v>
      </c>
      <c r="G8" s="1181" t="s">
        <v>15</v>
      </c>
      <c r="H8" s="1181"/>
    </row>
    <row r="9" spans="1:8" x14ac:dyDescent="0.2">
      <c r="A9" s="20"/>
      <c r="B9" s="1"/>
      <c r="C9" s="1186"/>
      <c r="D9" s="1187"/>
      <c r="E9" s="1008"/>
      <c r="F9" s="389"/>
      <c r="G9" s="1308"/>
      <c r="H9" s="1308"/>
    </row>
    <row r="10" spans="1:8" x14ac:dyDescent="0.2">
      <c r="A10" s="20"/>
      <c r="B10" s="1"/>
      <c r="C10" s="1318"/>
      <c r="D10" s="1319"/>
      <c r="E10" s="1"/>
      <c r="F10" s="1"/>
      <c r="G10" s="1324"/>
      <c r="H10" s="1310"/>
    </row>
    <row r="11" spans="1:8" ht="14.25" x14ac:dyDescent="0.2">
      <c r="A11" s="31" t="s">
        <v>11</v>
      </c>
      <c r="B11" s="30"/>
      <c r="C11" s="30"/>
      <c r="D11" s="30"/>
      <c r="E11" s="30"/>
      <c r="F11" s="30"/>
      <c r="G11" s="30"/>
      <c r="H11" s="32"/>
    </row>
    <row r="12" spans="1:8" ht="62.25" customHeight="1" x14ac:dyDescent="0.2">
      <c r="A12" s="1308"/>
      <c r="B12" s="1309"/>
      <c r="C12" s="1309"/>
      <c r="D12" s="1309"/>
      <c r="E12" s="1309"/>
      <c r="F12" s="1309"/>
      <c r="G12" s="1309"/>
      <c r="H12" s="1309"/>
    </row>
    <row r="13" spans="1:8" ht="14.25" x14ac:dyDescent="0.2">
      <c r="A13" s="31" t="s">
        <v>20</v>
      </c>
      <c r="B13" s="29"/>
      <c r="C13" s="29"/>
      <c r="D13" s="29"/>
      <c r="E13" s="29"/>
      <c r="F13" s="29"/>
      <c r="G13" s="29"/>
      <c r="H13" s="38"/>
    </row>
    <row r="14" spans="1:8" ht="12.75" customHeight="1" x14ac:dyDescent="0.2">
      <c r="A14" s="926" t="s">
        <v>992</v>
      </c>
      <c r="B14" s="926"/>
      <c r="C14" s="926" t="s">
        <v>993</v>
      </c>
      <c r="D14" s="926"/>
      <c r="E14" s="926" t="s">
        <v>994</v>
      </c>
      <c r="F14" s="926"/>
      <c r="G14" s="926" t="s">
        <v>995</v>
      </c>
      <c r="H14" s="926"/>
    </row>
    <row r="15" spans="1:8" x14ac:dyDescent="0.2">
      <c r="A15" s="926" t="s">
        <v>77</v>
      </c>
      <c r="B15" s="1146">
        <f>30/60/24</f>
        <v>2.0833333333333332E-2</v>
      </c>
      <c r="C15" s="926" t="s">
        <v>77</v>
      </c>
      <c r="D15" s="1146">
        <f>30/60/24</f>
        <v>2.0833333333333332E-2</v>
      </c>
      <c r="E15" s="926" t="s">
        <v>77</v>
      </c>
      <c r="F15" s="1146">
        <f>30/60/24</f>
        <v>2.0833333333333332E-2</v>
      </c>
      <c r="G15" s="926" t="s">
        <v>77</v>
      </c>
      <c r="H15" s="1146">
        <f>30/60/24</f>
        <v>2.0833333333333332E-2</v>
      </c>
    </row>
    <row r="16" spans="1:8" x14ac:dyDescent="0.2">
      <c r="A16" s="926"/>
      <c r="B16" s="926"/>
      <c r="C16" s="926"/>
      <c r="D16" s="926"/>
      <c r="E16" s="926"/>
      <c r="F16" s="926"/>
      <c r="G16" s="926"/>
      <c r="H16" s="926"/>
    </row>
    <row r="17" spans="1:8" x14ac:dyDescent="0.2">
      <c r="A17" s="919" t="s">
        <v>102</v>
      </c>
      <c r="B17" s="1147">
        <f>B15+D15+F15+H15</f>
        <v>8.3333333333333329E-2</v>
      </c>
      <c r="C17" s="926"/>
      <c r="D17" s="926"/>
      <c r="E17" s="926"/>
      <c r="F17" s="926"/>
      <c r="G17" s="926"/>
      <c r="H17" s="926"/>
    </row>
    <row r="18" spans="1:8" x14ac:dyDescent="0.2">
      <c r="A18" s="926"/>
      <c r="B18" s="926"/>
      <c r="C18" s="926"/>
      <c r="D18" s="926"/>
      <c r="E18" s="926"/>
      <c r="F18" s="926"/>
      <c r="G18" s="926"/>
      <c r="H18" s="926"/>
    </row>
    <row r="19" spans="1:8" x14ac:dyDescent="0.2">
      <c r="A19" s="926"/>
      <c r="B19" s="926"/>
      <c r="C19" s="926"/>
      <c r="D19" s="926"/>
      <c r="E19" s="926"/>
      <c r="F19" s="926"/>
      <c r="G19" s="926"/>
      <c r="H19" s="926"/>
    </row>
    <row r="20" spans="1:8" x14ac:dyDescent="0.2">
      <c r="A20" s="926"/>
      <c r="B20" s="926"/>
      <c r="C20" s="926"/>
      <c r="D20" s="926"/>
      <c r="E20" s="926"/>
      <c r="F20" s="926"/>
      <c r="G20" s="926"/>
      <c r="H20" s="926"/>
    </row>
    <row r="21" spans="1:8" x14ac:dyDescent="0.2">
      <c r="A21" s="926"/>
      <c r="B21" s="926"/>
      <c r="C21" s="926"/>
      <c r="D21" s="926"/>
      <c r="E21" s="926"/>
      <c r="F21" s="926"/>
      <c r="G21" s="926"/>
      <c r="H21" s="926"/>
    </row>
    <row r="22" spans="1:8" x14ac:dyDescent="0.2">
      <c r="A22" s="926"/>
      <c r="B22" s="926"/>
      <c r="C22" s="926"/>
      <c r="D22" s="926"/>
      <c r="E22" s="926"/>
      <c r="F22" s="926"/>
      <c r="G22" s="926"/>
      <c r="H22" s="1144"/>
    </row>
    <row r="23" spans="1:8" x14ac:dyDescent="0.2">
      <c r="A23" s="926"/>
      <c r="B23" s="926"/>
      <c r="C23" s="926"/>
      <c r="D23" s="926"/>
      <c r="E23" s="926"/>
      <c r="F23" s="926"/>
      <c r="G23" s="926"/>
      <c r="H23" s="926"/>
    </row>
    <row r="24" spans="1:8" x14ac:dyDescent="0.2">
      <c r="A24" s="926"/>
      <c r="B24" s="926"/>
      <c r="C24" s="926"/>
      <c r="D24" s="926"/>
      <c r="E24" s="926"/>
      <c r="F24" s="926"/>
      <c r="G24" s="926"/>
      <c r="H24" s="1145"/>
    </row>
    <row r="25" spans="1:8" x14ac:dyDescent="0.2">
      <c r="A25" s="14" t="s">
        <v>9</v>
      </c>
      <c r="B25" s="15"/>
      <c r="C25" s="15"/>
      <c r="D25" s="15"/>
      <c r="E25" s="15"/>
      <c r="F25" s="1155" t="s">
        <v>16</v>
      </c>
      <c r="G25" s="1155"/>
      <c r="H25" s="1156"/>
    </row>
    <row r="26" spans="1:8" ht="25.5" x14ac:dyDescent="0.2">
      <c r="A26" s="1008" t="s">
        <v>4</v>
      </c>
      <c r="B26" s="1008" t="s">
        <v>5</v>
      </c>
      <c r="C26" s="1008" t="s">
        <v>1</v>
      </c>
      <c r="D26" s="1008" t="s">
        <v>6</v>
      </c>
      <c r="E26" s="1008" t="s">
        <v>7</v>
      </c>
      <c r="F26" s="1006" t="s">
        <v>17</v>
      </c>
      <c r="G26" s="1006" t="s">
        <v>18</v>
      </c>
      <c r="H26" s="398" t="s">
        <v>19</v>
      </c>
    </row>
    <row r="27" spans="1:8" ht="22.5" customHeight="1" x14ac:dyDescent="0.2">
      <c r="A27" s="1006" t="s">
        <v>996</v>
      </c>
      <c r="B27" s="1007"/>
      <c r="C27" s="1007"/>
      <c r="D27" s="396"/>
      <c r="E27" s="494"/>
      <c r="F27" s="1007"/>
      <c r="G27" s="1007"/>
      <c r="H27" s="22"/>
    </row>
    <row r="28" spans="1:8" x14ac:dyDescent="0.2">
      <c r="A28" s="1008" t="s">
        <v>997</v>
      </c>
      <c r="B28" s="1007"/>
      <c r="C28" s="1007"/>
      <c r="D28" s="396"/>
      <c r="E28" s="494"/>
      <c r="F28" s="1007"/>
      <c r="G28" s="1007"/>
      <c r="H28" s="22"/>
    </row>
    <row r="29" spans="1:8" ht="23.25" customHeight="1" x14ac:dyDescent="0.2">
      <c r="A29" s="1006"/>
      <c r="B29" s="1007"/>
      <c r="C29" s="1007"/>
      <c r="D29" s="397"/>
      <c r="E29" s="494"/>
      <c r="F29" s="1007"/>
      <c r="G29" s="1007"/>
      <c r="H29" s="22"/>
    </row>
    <row r="30" spans="1:8" ht="13.5" thickBot="1" x14ac:dyDescent="0.25">
      <c r="A30" s="45"/>
      <c r="B30" s="23"/>
      <c r="C30" s="24"/>
      <c r="D30" s="23" t="str">
        <f>IF(A30="","",VLOOKUP(A30,$O$3:$P$12,2,FALSE))</f>
        <v/>
      </c>
      <c r="E30" s="25" t="str">
        <f>IF(A30="","",B30*D30)</f>
        <v/>
      </c>
      <c r="F30" s="12"/>
      <c r="G30" s="12"/>
      <c r="H30" s="13"/>
    </row>
  </sheetData>
  <mergeCells count="18">
    <mergeCell ref="F25:H25"/>
    <mergeCell ref="G9:H9"/>
    <mergeCell ref="A12:H12"/>
    <mergeCell ref="C9:D9"/>
    <mergeCell ref="C10:D10"/>
    <mergeCell ref="G10:H10"/>
    <mergeCell ref="A5:H5"/>
    <mergeCell ref="A6:H6"/>
    <mergeCell ref="A7:D7"/>
    <mergeCell ref="E7:H7"/>
    <mergeCell ref="C8:D8"/>
    <mergeCell ref="G8:H8"/>
    <mergeCell ref="A1:C1"/>
    <mergeCell ref="D1:H1"/>
    <mergeCell ref="A2:C2"/>
    <mergeCell ref="D2:H2"/>
    <mergeCell ref="A3:A4"/>
    <mergeCell ref="B3:D4"/>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41</vt:i4>
      </vt:variant>
      <vt:variant>
        <vt:lpstr>Plages nommées</vt:lpstr>
      </vt:variant>
      <vt:variant>
        <vt:i4>1</vt:i4>
      </vt:variant>
    </vt:vector>
  </HeadingPairs>
  <TitlesOfParts>
    <vt:vector size="42" baseType="lpstr">
      <vt:lpstr>3.3.2-Décapage Terre végétale</vt:lpstr>
      <vt:lpstr>3.3.3 terrassement masse</vt:lpstr>
      <vt:lpstr>3,4,1,1-terrassements tranchée</vt:lpstr>
      <vt:lpstr>3,4,1,2 terrassement fouille</vt:lpstr>
      <vt:lpstr>Feuil1</vt:lpstr>
      <vt:lpstr>3,4,2,1,caniveau grille fonte</vt:lpstr>
      <vt:lpstr>3,4,2,2-regards 50x50</vt:lpstr>
      <vt:lpstr>3,4,2,3-regard D1000</vt:lpstr>
      <vt:lpstr>3,4,2,4-cana pvc D200</vt:lpstr>
      <vt:lpstr>3,4,2,5-drain</vt:lpstr>
      <vt:lpstr>3,4,2,6-remplacement avaloir</vt:lpstr>
      <vt:lpstr>3,4,3,1-regard beton 50x50</vt:lpstr>
      <vt:lpstr>3,4,3,2-tampon fonte hermetique</vt:lpstr>
      <vt:lpstr>3,4,3,3regard visite D1000</vt:lpstr>
      <vt:lpstr>3,4,3,4-cana EU D200</vt:lpstr>
      <vt:lpstr>3,4,3,5-bac dégraisseur</vt:lpstr>
      <vt:lpstr>3,4,4,1-cana+tranche+enrobage</vt:lpstr>
      <vt:lpstr>3.4.4.2 REGARD DE COMPACTAGE</vt:lpstr>
      <vt:lpstr>3.4.5.1. FOURREAUX TPC &amp; PVC</vt:lpstr>
      <vt:lpstr>3.4.5.2.chambre de tirage L1T</vt:lpstr>
      <vt:lpstr>3.4.5.3.COFFRET TYPE S200</vt:lpstr>
      <vt:lpstr>3.4.6.1 FOURREAUX TPC D110</vt:lpstr>
      <vt:lpstr>3.4.6.2. CÂBLETTE DE TERRE</vt:lpstr>
      <vt:lpstr>3.4.7.MATS ET BORNES ECLAIRAGE</vt:lpstr>
      <vt:lpstr>3.4.8 REGARDS ET CHAMBRE TIRAGE</vt:lpstr>
      <vt:lpstr>3.5.1.1. BORDURES T2</vt:lpstr>
      <vt:lpstr>3.5.1.2. BORDURES P2</vt:lpstr>
      <vt:lpstr>3.5.1.3. CS2</vt:lpstr>
      <vt:lpstr>3.5.1.4. CANIVEAU CC2</vt:lpstr>
      <vt:lpstr>3.5.2.1. VOIRIE FONDATION</vt:lpstr>
      <vt:lpstr>3.5.2.2. VOIRIE ROULEMENT</vt:lpstr>
      <vt:lpstr>3.5.2.3. CHEMINEMENT PIETON </vt:lpstr>
      <vt:lpstr>3.5.3. ZONE PODOTACTILE</vt:lpstr>
      <vt:lpstr>3.5.4. APPORT DE MATERAUX</vt:lpstr>
      <vt:lpstr>3.6.1 NETTOYAGE SURFACE</vt:lpstr>
      <vt:lpstr>3.6.2. MISE EN PLACE TERRE VEGE</vt:lpstr>
      <vt:lpstr>3.6.3.1. TERRE VEGETALE</vt:lpstr>
      <vt:lpstr>3.6.3.2. SEMI</vt:lpstr>
      <vt:lpstr>3.6.3.3. HERSAGE</vt:lpstr>
      <vt:lpstr>3.6.3.4. ROULAGE</vt:lpstr>
      <vt:lpstr>3.6.4. MISE EN PLACE D'ARBRES</vt:lpstr>
      <vt:lpstr>'3.3.2-Décapage Terre végétale'!Zone_d_impression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BONNEMOY</dc:creator>
  <cp:lastModifiedBy>31019-73-01</cp:lastModifiedBy>
  <cp:lastPrinted>2022-10-11T14:46:51Z</cp:lastPrinted>
  <dcterms:created xsi:type="dcterms:W3CDTF">2011-01-26T12:32:35Z</dcterms:created>
  <dcterms:modified xsi:type="dcterms:W3CDTF">2022-10-11T14:46:56Z</dcterms:modified>
</cp:coreProperties>
</file>