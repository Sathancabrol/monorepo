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DTTP - 21146 du 04_04_2022 au 24_02_2023\Documentation &amp; devoir\Création d'entreprise\CREATION ENTREPRISE\"/>
    </mc:Choice>
  </mc:AlternateContent>
  <bookViews>
    <workbookView xWindow="0" yWindow="0" windowWidth="25200" windowHeight="11256"/>
  </bookViews>
  <sheets>
    <sheet name="Engins" sheetId="1" r:id="rId1"/>
    <sheet name="TOTAL" sheetId="5" r:id="rId2"/>
    <sheet name="Petits engins" sheetId="2" r:id="rId3"/>
    <sheet name="Transport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5" l="1"/>
  <c r="G33" i="5"/>
  <c r="F17" i="5"/>
  <c r="Z13" i="3" l="1"/>
  <c r="AA13" i="3" s="1"/>
  <c r="V13" i="3"/>
  <c r="Z12" i="3"/>
  <c r="AA12" i="3" s="1"/>
  <c r="V12" i="3"/>
  <c r="AB12" i="3" s="1"/>
  <c r="AC12" i="3" s="1"/>
  <c r="AA11" i="3"/>
  <c r="Z11" i="3"/>
  <c r="V11" i="3"/>
  <c r="AB11" i="3" s="1"/>
  <c r="AC11" i="3" s="1"/>
  <c r="Z10" i="3"/>
  <c r="AA10" i="3" s="1"/>
  <c r="AB10" i="3" s="1"/>
  <c r="AC10" i="3" s="1"/>
  <c r="V10" i="3"/>
  <c r="AA9" i="3"/>
  <c r="Z9" i="3"/>
  <c r="V9" i="3"/>
  <c r="AB9" i="3" s="1"/>
  <c r="AC9" i="3" s="1"/>
  <c r="Z8" i="3"/>
  <c r="AA8" i="3" s="1"/>
  <c r="V8" i="3"/>
  <c r="AA7" i="3"/>
  <c r="Z7" i="3"/>
  <c r="V7" i="3"/>
  <c r="AB7" i="3" s="1"/>
  <c r="AC7" i="3" s="1"/>
  <c r="Z6" i="3"/>
  <c r="AA6" i="3" s="1"/>
  <c r="AB6" i="3" s="1"/>
  <c r="AC6" i="3" s="1"/>
  <c r="V6" i="3"/>
  <c r="AA5" i="3"/>
  <c r="Z5" i="3"/>
  <c r="V5" i="3"/>
  <c r="AB5" i="3" s="1"/>
  <c r="AC5" i="3" s="1"/>
  <c r="Z4" i="3"/>
  <c r="AA4" i="3" s="1"/>
  <c r="V4" i="3"/>
  <c r="AB4" i="3" s="1"/>
  <c r="AC4" i="3" s="1"/>
  <c r="Z3" i="3"/>
  <c r="AA3" i="3" s="1"/>
  <c r="V3" i="3"/>
  <c r="AA2" i="3"/>
  <c r="AB2" i="3" s="1"/>
  <c r="AC2" i="3" s="1"/>
  <c r="Z2" i="3"/>
  <c r="V2" i="3"/>
  <c r="AB3" i="3" l="1"/>
  <c r="AC3" i="3" s="1"/>
  <c r="AB8" i="3"/>
  <c r="AC8" i="3" s="1"/>
  <c r="AB13" i="3"/>
  <c r="AC13" i="3" s="1"/>
  <c r="Y12" i="1"/>
  <c r="X2" i="1" l="1"/>
  <c r="Y2" i="1"/>
  <c r="K7" i="2" l="1"/>
  <c r="Y15" i="1"/>
  <c r="L15" i="1"/>
  <c r="Y14" i="1"/>
  <c r="L14" i="1"/>
  <c r="X13" i="1"/>
  <c r="Y13" i="1" s="1"/>
  <c r="L13" i="1"/>
  <c r="N12" i="1"/>
  <c r="K12" i="1"/>
  <c r="M12" i="1" s="1"/>
  <c r="L12" i="1" s="1"/>
  <c r="X11" i="1"/>
  <c r="N11" i="1"/>
  <c r="K11" i="1"/>
  <c r="M11" i="1" s="1"/>
  <c r="X10" i="1"/>
  <c r="N10" i="1"/>
  <c r="K10" i="1"/>
  <c r="M10" i="1" s="1"/>
  <c r="X9" i="1"/>
  <c r="K9" i="1"/>
  <c r="M9" i="1" s="1"/>
  <c r="X8" i="1"/>
  <c r="M8" i="1"/>
  <c r="L8" i="1" s="1"/>
  <c r="K8" i="1"/>
  <c r="X7" i="1"/>
  <c r="M7" i="1"/>
  <c r="O7" i="1" s="1"/>
  <c r="Q7" i="1" s="1"/>
  <c r="L7" i="1"/>
  <c r="K7" i="1"/>
  <c r="X6" i="1"/>
  <c r="K6" i="1"/>
  <c r="M6" i="1" s="1"/>
  <c r="T5" i="1"/>
  <c r="X5" i="1" s="1"/>
  <c r="N5" i="1"/>
  <c r="K5" i="1"/>
  <c r="M5" i="1" s="1"/>
  <c r="L5" i="1" s="1"/>
  <c r="X4" i="1"/>
  <c r="N4" i="1"/>
  <c r="K4" i="1"/>
  <c r="M4" i="1" s="1"/>
  <c r="X3" i="1"/>
  <c r="N3" i="1"/>
  <c r="K3" i="1"/>
  <c r="M3" i="1" s="1"/>
  <c r="T2" i="1"/>
  <c r="N2" i="1"/>
  <c r="M2" i="1"/>
  <c r="L2" i="1" s="1"/>
  <c r="K2" i="1"/>
  <c r="E19" i="1"/>
  <c r="E20" i="1" s="1"/>
  <c r="O6" i="1" l="1"/>
  <c r="Q6" i="1" s="1"/>
  <c r="L6" i="1"/>
  <c r="O4" i="1"/>
  <c r="L4" i="1"/>
  <c r="Y6" i="1"/>
  <c r="Y7" i="1"/>
  <c r="L9" i="1"/>
  <c r="O9" i="1"/>
  <c r="Q9" i="1" s="1"/>
  <c r="Y9" i="1" s="1"/>
  <c r="L3" i="1"/>
  <c r="O3" i="1"/>
  <c r="L11" i="1"/>
  <c r="O11" i="1"/>
  <c r="L10" i="1"/>
  <c r="O10" i="1"/>
  <c r="O2" i="1"/>
  <c r="O5" i="1"/>
  <c r="O12" i="1"/>
  <c r="O8" i="1"/>
  <c r="Q8" i="1" s="1"/>
  <c r="Y8" i="1" s="1"/>
  <c r="F19" i="1"/>
  <c r="P2" i="1" s="1"/>
  <c r="F20" i="1"/>
  <c r="E21" i="1"/>
  <c r="Q2" i="1" l="1"/>
  <c r="E22" i="1"/>
  <c r="F21" i="1"/>
  <c r="P4" i="1" s="1"/>
  <c r="Q4" i="1" s="1"/>
  <c r="Y4" i="1" s="1"/>
  <c r="K8" i="3"/>
  <c r="L8" i="3" s="1"/>
  <c r="N8" i="3" s="1"/>
  <c r="P8" i="3" s="1"/>
  <c r="K9" i="3"/>
  <c r="L9" i="3" s="1"/>
  <c r="N9" i="3" s="1"/>
  <c r="P9" i="3" s="1"/>
  <c r="K10" i="3"/>
  <c r="L10" i="3" s="1"/>
  <c r="N10" i="3" s="1"/>
  <c r="P10" i="3" s="1"/>
  <c r="K11" i="3"/>
  <c r="L11" i="3" s="1"/>
  <c r="N11" i="3" s="1"/>
  <c r="P11" i="3" s="1"/>
  <c r="K12" i="3"/>
  <c r="L12" i="3" s="1"/>
  <c r="N12" i="3" s="1"/>
  <c r="P12" i="3" s="1"/>
  <c r="K13" i="3"/>
  <c r="L13" i="3" s="1"/>
  <c r="N13" i="3" s="1"/>
  <c r="P13" i="3" s="1"/>
  <c r="K7" i="3"/>
  <c r="K6" i="3"/>
  <c r="F22" i="1" l="1"/>
  <c r="E23" i="1"/>
  <c r="E24" i="1" l="1"/>
  <c r="F23" i="1"/>
  <c r="E18" i="3"/>
  <c r="F18" i="3" s="1"/>
  <c r="P7" i="3"/>
  <c r="L5" i="3"/>
  <c r="N5" i="3" s="1"/>
  <c r="P5" i="3" s="1"/>
  <c r="L6" i="3"/>
  <c r="N6" i="3" s="1"/>
  <c r="P6" i="3" s="1"/>
  <c r="L7" i="3"/>
  <c r="N7" i="3" s="1"/>
  <c r="K3" i="3"/>
  <c r="L3" i="3" s="1"/>
  <c r="N3" i="3" s="1"/>
  <c r="P3" i="3" s="1"/>
  <c r="K4" i="3"/>
  <c r="L4" i="3" s="1"/>
  <c r="N4" i="3" s="1"/>
  <c r="P4" i="3" s="1"/>
  <c r="K5" i="3"/>
  <c r="K2" i="3"/>
  <c r="L2" i="3" s="1"/>
  <c r="N2" i="3" s="1"/>
  <c r="P2" i="3" s="1"/>
  <c r="F24" i="1" l="1"/>
  <c r="E25" i="1"/>
  <c r="E19" i="3"/>
  <c r="E20" i="3" s="1"/>
  <c r="F20" i="3" s="1"/>
  <c r="E21" i="3"/>
  <c r="F19" i="3"/>
  <c r="E26" i="1" l="1"/>
  <c r="F25" i="1"/>
  <c r="E22" i="3"/>
  <c r="F21" i="3"/>
  <c r="F26" i="1" l="1"/>
  <c r="E27" i="1"/>
  <c r="F22" i="3"/>
  <c r="E23" i="3"/>
  <c r="E28" i="1" l="1"/>
  <c r="F27" i="1"/>
  <c r="E24" i="3"/>
  <c r="F23" i="3"/>
  <c r="F28" i="1" l="1"/>
  <c r="E29" i="1"/>
  <c r="F24" i="3"/>
  <c r="E25" i="3"/>
  <c r="E30" i="1" l="1"/>
  <c r="F29" i="1"/>
  <c r="E26" i="3"/>
  <c r="F25" i="3"/>
  <c r="F30" i="1" l="1"/>
  <c r="E31" i="1"/>
  <c r="F26" i="3"/>
  <c r="E27" i="3"/>
  <c r="E32" i="1" l="1"/>
  <c r="F31" i="1"/>
  <c r="P3" i="1" s="1"/>
  <c r="Q3" i="1" s="1"/>
  <c r="Y3" i="1" s="1"/>
  <c r="E28" i="3"/>
  <c r="F27" i="3"/>
  <c r="F32" i="1" l="1"/>
  <c r="E33" i="1"/>
  <c r="F28" i="3"/>
  <c r="E29" i="3"/>
  <c r="E34" i="1" l="1"/>
  <c r="F33" i="1"/>
  <c r="E30" i="3"/>
  <c r="F29" i="3"/>
  <c r="F34" i="1" l="1"/>
  <c r="E35" i="1"/>
  <c r="F30" i="3"/>
  <c r="E31" i="3"/>
  <c r="P5" i="1" l="1"/>
  <c r="Q5" i="1" s="1"/>
  <c r="Y5" i="1" s="1"/>
  <c r="P10" i="1"/>
  <c r="Q10" i="1" s="1"/>
  <c r="Y10" i="1" s="1"/>
  <c r="E36" i="1"/>
  <c r="F35" i="1"/>
  <c r="E32" i="3"/>
  <c r="F31" i="3"/>
  <c r="F36" i="1" l="1"/>
  <c r="E37" i="1"/>
  <c r="F32" i="3"/>
  <c r="E33" i="3"/>
  <c r="E38" i="1" l="1"/>
  <c r="F37" i="1"/>
  <c r="P12" i="1" s="1"/>
  <c r="Q12" i="1" s="1"/>
  <c r="E34" i="3"/>
  <c r="F34" i="3" s="1"/>
  <c r="F33" i="3"/>
  <c r="F38" i="1" l="1"/>
  <c r="E39" i="1"/>
  <c r="E40" i="1" l="1"/>
  <c r="F39" i="1"/>
  <c r="F40" i="1" l="1"/>
  <c r="E41" i="1"/>
  <c r="F41" i="1" s="1"/>
  <c r="P11" i="1" s="1"/>
  <c r="Q11" i="1" s="1"/>
  <c r="Y11" i="1" s="1"/>
</calcChain>
</file>

<file path=xl/sharedStrings.xml><?xml version="1.0" encoding="utf-8"?>
<sst xmlns="http://schemas.openxmlformats.org/spreadsheetml/2006/main" count="416" uniqueCount="188">
  <si>
    <t>type</t>
  </si>
  <si>
    <t>Désignation</t>
  </si>
  <si>
    <t>Marque</t>
  </si>
  <si>
    <t>Modèle</t>
  </si>
  <si>
    <t>Année</t>
  </si>
  <si>
    <t>Horamètre / Kilométrage</t>
  </si>
  <si>
    <t>Prix occasion HT</t>
  </si>
  <si>
    <t xml:space="preserve">nombre de jour travaillé </t>
  </si>
  <si>
    <t>Entretien</t>
  </si>
  <si>
    <t>Pelle à chenille</t>
  </si>
  <si>
    <t>Pelle à pneu</t>
  </si>
  <si>
    <t>Mini pelle</t>
  </si>
  <si>
    <t>Mecalac 12MxT</t>
  </si>
  <si>
    <t>Niveleuse</t>
  </si>
  <si>
    <t>Bouille</t>
  </si>
  <si>
    <t>PATA</t>
  </si>
  <si>
    <t>Finisseur</t>
  </si>
  <si>
    <t>Compacteur monobille vibrant V3-V5</t>
  </si>
  <si>
    <t xml:space="preserve">Compacteur à pneu </t>
  </si>
  <si>
    <t>Compacteur tandem</t>
  </si>
  <si>
    <t>Compacteur à pieds de mouton</t>
  </si>
  <si>
    <t>Plaque vibrante</t>
  </si>
  <si>
    <t>Plaqye vibrante 484 Kg</t>
  </si>
  <si>
    <t>Ammann</t>
  </si>
  <si>
    <t>APR 59/20</t>
  </si>
  <si>
    <t>Prix neuf</t>
  </si>
  <si>
    <t>Prix occasion</t>
  </si>
  <si>
    <t>Plaque vibrante 70Kg</t>
  </si>
  <si>
    <t>Tronçonneuse thermique</t>
  </si>
  <si>
    <t>Groupe électrogène</t>
  </si>
  <si>
    <t>Marteau piqueur électrique</t>
  </si>
  <si>
    <t>Gravillonneur</t>
  </si>
  <si>
    <t>Type</t>
  </si>
  <si>
    <t>Fourgon tolé 7pl</t>
  </si>
  <si>
    <t>Fourgon benne</t>
  </si>
  <si>
    <t>Camion grue 4x2</t>
  </si>
  <si>
    <t>camion bi-benne 6x4</t>
  </si>
  <si>
    <t>camion bi-benne 8x4</t>
  </si>
  <si>
    <t>Tracteur 6x4</t>
  </si>
  <si>
    <t>Remorque benne</t>
  </si>
  <si>
    <t>Remorque plateau</t>
  </si>
  <si>
    <t>MW Tools</t>
  </si>
  <si>
    <t>BG65ED</t>
  </si>
  <si>
    <t>Groupe électrogène de chantier 6,5kW 3x400V</t>
  </si>
  <si>
    <t>DECOUPEUSE THERMIQUE</t>
  </si>
  <si>
    <t>STHIL</t>
  </si>
  <si>
    <t>TS420</t>
  </si>
  <si>
    <t>BURINEUR SOL</t>
  </si>
  <si>
    <t>MILWAUKEE</t>
  </si>
  <si>
    <t>K1528H</t>
  </si>
  <si>
    <t>GRAVILLONNEUR</t>
  </si>
  <si>
    <t xml:space="preserve"> CONCERTO22</t>
  </si>
  <si>
    <t>CTP</t>
  </si>
  <si>
    <t>Type de carburant</t>
  </si>
  <si>
    <t>Prix au litre</t>
  </si>
  <si>
    <t>NIVELEUSE</t>
  </si>
  <si>
    <t>836CAWD</t>
  </si>
  <si>
    <t>Bouille 12m3</t>
  </si>
  <si>
    <t>ACMAR</t>
  </si>
  <si>
    <t>1830000 km</t>
  </si>
  <si>
    <t>PATA SECMAIR 3,5m3</t>
  </si>
  <si>
    <t>RENAULT</t>
  </si>
  <si>
    <t xml:space="preserve">320 DCI </t>
  </si>
  <si>
    <t>209115 km</t>
  </si>
  <si>
    <t>Dynapac</t>
  </si>
  <si>
    <t>SD2500CS</t>
  </si>
  <si>
    <t>Caterpillar</t>
  </si>
  <si>
    <t xml:space="preserve">Compacteur à pieds de mouton </t>
  </si>
  <si>
    <t>Plaque vibrante 75 kg</t>
  </si>
  <si>
    <t>Mikasa</t>
  </si>
  <si>
    <t>MCV F 60R</t>
  </si>
  <si>
    <t>fourgon double cabine</t>
  </si>
  <si>
    <t>citroen</t>
  </si>
  <si>
    <t xml:space="preserve">jumper </t>
  </si>
  <si>
    <t>47436km</t>
  </si>
  <si>
    <t>iveco</t>
  </si>
  <si>
    <t>daily 35C14V1</t>
  </si>
  <si>
    <t>36015km</t>
  </si>
  <si>
    <t xml:space="preserve"> double cabine/coffre</t>
  </si>
  <si>
    <t>renault</t>
  </si>
  <si>
    <t>master 145.35</t>
  </si>
  <si>
    <t>245km</t>
  </si>
  <si>
    <t>double cabine/coffre</t>
  </si>
  <si>
    <t>50km</t>
  </si>
  <si>
    <t>18t grue tri-benne</t>
  </si>
  <si>
    <t>eurocargo</t>
  </si>
  <si>
    <t>1km</t>
  </si>
  <si>
    <t>26t bi-benne</t>
  </si>
  <si>
    <t xml:space="preserve">kerax 410 </t>
  </si>
  <si>
    <t>290000km</t>
  </si>
  <si>
    <t>32t bi-benne</t>
  </si>
  <si>
    <t>jocquin gamme C</t>
  </si>
  <si>
    <t>22970km</t>
  </si>
  <si>
    <t>tracteur 600cv</t>
  </si>
  <si>
    <t>man</t>
  </si>
  <si>
    <t>FH16 600</t>
  </si>
  <si>
    <t>11km</t>
  </si>
  <si>
    <t>benalu</t>
  </si>
  <si>
    <t>Ozgul</t>
  </si>
  <si>
    <t>LW4 hydraulic ramps EU</t>
  </si>
  <si>
    <t>VOLVO</t>
  </si>
  <si>
    <t>EC 200-D</t>
  </si>
  <si>
    <t>ECR48 C</t>
  </si>
  <si>
    <t>MECALAC</t>
  </si>
  <si>
    <t>12 MTX</t>
  </si>
  <si>
    <t>CATERPILLAR</t>
  </si>
  <si>
    <t>M316 C</t>
  </si>
  <si>
    <t>volume godet</t>
  </si>
  <si>
    <t>fuel tank</t>
  </si>
  <si>
    <t>1m3</t>
  </si>
  <si>
    <t>0,265m3</t>
  </si>
  <si>
    <t>0,565m3</t>
  </si>
  <si>
    <t>0,99m3</t>
  </si>
  <si>
    <t xml:space="preserve"> CS663E</t>
  </si>
  <si>
    <t>5796 heures</t>
  </si>
  <si>
    <t>Compacteur a pneus Caterpillar PS-300B</t>
  </si>
  <si>
    <t xml:space="preserve"> PS 300 B</t>
  </si>
  <si>
    <t>1 769 heures</t>
  </si>
  <si>
    <t xml:space="preserve">Compacteur tandem Bomag BW100 AD-3 </t>
  </si>
  <si>
    <t xml:space="preserve"> Bomag</t>
  </si>
  <si>
    <t xml:space="preserve">BW100 AD-3 </t>
  </si>
  <si>
    <t>2000 heures</t>
  </si>
  <si>
    <t xml:space="preserve"> CC422</t>
  </si>
  <si>
    <t>3600 heures</t>
  </si>
  <si>
    <t>Compacteur tandem VT</t>
  </si>
  <si>
    <t>Compacteur tandem Dynapac CC422  1700 tonnes</t>
  </si>
  <si>
    <t>17,9 T</t>
  </si>
  <si>
    <t>20,3 T</t>
  </si>
  <si>
    <t>4,85 T</t>
  </si>
  <si>
    <t xml:space="preserve">9,7 T </t>
  </si>
  <si>
    <t>CAT 12M</t>
  </si>
  <si>
    <t>Compacteur monocylindre Caterpillar CS663E V3 V4</t>
  </si>
  <si>
    <t>ammann</t>
  </si>
  <si>
    <t>Rammax 1575</t>
  </si>
  <si>
    <t>semi remorque 3 essieux</t>
  </si>
  <si>
    <t>porte char 49.5t essieux</t>
  </si>
  <si>
    <t>Fourgon coffre</t>
  </si>
  <si>
    <t>145cv</t>
  </si>
  <si>
    <t>benne 3T5 simple cabine coffre</t>
  </si>
  <si>
    <t>165cv</t>
  </si>
  <si>
    <t>Pourcentage d'utilisation</t>
  </si>
  <si>
    <t>Taux d'intérêt</t>
  </si>
  <si>
    <t>entretien</t>
  </si>
  <si>
    <t>neuf</t>
  </si>
  <si>
    <t>entretien (année)</t>
  </si>
  <si>
    <t>pourcentage</t>
  </si>
  <si>
    <t>amortissement 5ans</t>
  </si>
  <si>
    <t xml:space="preserve">nombre de jours travaillés </t>
  </si>
  <si>
    <t>jours travaillés/utilisation</t>
  </si>
  <si>
    <t>coût journalier</t>
  </si>
  <si>
    <t>pourcentage entretien</t>
  </si>
  <si>
    <t>prix avec intérêt</t>
  </si>
  <si>
    <t>DIESEL</t>
  </si>
  <si>
    <t>10,28L</t>
  </si>
  <si>
    <t>10,70L</t>
  </si>
  <si>
    <t>8,63L</t>
  </si>
  <si>
    <t>8,7L</t>
  </si>
  <si>
    <t>GNR</t>
  </si>
  <si>
    <t>GO</t>
  </si>
  <si>
    <t>Consommation de l'engin (l/h)</t>
  </si>
  <si>
    <t xml:space="preserve">Heures travaillés/j </t>
  </si>
  <si>
    <t>Coût journalier carburant</t>
  </si>
  <si>
    <t>Coût journalier total</t>
  </si>
  <si>
    <t>/</t>
  </si>
  <si>
    <t xml:space="preserve">Consommation l/100km </t>
  </si>
  <si>
    <t>Distance de travaille</t>
  </si>
  <si>
    <t>340 heures</t>
  </si>
  <si>
    <t>3878 heures</t>
  </si>
  <si>
    <t>8800 heures</t>
  </si>
  <si>
    <t>Prix avec intérêt</t>
  </si>
  <si>
    <t>essence</t>
  </si>
  <si>
    <t>Nombre outils</t>
  </si>
  <si>
    <t>Prix journaliers</t>
  </si>
  <si>
    <t>Plaque vibrante 484 Kg</t>
  </si>
  <si>
    <t>Conso de l'engin/100km</t>
  </si>
  <si>
    <t>km/jour en zone 3</t>
  </si>
  <si>
    <t>conso/jour en litre</t>
  </si>
  <si>
    <t>coût conso</t>
  </si>
  <si>
    <t>prix pneu neuf</t>
  </si>
  <si>
    <t>nombre de pneus</t>
  </si>
  <si>
    <t>durée vie pneu en km</t>
  </si>
  <si>
    <t xml:space="preserve">coût pneu/jour </t>
  </si>
  <si>
    <t>coût pneus /véhicule</t>
  </si>
  <si>
    <t>coût consommable</t>
  </si>
  <si>
    <t>total coût véhicule/jour</t>
  </si>
  <si>
    <t>33L</t>
  </si>
  <si>
    <t>Coût majoré</t>
  </si>
  <si>
    <t>Compacteur monocylindre Caterpillar CS663E V3 V4 - largeur 2,134m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</si>
</sst>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0" fillId="0" borderId="1" xfId="0" applyNumberFormat="1" applyBorder="1"/>
    <xf numFmtId="0" fontId="0" fillId="0" borderId="1" xfId="0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44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8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4" fontId="0" fillId="0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4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wrapText="1"/>
    </xf>
    <xf numFmtId="1" fontId="16" fillId="0" borderId="0" xfId="0" applyNumberFormat="1" applyFont="1"/>
    <xf numFmtId="164" fontId="7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9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164" fontId="10" fillId="0" borderId="2" xfId="0" applyNumberFormat="1" applyFont="1" applyBorder="1"/>
    <xf numFmtId="164" fontId="0" fillId="0" borderId="0" xfId="0" applyNumberFormat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zoomScale="80" zoomScaleNormal="80" workbookViewId="0">
      <pane xSplit="1" topLeftCell="B1" activePane="topRight" state="frozen"/>
      <selection pane="topRight" activeCell="B11" sqref="B11"/>
    </sheetView>
  </sheetViews>
  <sheetFormatPr baseColWidth="10" defaultRowHeight="14.4" x14ac:dyDescent="0.3"/>
  <cols>
    <col min="1" max="1" width="34.44140625" bestFit="1" customWidth="1"/>
    <col min="2" max="2" width="51.33203125" bestFit="1" customWidth="1"/>
    <col min="3" max="3" width="13" bestFit="1" customWidth="1"/>
    <col min="4" max="4" width="14.33203125" bestFit="1" customWidth="1"/>
    <col min="5" max="5" width="10.33203125" bestFit="1" customWidth="1"/>
    <col min="6" max="6" width="13.6640625" bestFit="1" customWidth="1"/>
    <col min="7" max="7" width="14" customWidth="1"/>
    <col min="8" max="8" width="13.5546875" bestFit="1" customWidth="1"/>
    <col min="9" max="9" width="9.6640625" customWidth="1"/>
    <col min="10" max="10" width="12.109375" bestFit="1" customWidth="1"/>
    <col min="11" max="11" width="16.33203125" bestFit="1" customWidth="1"/>
    <col min="12" max="12" width="10.109375" bestFit="1" customWidth="1"/>
    <col min="13" max="13" width="12.88671875" bestFit="1" customWidth="1"/>
    <col min="14" max="14" width="11.88671875" customWidth="1"/>
    <col min="15" max="15" width="10.44140625" customWidth="1"/>
    <col min="16" max="16" width="13.109375" customWidth="1"/>
    <col min="18" max="18" width="10.33203125" customWidth="1"/>
    <col min="19" max="19" width="7.5546875" customWidth="1"/>
    <col min="20" max="21" width="15.6640625" customWidth="1"/>
    <col min="22" max="22" width="13.33203125" customWidth="1"/>
    <col min="23" max="23" width="10" customWidth="1"/>
    <col min="24" max="24" width="11" customWidth="1"/>
    <col min="25" max="25" width="10.6640625" customWidth="1"/>
    <col min="26" max="26" width="9.44140625" customWidth="1"/>
    <col min="27" max="27" width="7.5546875" customWidth="1"/>
  </cols>
  <sheetData>
    <row r="1" spans="1:27" ht="60.75" customHeight="1" x14ac:dyDescent="0.3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39" t="s">
        <v>5</v>
      </c>
      <c r="G1" s="39" t="s">
        <v>6</v>
      </c>
      <c r="H1" s="39" t="s">
        <v>140</v>
      </c>
      <c r="I1" s="39" t="s">
        <v>141</v>
      </c>
      <c r="J1" s="39" t="s">
        <v>147</v>
      </c>
      <c r="K1" s="39" t="s">
        <v>146</v>
      </c>
      <c r="L1" s="39" t="s">
        <v>169</v>
      </c>
      <c r="M1" s="39" t="s">
        <v>151</v>
      </c>
      <c r="N1" s="39" t="s">
        <v>148</v>
      </c>
      <c r="O1" s="39" t="s">
        <v>149</v>
      </c>
      <c r="P1" s="39" t="s">
        <v>150</v>
      </c>
      <c r="Q1" s="40" t="s">
        <v>8</v>
      </c>
      <c r="R1" s="39" t="s">
        <v>53</v>
      </c>
      <c r="S1" s="39" t="s">
        <v>54</v>
      </c>
      <c r="T1" s="39" t="s">
        <v>159</v>
      </c>
      <c r="U1" s="39" t="s">
        <v>164</v>
      </c>
      <c r="V1" s="39" t="s">
        <v>160</v>
      </c>
      <c r="W1" s="39" t="s">
        <v>165</v>
      </c>
      <c r="X1" s="39" t="s">
        <v>161</v>
      </c>
      <c r="Y1" s="41" t="s">
        <v>162</v>
      </c>
      <c r="Z1" s="42" t="s">
        <v>107</v>
      </c>
      <c r="AA1" s="39" t="s">
        <v>108</v>
      </c>
    </row>
    <row r="2" spans="1:27" ht="21" customHeight="1" x14ac:dyDescent="0.3">
      <c r="A2" s="43" t="s">
        <v>9</v>
      </c>
      <c r="B2" s="3" t="s">
        <v>127</v>
      </c>
      <c r="C2" s="3" t="s">
        <v>100</v>
      </c>
      <c r="D2" s="3" t="s">
        <v>101</v>
      </c>
      <c r="E2" s="3">
        <v>2021</v>
      </c>
      <c r="F2" s="3">
        <v>5</v>
      </c>
      <c r="G2" s="9">
        <v>87000</v>
      </c>
      <c r="H2" s="11">
        <v>0.9</v>
      </c>
      <c r="I2" s="11">
        <v>8.0000000000000002E-3</v>
      </c>
      <c r="J2" s="3">
        <v>224</v>
      </c>
      <c r="K2" s="12">
        <f t="shared" ref="K2:K12" si="0">G2/5</f>
        <v>17400</v>
      </c>
      <c r="L2" s="12">
        <f t="shared" ref="L2:L15" si="1">M2-K2</f>
        <v>139.20000000000073</v>
      </c>
      <c r="M2" s="12">
        <f>K2*I2+K2</f>
        <v>17539.2</v>
      </c>
      <c r="N2" s="15">
        <f>J2*H2</f>
        <v>201.6</v>
      </c>
      <c r="O2" s="12">
        <f t="shared" ref="O2:O12" si="2">M2/N2</f>
        <v>87</v>
      </c>
      <c r="P2" s="14">
        <f>F19</f>
        <v>0.11</v>
      </c>
      <c r="Q2" s="12">
        <f>O2*P2+O2</f>
        <v>96.57</v>
      </c>
      <c r="R2" s="20" t="s">
        <v>157</v>
      </c>
      <c r="S2" s="3">
        <v>1.5</v>
      </c>
      <c r="T2" s="3">
        <f>160/8</f>
        <v>20</v>
      </c>
      <c r="U2" s="3" t="s">
        <v>163</v>
      </c>
      <c r="V2" s="20">
        <v>8</v>
      </c>
      <c r="W2" s="20" t="s">
        <v>163</v>
      </c>
      <c r="X2" s="24">
        <f>S2*T2*V2</f>
        <v>240</v>
      </c>
      <c r="Y2" s="33">
        <f t="shared" ref="Y2:Y15" si="3">X2+Q2</f>
        <v>336.57</v>
      </c>
      <c r="Z2" s="32" t="s">
        <v>109</v>
      </c>
      <c r="AA2" s="32">
        <v>330</v>
      </c>
    </row>
    <row r="3" spans="1:27" ht="21" customHeight="1" x14ac:dyDescent="0.3">
      <c r="A3" s="43" t="s">
        <v>10</v>
      </c>
      <c r="B3" s="3" t="s">
        <v>126</v>
      </c>
      <c r="C3" s="3" t="s">
        <v>100</v>
      </c>
      <c r="D3" s="3" t="s">
        <v>102</v>
      </c>
      <c r="E3" s="3">
        <v>2009</v>
      </c>
      <c r="F3" s="3">
        <v>3800</v>
      </c>
      <c r="G3" s="9">
        <v>27000</v>
      </c>
      <c r="H3" s="11">
        <v>0.9</v>
      </c>
      <c r="I3" s="11">
        <v>8.0000000000000002E-3</v>
      </c>
      <c r="J3" s="3">
        <v>224</v>
      </c>
      <c r="K3" s="12">
        <f t="shared" si="0"/>
        <v>5400</v>
      </c>
      <c r="L3" s="12">
        <f t="shared" si="1"/>
        <v>43.199999999999818</v>
      </c>
      <c r="M3" s="12">
        <f>K3*I3+K3</f>
        <v>5443.2</v>
      </c>
      <c r="N3" s="15">
        <f>J3*H3</f>
        <v>201.6</v>
      </c>
      <c r="O3" s="12">
        <f t="shared" si="2"/>
        <v>27</v>
      </c>
      <c r="P3" s="14">
        <f>F31</f>
        <v>1.61</v>
      </c>
      <c r="Q3" s="12">
        <f>O3*P3+O3</f>
        <v>70.47</v>
      </c>
      <c r="R3" s="20" t="s">
        <v>157</v>
      </c>
      <c r="S3" s="3">
        <v>1.5</v>
      </c>
      <c r="T3" s="3">
        <v>20</v>
      </c>
      <c r="U3" s="3" t="s">
        <v>163</v>
      </c>
      <c r="V3" s="20">
        <v>8</v>
      </c>
      <c r="W3" s="20" t="s">
        <v>163</v>
      </c>
      <c r="X3" s="24">
        <f>S3*T3*V3</f>
        <v>240</v>
      </c>
      <c r="Y3" s="33">
        <f t="shared" si="3"/>
        <v>310.47000000000003</v>
      </c>
      <c r="Z3" s="6" t="s">
        <v>110</v>
      </c>
      <c r="AA3" s="6">
        <v>60</v>
      </c>
    </row>
    <row r="4" spans="1:27" ht="21" customHeight="1" x14ac:dyDescent="0.3">
      <c r="A4" s="44" t="s">
        <v>11</v>
      </c>
      <c r="B4" s="3" t="s">
        <v>128</v>
      </c>
      <c r="C4" s="3" t="s">
        <v>105</v>
      </c>
      <c r="D4" s="3" t="s">
        <v>106</v>
      </c>
      <c r="E4" s="3">
        <v>2006</v>
      </c>
      <c r="F4" s="3">
        <v>15205</v>
      </c>
      <c r="G4" s="9">
        <v>35900</v>
      </c>
      <c r="H4" s="11">
        <v>0.9</v>
      </c>
      <c r="I4" s="11">
        <v>8.0000000000000002E-3</v>
      </c>
      <c r="J4" s="3">
        <v>224</v>
      </c>
      <c r="K4" s="12">
        <f t="shared" si="0"/>
        <v>7180</v>
      </c>
      <c r="L4" s="12">
        <f t="shared" si="1"/>
        <v>57.4399999999996</v>
      </c>
      <c r="M4" s="12">
        <f>K4*I4+K4</f>
        <v>7237.44</v>
      </c>
      <c r="N4" s="15">
        <f>J4*H4</f>
        <v>201.6</v>
      </c>
      <c r="O4" s="12">
        <f t="shared" si="2"/>
        <v>35.9</v>
      </c>
      <c r="P4" s="14">
        <f>F21</f>
        <v>0.26</v>
      </c>
      <c r="Q4" s="12">
        <f>O4*P4+O4</f>
        <v>45.233999999999995</v>
      </c>
      <c r="R4" s="20" t="s">
        <v>157</v>
      </c>
      <c r="S4" s="3">
        <v>1.5</v>
      </c>
      <c r="T4" s="3">
        <v>6</v>
      </c>
      <c r="U4" s="3" t="s">
        <v>163</v>
      </c>
      <c r="V4" s="20">
        <v>8</v>
      </c>
      <c r="W4" s="20" t="s">
        <v>163</v>
      </c>
      <c r="X4" s="24">
        <f>S4*T4*V4</f>
        <v>72</v>
      </c>
      <c r="Y4" s="33">
        <f t="shared" si="3"/>
        <v>117.23399999999999</v>
      </c>
      <c r="Z4" s="6" t="s">
        <v>111</v>
      </c>
      <c r="AA4" s="6">
        <v>140</v>
      </c>
    </row>
    <row r="5" spans="1:27" ht="21" customHeight="1" x14ac:dyDescent="0.3">
      <c r="A5" s="44" t="s">
        <v>12</v>
      </c>
      <c r="B5" s="3" t="s">
        <v>129</v>
      </c>
      <c r="C5" s="3" t="s">
        <v>103</v>
      </c>
      <c r="D5" s="3" t="s">
        <v>104</v>
      </c>
      <c r="E5" s="3">
        <v>2019</v>
      </c>
      <c r="F5" s="3">
        <v>3300</v>
      </c>
      <c r="G5" s="9">
        <v>115000</v>
      </c>
      <c r="H5" s="11">
        <v>0.9</v>
      </c>
      <c r="I5" s="11">
        <v>8.0000000000000002E-3</v>
      </c>
      <c r="J5" s="3">
        <v>224</v>
      </c>
      <c r="K5" s="12">
        <f t="shared" si="0"/>
        <v>23000</v>
      </c>
      <c r="L5" s="12">
        <f t="shared" si="1"/>
        <v>184</v>
      </c>
      <c r="M5" s="12">
        <f>K5*I5+K5</f>
        <v>23184</v>
      </c>
      <c r="N5" s="15">
        <f>J5*H5</f>
        <v>201.6</v>
      </c>
      <c r="O5" s="12">
        <f t="shared" si="2"/>
        <v>115</v>
      </c>
      <c r="P5" s="14">
        <f>F34</f>
        <v>2.21</v>
      </c>
      <c r="Q5" s="12">
        <f>O5*P5+O5</f>
        <v>369.15</v>
      </c>
      <c r="R5" s="20" t="s">
        <v>157</v>
      </c>
      <c r="S5" s="3">
        <v>1.5</v>
      </c>
      <c r="T5" s="3">
        <f>100/8</f>
        <v>12.5</v>
      </c>
      <c r="U5" s="3" t="s">
        <v>163</v>
      </c>
      <c r="V5" s="20">
        <v>8</v>
      </c>
      <c r="W5" s="20" t="s">
        <v>163</v>
      </c>
      <c r="X5" s="24">
        <f>S5*T5*V5</f>
        <v>150</v>
      </c>
      <c r="Y5" s="33">
        <f t="shared" si="3"/>
        <v>519.15</v>
      </c>
      <c r="Z5" s="6" t="s">
        <v>112</v>
      </c>
      <c r="AA5" s="6">
        <v>350</v>
      </c>
    </row>
    <row r="6" spans="1:27" ht="21" customHeight="1" x14ac:dyDescent="0.3">
      <c r="A6" s="44" t="s">
        <v>13</v>
      </c>
      <c r="B6" s="3" t="s">
        <v>55</v>
      </c>
      <c r="C6" s="3" t="s">
        <v>130</v>
      </c>
      <c r="D6" s="3" t="s">
        <v>56</v>
      </c>
      <c r="E6" s="3">
        <v>2020</v>
      </c>
      <c r="F6" s="3" t="s">
        <v>168</v>
      </c>
      <c r="G6" s="10">
        <v>125000</v>
      </c>
      <c r="H6" s="13">
        <v>0.6</v>
      </c>
      <c r="I6" s="13">
        <v>8.0000000000000002E-3</v>
      </c>
      <c r="J6" s="3">
        <v>224</v>
      </c>
      <c r="K6" s="12">
        <f t="shared" si="0"/>
        <v>25000</v>
      </c>
      <c r="L6" s="12">
        <f t="shared" si="1"/>
        <v>200</v>
      </c>
      <c r="M6" s="12">
        <f>K6*1.008</f>
        <v>25200</v>
      </c>
      <c r="N6" s="3">
        <v>135</v>
      </c>
      <c r="O6" s="12">
        <f t="shared" si="2"/>
        <v>186.66666666666666</v>
      </c>
      <c r="P6" s="3">
        <v>0.18</v>
      </c>
      <c r="Q6" s="12">
        <f>O6*P6+O6</f>
        <v>220.26666666666665</v>
      </c>
      <c r="R6" s="20" t="s">
        <v>157</v>
      </c>
      <c r="S6" s="3">
        <v>1.5</v>
      </c>
      <c r="T6" s="3">
        <v>12.5</v>
      </c>
      <c r="U6" s="3" t="s">
        <v>163</v>
      </c>
      <c r="V6" s="20">
        <v>8</v>
      </c>
      <c r="W6" s="20" t="s">
        <v>163</v>
      </c>
      <c r="X6" s="24">
        <f>S6*T6*V6</f>
        <v>150</v>
      </c>
      <c r="Y6" s="33">
        <f t="shared" si="3"/>
        <v>370.26666666666665</v>
      </c>
    </row>
    <row r="7" spans="1:27" s="25" customFormat="1" ht="21" customHeight="1" x14ac:dyDescent="0.3">
      <c r="A7" s="45" t="s">
        <v>14</v>
      </c>
      <c r="B7" s="20" t="s">
        <v>57</v>
      </c>
      <c r="C7" s="20" t="s">
        <v>58</v>
      </c>
      <c r="D7" s="20">
        <v>11500</v>
      </c>
      <c r="E7" s="20">
        <v>2003</v>
      </c>
      <c r="F7" s="20" t="s">
        <v>59</v>
      </c>
      <c r="G7" s="21">
        <v>29000</v>
      </c>
      <c r="H7" s="22">
        <v>0.4</v>
      </c>
      <c r="I7" s="22">
        <v>8.0000000000000002E-3</v>
      </c>
      <c r="J7" s="20">
        <v>224</v>
      </c>
      <c r="K7" s="23">
        <f t="shared" si="0"/>
        <v>5800</v>
      </c>
      <c r="L7" s="12">
        <f t="shared" si="1"/>
        <v>46.399999999999636</v>
      </c>
      <c r="M7" s="23">
        <f>K7*1.008</f>
        <v>5846.4</v>
      </c>
      <c r="N7" s="20">
        <v>90</v>
      </c>
      <c r="O7" s="23">
        <f t="shared" si="2"/>
        <v>64.959999999999994</v>
      </c>
      <c r="P7" s="20">
        <v>2.9</v>
      </c>
      <c r="Q7" s="23">
        <f>O7*P7</f>
        <v>188.38399999999999</v>
      </c>
      <c r="R7" s="20" t="s">
        <v>158</v>
      </c>
      <c r="S7" s="20">
        <v>2</v>
      </c>
      <c r="T7" s="20" t="s">
        <v>163</v>
      </c>
      <c r="U7" s="20">
        <v>15</v>
      </c>
      <c r="V7" s="20" t="s">
        <v>163</v>
      </c>
      <c r="W7" s="20">
        <v>25</v>
      </c>
      <c r="X7" s="24">
        <f>W7*100/U7</f>
        <v>166.66666666666666</v>
      </c>
      <c r="Y7" s="33">
        <f t="shared" si="3"/>
        <v>355.05066666666664</v>
      </c>
    </row>
    <row r="8" spans="1:27" s="25" customFormat="1" ht="21" customHeight="1" x14ac:dyDescent="0.3">
      <c r="A8" s="45" t="s">
        <v>15</v>
      </c>
      <c r="B8" s="20" t="s">
        <v>60</v>
      </c>
      <c r="C8" s="20" t="s">
        <v>61</v>
      </c>
      <c r="D8" s="20" t="s">
        <v>62</v>
      </c>
      <c r="E8" s="20">
        <v>2002</v>
      </c>
      <c r="F8" s="20" t="s">
        <v>63</v>
      </c>
      <c r="G8" s="21">
        <v>26500</v>
      </c>
      <c r="H8" s="22">
        <v>0.4</v>
      </c>
      <c r="I8" s="22">
        <v>8.0000000000000002E-3</v>
      </c>
      <c r="J8" s="20">
        <v>224</v>
      </c>
      <c r="K8" s="23">
        <f t="shared" si="0"/>
        <v>5300</v>
      </c>
      <c r="L8" s="12">
        <f t="shared" si="1"/>
        <v>42.399999999999636</v>
      </c>
      <c r="M8" s="23">
        <f>K8*1.008</f>
        <v>5342.4</v>
      </c>
      <c r="N8" s="20">
        <v>90</v>
      </c>
      <c r="O8" s="23">
        <f t="shared" si="2"/>
        <v>59.36</v>
      </c>
      <c r="P8" s="20">
        <v>3.15</v>
      </c>
      <c r="Q8" s="23">
        <f>O8*P8</f>
        <v>186.98399999999998</v>
      </c>
      <c r="R8" s="20" t="s">
        <v>158</v>
      </c>
      <c r="S8" s="20">
        <v>2</v>
      </c>
      <c r="T8" s="20" t="s">
        <v>163</v>
      </c>
      <c r="U8" s="20">
        <v>15</v>
      </c>
      <c r="V8" s="20" t="s">
        <v>163</v>
      </c>
      <c r="W8" s="20">
        <v>25</v>
      </c>
      <c r="X8" s="24">
        <f>W8*100/U8</f>
        <v>166.66666666666666</v>
      </c>
      <c r="Y8" s="33">
        <f t="shared" si="3"/>
        <v>353.65066666666667</v>
      </c>
    </row>
    <row r="9" spans="1:27" s="25" customFormat="1" ht="21" customHeight="1" x14ac:dyDescent="0.3">
      <c r="A9" s="45" t="s">
        <v>16</v>
      </c>
      <c r="B9" s="20" t="s">
        <v>16</v>
      </c>
      <c r="C9" s="20" t="s">
        <v>64</v>
      </c>
      <c r="D9" s="20" t="s">
        <v>65</v>
      </c>
      <c r="E9" s="20">
        <v>2013</v>
      </c>
      <c r="F9" s="20" t="s">
        <v>167</v>
      </c>
      <c r="G9" s="21">
        <v>118000</v>
      </c>
      <c r="H9" s="22">
        <v>0.3</v>
      </c>
      <c r="I9" s="22">
        <v>8.0000000000000002E-3</v>
      </c>
      <c r="J9" s="20">
        <v>224</v>
      </c>
      <c r="K9" s="23">
        <f t="shared" si="0"/>
        <v>23600</v>
      </c>
      <c r="L9" s="12">
        <f t="shared" si="1"/>
        <v>188.79999999999927</v>
      </c>
      <c r="M9" s="23">
        <f>K9*1.008</f>
        <v>23788.799999999999</v>
      </c>
      <c r="N9" s="20">
        <v>68</v>
      </c>
      <c r="O9" s="23">
        <f t="shared" si="2"/>
        <v>349.83529411764704</v>
      </c>
      <c r="P9" s="20">
        <v>0.95</v>
      </c>
      <c r="Q9" s="23">
        <f>O9*P9</f>
        <v>332.34352941176468</v>
      </c>
      <c r="R9" s="20" t="s">
        <v>157</v>
      </c>
      <c r="S9" s="20">
        <v>1.5</v>
      </c>
      <c r="T9" s="20">
        <v>12</v>
      </c>
      <c r="U9" s="20" t="s">
        <v>163</v>
      </c>
      <c r="V9" s="20">
        <v>8</v>
      </c>
      <c r="W9" s="20" t="s">
        <v>163</v>
      </c>
      <c r="X9" s="24">
        <f>S9*T9*V9</f>
        <v>144</v>
      </c>
      <c r="Y9" s="33">
        <f t="shared" si="3"/>
        <v>476.34352941176468</v>
      </c>
    </row>
    <row r="10" spans="1:27" ht="21" customHeight="1" x14ac:dyDescent="0.3">
      <c r="A10" s="44" t="s">
        <v>17</v>
      </c>
      <c r="B10" s="3" t="s">
        <v>187</v>
      </c>
      <c r="C10" s="3" t="s">
        <v>66</v>
      </c>
      <c r="D10" s="3" t="s">
        <v>113</v>
      </c>
      <c r="E10" s="3">
        <v>2006</v>
      </c>
      <c r="F10" s="3" t="s">
        <v>114</v>
      </c>
      <c r="G10" s="10">
        <v>39000</v>
      </c>
      <c r="H10" s="13">
        <v>0.8</v>
      </c>
      <c r="I10" s="13">
        <v>8.0000000000000002E-3</v>
      </c>
      <c r="J10" s="3">
        <v>224</v>
      </c>
      <c r="K10" s="12">
        <f t="shared" si="0"/>
        <v>7800</v>
      </c>
      <c r="L10" s="12">
        <f t="shared" si="1"/>
        <v>62.399999999999636</v>
      </c>
      <c r="M10" s="12">
        <f>K10*I10+K10</f>
        <v>7862.4</v>
      </c>
      <c r="N10" s="15">
        <f>J10*H10</f>
        <v>179.20000000000002</v>
      </c>
      <c r="O10" s="12">
        <f t="shared" si="2"/>
        <v>43.874999999999993</v>
      </c>
      <c r="P10" s="3">
        <f>F34</f>
        <v>2.21</v>
      </c>
      <c r="Q10" s="12">
        <f>O10*P10+O10</f>
        <v>140.83874999999998</v>
      </c>
      <c r="R10" s="20" t="s">
        <v>157</v>
      </c>
      <c r="S10" s="20">
        <v>1.5</v>
      </c>
      <c r="T10" s="3">
        <v>15</v>
      </c>
      <c r="U10" s="20" t="s">
        <v>163</v>
      </c>
      <c r="V10" s="20">
        <v>8</v>
      </c>
      <c r="W10" s="20" t="s">
        <v>163</v>
      </c>
      <c r="X10" s="24">
        <f>S10*T10*V10</f>
        <v>180</v>
      </c>
      <c r="Y10" s="33">
        <f t="shared" si="3"/>
        <v>320.83875</v>
      </c>
    </row>
    <row r="11" spans="1:27" ht="21" customHeight="1" x14ac:dyDescent="0.3">
      <c r="A11" s="44" t="s">
        <v>18</v>
      </c>
      <c r="B11" s="3" t="s">
        <v>115</v>
      </c>
      <c r="C11" s="7" t="s">
        <v>66</v>
      </c>
      <c r="D11" s="3" t="s">
        <v>116</v>
      </c>
      <c r="E11" s="3">
        <v>1999</v>
      </c>
      <c r="F11" s="27" t="s">
        <v>117</v>
      </c>
      <c r="G11" s="10">
        <v>35000</v>
      </c>
      <c r="H11" s="13">
        <v>0.3</v>
      </c>
      <c r="I11" s="13">
        <v>8.0000000000000002E-3</v>
      </c>
      <c r="J11" s="3">
        <v>224</v>
      </c>
      <c r="K11" s="12">
        <f t="shared" si="0"/>
        <v>7000</v>
      </c>
      <c r="L11" s="12">
        <f t="shared" si="1"/>
        <v>56</v>
      </c>
      <c r="M11" s="12">
        <f>K11*I11+K11</f>
        <v>7056</v>
      </c>
      <c r="N11" s="15">
        <f>J11*H11</f>
        <v>67.2</v>
      </c>
      <c r="O11" s="12">
        <f t="shared" si="2"/>
        <v>105</v>
      </c>
      <c r="P11" s="3">
        <f>F41</f>
        <v>3.96</v>
      </c>
      <c r="Q11" s="12">
        <f>O11*P11+O11</f>
        <v>520.79999999999995</v>
      </c>
      <c r="R11" s="20" t="s">
        <v>157</v>
      </c>
      <c r="S11" s="20">
        <v>1.5</v>
      </c>
      <c r="T11" s="3">
        <v>15</v>
      </c>
      <c r="U11" s="20" t="s">
        <v>163</v>
      </c>
      <c r="V11" s="20">
        <v>8</v>
      </c>
      <c r="W11" s="20" t="s">
        <v>163</v>
      </c>
      <c r="X11" s="24">
        <f>S11*T11*V11</f>
        <v>180</v>
      </c>
      <c r="Y11" s="33">
        <f t="shared" si="3"/>
        <v>700.8</v>
      </c>
    </row>
    <row r="12" spans="1:27" ht="21" customHeight="1" x14ac:dyDescent="0.3">
      <c r="A12" s="44" t="s">
        <v>19</v>
      </c>
      <c r="B12" s="3" t="s">
        <v>118</v>
      </c>
      <c r="C12" s="3" t="s">
        <v>119</v>
      </c>
      <c r="D12" s="3" t="s">
        <v>120</v>
      </c>
      <c r="E12" s="3">
        <v>2003</v>
      </c>
      <c r="F12" s="3" t="s">
        <v>121</v>
      </c>
      <c r="G12" s="10">
        <v>9900</v>
      </c>
      <c r="H12" s="13">
        <v>0.8</v>
      </c>
      <c r="I12" s="13">
        <v>8.0000000000000002E-3</v>
      </c>
      <c r="J12" s="3">
        <v>224</v>
      </c>
      <c r="K12" s="12">
        <f t="shared" si="0"/>
        <v>1980</v>
      </c>
      <c r="L12" s="12">
        <f t="shared" si="1"/>
        <v>15.839999999999918</v>
      </c>
      <c r="M12" s="12">
        <f>K12*I12+K12</f>
        <v>1995.84</v>
      </c>
      <c r="N12" s="15">
        <f>J12*H12</f>
        <v>179.20000000000002</v>
      </c>
      <c r="O12" s="12">
        <f t="shared" si="2"/>
        <v>11.137499999999999</v>
      </c>
      <c r="P12" s="3">
        <f>F37</f>
        <v>2.9</v>
      </c>
      <c r="Q12" s="12">
        <f>O12*P12+O12</f>
        <v>43.436250000000001</v>
      </c>
      <c r="R12" s="20" t="s">
        <v>157</v>
      </c>
      <c r="S12" s="20">
        <v>1.5</v>
      </c>
      <c r="T12" s="3">
        <v>40</v>
      </c>
      <c r="U12" s="20" t="s">
        <v>163</v>
      </c>
      <c r="V12" s="20">
        <v>8</v>
      </c>
      <c r="W12" s="20" t="s">
        <v>163</v>
      </c>
      <c r="X12" s="24">
        <v>60</v>
      </c>
      <c r="Y12" s="33">
        <f t="shared" si="3"/>
        <v>103.43625</v>
      </c>
    </row>
    <row r="13" spans="1:27" ht="21" customHeight="1" x14ac:dyDescent="0.3">
      <c r="A13" s="44" t="s">
        <v>124</v>
      </c>
      <c r="B13" s="3" t="s">
        <v>125</v>
      </c>
      <c r="C13" s="3" t="s">
        <v>64</v>
      </c>
      <c r="D13" s="3" t="s">
        <v>122</v>
      </c>
      <c r="E13" s="3">
        <v>1998</v>
      </c>
      <c r="F13" s="3" t="s">
        <v>123</v>
      </c>
      <c r="G13" s="10">
        <v>19900</v>
      </c>
      <c r="H13" s="13">
        <v>0.8</v>
      </c>
      <c r="I13" s="13">
        <v>8.0000000000000002E-3</v>
      </c>
      <c r="J13" s="3">
        <v>224</v>
      </c>
      <c r="K13" s="30">
        <v>3980</v>
      </c>
      <c r="L13" s="12">
        <f t="shared" si="1"/>
        <v>31.840000000000146</v>
      </c>
      <c r="M13" s="30">
        <v>4011.84</v>
      </c>
      <c r="N13" s="3">
        <v>179</v>
      </c>
      <c r="O13" s="12">
        <v>22.41</v>
      </c>
      <c r="P13" s="3">
        <v>1.8</v>
      </c>
      <c r="Q13" s="4">
        <v>40.33</v>
      </c>
      <c r="R13" s="20" t="s">
        <v>157</v>
      </c>
      <c r="S13" s="20">
        <v>1.5</v>
      </c>
      <c r="T13" s="3">
        <v>16.25</v>
      </c>
      <c r="U13" s="20" t="s">
        <v>163</v>
      </c>
      <c r="V13" s="20">
        <v>8</v>
      </c>
      <c r="W13" s="20" t="s">
        <v>163</v>
      </c>
      <c r="X13" s="24">
        <f>S13*T13*V13</f>
        <v>195</v>
      </c>
      <c r="Y13" s="33">
        <f t="shared" si="3"/>
        <v>235.32999999999998</v>
      </c>
    </row>
    <row r="14" spans="1:27" s="25" customFormat="1" ht="21" customHeight="1" x14ac:dyDescent="0.3">
      <c r="A14" s="45" t="s">
        <v>20</v>
      </c>
      <c r="B14" s="20" t="s">
        <v>67</v>
      </c>
      <c r="C14" s="20" t="s">
        <v>132</v>
      </c>
      <c r="D14" s="20" t="s">
        <v>133</v>
      </c>
      <c r="E14" s="20">
        <v>2014</v>
      </c>
      <c r="F14" s="20" t="s">
        <v>166</v>
      </c>
      <c r="G14" s="21">
        <v>5900</v>
      </c>
      <c r="H14" s="22">
        <v>0.6</v>
      </c>
      <c r="I14" s="22">
        <v>8.0000000000000002E-3</v>
      </c>
      <c r="J14" s="20">
        <v>224</v>
      </c>
      <c r="K14" s="29">
        <v>1180</v>
      </c>
      <c r="L14" s="12">
        <f t="shared" si="1"/>
        <v>9.4400000000000546</v>
      </c>
      <c r="M14" s="29">
        <v>1189.44</v>
      </c>
      <c r="N14" s="20">
        <v>135</v>
      </c>
      <c r="O14" s="29">
        <v>9.44</v>
      </c>
      <c r="P14" s="20">
        <v>0.81</v>
      </c>
      <c r="Q14" s="26">
        <v>7.12</v>
      </c>
      <c r="R14" s="20" t="s">
        <v>157</v>
      </c>
      <c r="S14" s="20">
        <v>1.5</v>
      </c>
      <c r="T14" s="20">
        <v>20</v>
      </c>
      <c r="U14" s="20" t="s">
        <v>163</v>
      </c>
      <c r="V14" s="20">
        <v>8</v>
      </c>
      <c r="W14" s="20" t="s">
        <v>163</v>
      </c>
      <c r="X14" s="24">
        <v>30</v>
      </c>
      <c r="Y14" s="33">
        <f t="shared" si="3"/>
        <v>37.119999999999997</v>
      </c>
    </row>
    <row r="15" spans="1:27" s="25" customFormat="1" ht="21" customHeight="1" x14ac:dyDescent="0.3">
      <c r="A15" s="45" t="s">
        <v>21</v>
      </c>
      <c r="B15" s="20" t="s">
        <v>22</v>
      </c>
      <c r="C15" s="20" t="s">
        <v>23</v>
      </c>
      <c r="D15" s="20" t="s">
        <v>24</v>
      </c>
      <c r="E15" s="20">
        <v>2015</v>
      </c>
      <c r="F15" s="20" t="s">
        <v>163</v>
      </c>
      <c r="G15" s="21">
        <v>3700</v>
      </c>
      <c r="H15" s="22">
        <v>0.6</v>
      </c>
      <c r="I15" s="22">
        <v>8.0000000000000002E-3</v>
      </c>
      <c r="J15" s="20">
        <v>224</v>
      </c>
      <c r="K15" s="29">
        <v>740</v>
      </c>
      <c r="L15" s="12">
        <f t="shared" si="1"/>
        <v>5.9199999999999591</v>
      </c>
      <c r="M15" s="29">
        <v>745.92</v>
      </c>
      <c r="N15" s="20">
        <v>135</v>
      </c>
      <c r="O15" s="29">
        <v>5.92</v>
      </c>
      <c r="P15" s="20">
        <v>0.68</v>
      </c>
      <c r="Q15" s="26">
        <v>3.77</v>
      </c>
      <c r="R15" s="20" t="s">
        <v>157</v>
      </c>
      <c r="S15" s="20">
        <v>1.5</v>
      </c>
      <c r="T15" s="20">
        <v>20</v>
      </c>
      <c r="U15" s="20" t="s">
        <v>163</v>
      </c>
      <c r="V15" s="20">
        <v>8</v>
      </c>
      <c r="W15" s="20" t="s">
        <v>163</v>
      </c>
      <c r="X15" s="24">
        <v>30</v>
      </c>
      <c r="Y15" s="33">
        <f t="shared" si="3"/>
        <v>33.770000000000003</v>
      </c>
    </row>
    <row r="16" spans="1:27" x14ac:dyDescent="0.3">
      <c r="A16" s="28"/>
    </row>
    <row r="17" spans="1:18" x14ac:dyDescent="0.3">
      <c r="A17" s="68"/>
      <c r="B17" s="48"/>
      <c r="C17" s="49" t="s">
        <v>144</v>
      </c>
      <c r="D17" s="48" t="s">
        <v>145</v>
      </c>
      <c r="E17" s="49" t="s">
        <v>142</v>
      </c>
      <c r="F17" s="48"/>
      <c r="O17" s="18"/>
      <c r="P17" s="17"/>
    </row>
    <row r="18" spans="1:18" x14ac:dyDescent="0.3">
      <c r="A18" s="68"/>
      <c r="B18" s="48"/>
      <c r="C18" s="48" t="s">
        <v>143</v>
      </c>
      <c r="D18" s="48">
        <v>5</v>
      </c>
      <c r="E18" s="48"/>
      <c r="F18" s="48"/>
      <c r="R18" s="17"/>
    </row>
    <row r="19" spans="1:18" x14ac:dyDescent="0.3">
      <c r="B19" s="48">
        <v>2021</v>
      </c>
      <c r="C19" s="48">
        <v>1</v>
      </c>
      <c r="D19" s="48">
        <v>6</v>
      </c>
      <c r="E19" s="50">
        <f>D18+D19</f>
        <v>11</v>
      </c>
      <c r="F19" s="48">
        <f>E19/100</f>
        <v>0.11</v>
      </c>
      <c r="R19" s="17"/>
    </row>
    <row r="20" spans="1:18" x14ac:dyDescent="0.3">
      <c r="B20" s="48"/>
      <c r="C20" s="48">
        <v>2</v>
      </c>
      <c r="D20" s="48">
        <v>7</v>
      </c>
      <c r="E20" s="50">
        <f>E19+D20</f>
        <v>18</v>
      </c>
      <c r="F20" s="48">
        <f t="shared" ref="F20:F41" si="4">E20/100</f>
        <v>0.18</v>
      </c>
    </row>
    <row r="21" spans="1:18" x14ac:dyDescent="0.3">
      <c r="B21" s="48">
        <v>19</v>
      </c>
      <c r="C21" s="48">
        <v>3</v>
      </c>
      <c r="D21" s="48">
        <v>8</v>
      </c>
      <c r="E21" s="50">
        <f t="shared" ref="E21:E41" si="5">E20+D21</f>
        <v>26</v>
      </c>
      <c r="F21" s="48">
        <f t="shared" si="4"/>
        <v>0.26</v>
      </c>
    </row>
    <row r="22" spans="1:18" x14ac:dyDescent="0.3">
      <c r="B22" s="48">
        <v>18</v>
      </c>
      <c r="C22" s="48">
        <v>4</v>
      </c>
      <c r="D22" s="48">
        <v>9</v>
      </c>
      <c r="E22" s="50">
        <f t="shared" si="5"/>
        <v>35</v>
      </c>
      <c r="F22" s="48">
        <f t="shared" si="4"/>
        <v>0.35</v>
      </c>
    </row>
    <row r="23" spans="1:18" x14ac:dyDescent="0.3">
      <c r="B23" s="48">
        <v>17</v>
      </c>
      <c r="C23" s="48">
        <v>5</v>
      </c>
      <c r="D23" s="48">
        <v>10</v>
      </c>
      <c r="E23" s="50">
        <f t="shared" si="5"/>
        <v>45</v>
      </c>
      <c r="F23" s="48">
        <f t="shared" si="4"/>
        <v>0.45</v>
      </c>
    </row>
    <row r="24" spans="1:18" x14ac:dyDescent="0.3">
      <c r="B24" s="48">
        <v>16</v>
      </c>
      <c r="C24" s="48">
        <v>6</v>
      </c>
      <c r="D24" s="48">
        <v>11</v>
      </c>
      <c r="E24" s="50">
        <f t="shared" si="5"/>
        <v>56</v>
      </c>
      <c r="F24" s="48">
        <f t="shared" si="4"/>
        <v>0.56000000000000005</v>
      </c>
    </row>
    <row r="25" spans="1:18" x14ac:dyDescent="0.3">
      <c r="B25" s="48">
        <v>15</v>
      </c>
      <c r="C25" s="48">
        <v>7</v>
      </c>
      <c r="D25" s="48">
        <v>12</v>
      </c>
      <c r="E25" s="50">
        <f t="shared" si="5"/>
        <v>68</v>
      </c>
      <c r="F25" s="48">
        <f t="shared" si="4"/>
        <v>0.68</v>
      </c>
    </row>
    <row r="26" spans="1:18" x14ac:dyDescent="0.3">
      <c r="B26" s="48"/>
      <c r="C26" s="48">
        <v>8</v>
      </c>
      <c r="D26" s="48">
        <v>13</v>
      </c>
      <c r="E26" s="50">
        <f t="shared" si="5"/>
        <v>81</v>
      </c>
      <c r="F26" s="48">
        <f t="shared" si="4"/>
        <v>0.81</v>
      </c>
    </row>
    <row r="27" spans="1:18" x14ac:dyDescent="0.3">
      <c r="B27" s="48">
        <v>13</v>
      </c>
      <c r="C27" s="48">
        <v>9</v>
      </c>
      <c r="D27" s="48">
        <v>14</v>
      </c>
      <c r="E27" s="50">
        <f t="shared" si="5"/>
        <v>95</v>
      </c>
      <c r="F27" s="48">
        <f t="shared" si="4"/>
        <v>0.95</v>
      </c>
      <c r="K27" s="17"/>
    </row>
    <row r="28" spans="1:18" x14ac:dyDescent="0.3">
      <c r="B28" s="48">
        <v>12</v>
      </c>
      <c r="C28" s="48">
        <v>10</v>
      </c>
      <c r="D28" s="48">
        <v>15</v>
      </c>
      <c r="E28" s="50">
        <f t="shared" si="5"/>
        <v>110</v>
      </c>
      <c r="F28" s="48">
        <f t="shared" si="4"/>
        <v>1.1000000000000001</v>
      </c>
    </row>
    <row r="29" spans="1:18" x14ac:dyDescent="0.3">
      <c r="B29" s="48">
        <v>11</v>
      </c>
      <c r="C29" s="48">
        <v>11</v>
      </c>
      <c r="D29" s="48">
        <v>16</v>
      </c>
      <c r="E29" s="50">
        <f t="shared" si="5"/>
        <v>126</v>
      </c>
      <c r="F29" s="48">
        <f t="shared" si="4"/>
        <v>1.26</v>
      </c>
    </row>
    <row r="30" spans="1:18" x14ac:dyDescent="0.3">
      <c r="B30" s="48">
        <v>10</v>
      </c>
      <c r="C30" s="48">
        <v>12</v>
      </c>
      <c r="D30" s="48">
        <v>17</v>
      </c>
      <c r="E30" s="50">
        <f t="shared" si="5"/>
        <v>143</v>
      </c>
      <c r="F30" s="48">
        <f t="shared" si="4"/>
        <v>1.43</v>
      </c>
    </row>
    <row r="31" spans="1:18" x14ac:dyDescent="0.3">
      <c r="B31" s="48">
        <v>9</v>
      </c>
      <c r="C31" s="48">
        <v>13</v>
      </c>
      <c r="D31" s="48">
        <v>18</v>
      </c>
      <c r="E31" s="50">
        <f t="shared" si="5"/>
        <v>161</v>
      </c>
      <c r="F31" s="48">
        <f t="shared" si="4"/>
        <v>1.61</v>
      </c>
    </row>
    <row r="32" spans="1:18" x14ac:dyDescent="0.3">
      <c r="B32" s="48">
        <v>8</v>
      </c>
      <c r="C32" s="48">
        <v>14</v>
      </c>
      <c r="D32" s="48">
        <v>19</v>
      </c>
      <c r="E32" s="50">
        <f t="shared" si="5"/>
        <v>180</v>
      </c>
      <c r="F32" s="48">
        <f t="shared" si="4"/>
        <v>1.8</v>
      </c>
    </row>
    <row r="33" spans="2:6" x14ac:dyDescent="0.3">
      <c r="B33" s="48">
        <v>7</v>
      </c>
      <c r="C33" s="48">
        <v>15</v>
      </c>
      <c r="D33" s="48">
        <v>20</v>
      </c>
      <c r="E33" s="50">
        <f t="shared" si="5"/>
        <v>200</v>
      </c>
      <c r="F33" s="48">
        <f t="shared" si="4"/>
        <v>2</v>
      </c>
    </row>
    <row r="34" spans="2:6" x14ac:dyDescent="0.3">
      <c r="B34" s="48">
        <v>6</v>
      </c>
      <c r="C34" s="48">
        <v>16</v>
      </c>
      <c r="D34" s="48">
        <v>21</v>
      </c>
      <c r="E34" s="50">
        <f t="shared" si="5"/>
        <v>221</v>
      </c>
      <c r="F34" s="48">
        <f t="shared" si="4"/>
        <v>2.21</v>
      </c>
    </row>
    <row r="35" spans="2:6" x14ac:dyDescent="0.3">
      <c r="B35" s="48">
        <v>5</v>
      </c>
      <c r="C35" s="48">
        <v>17</v>
      </c>
      <c r="D35" s="48">
        <v>22</v>
      </c>
      <c r="E35" s="50">
        <f t="shared" si="5"/>
        <v>243</v>
      </c>
      <c r="F35" s="48">
        <f t="shared" si="4"/>
        <v>2.4300000000000002</v>
      </c>
    </row>
    <row r="36" spans="2:6" x14ac:dyDescent="0.3">
      <c r="B36" s="48">
        <v>4</v>
      </c>
      <c r="C36" s="48">
        <v>18</v>
      </c>
      <c r="D36" s="48">
        <v>23</v>
      </c>
      <c r="E36" s="50">
        <f t="shared" si="5"/>
        <v>266</v>
      </c>
      <c r="F36" s="48">
        <f t="shared" si="4"/>
        <v>2.66</v>
      </c>
    </row>
    <row r="37" spans="2:6" x14ac:dyDescent="0.3">
      <c r="B37" s="48">
        <v>3</v>
      </c>
      <c r="C37" s="48">
        <v>19</v>
      </c>
      <c r="D37" s="48">
        <v>24</v>
      </c>
      <c r="E37" s="50">
        <f t="shared" si="5"/>
        <v>290</v>
      </c>
      <c r="F37" s="48">
        <f t="shared" si="4"/>
        <v>2.9</v>
      </c>
    </row>
    <row r="38" spans="2:6" x14ac:dyDescent="0.3">
      <c r="B38" s="48">
        <v>2</v>
      </c>
      <c r="C38" s="48">
        <v>20</v>
      </c>
      <c r="D38" s="48">
        <v>25</v>
      </c>
      <c r="E38" s="50">
        <f t="shared" si="5"/>
        <v>315</v>
      </c>
      <c r="F38" s="48">
        <f t="shared" si="4"/>
        <v>3.15</v>
      </c>
    </row>
    <row r="39" spans="2:6" x14ac:dyDescent="0.3">
      <c r="B39" s="48">
        <v>1</v>
      </c>
      <c r="C39" s="48">
        <v>21</v>
      </c>
      <c r="D39" s="48">
        <v>26</v>
      </c>
      <c r="E39" s="50">
        <f t="shared" si="5"/>
        <v>341</v>
      </c>
      <c r="F39" s="48">
        <f t="shared" si="4"/>
        <v>3.41</v>
      </c>
    </row>
    <row r="40" spans="2:6" x14ac:dyDescent="0.3">
      <c r="B40" s="48">
        <v>0</v>
      </c>
      <c r="C40" s="48">
        <v>22</v>
      </c>
      <c r="D40" s="48">
        <v>27</v>
      </c>
      <c r="E40" s="50">
        <f t="shared" si="5"/>
        <v>368</v>
      </c>
      <c r="F40" s="48">
        <f t="shared" si="4"/>
        <v>3.68</v>
      </c>
    </row>
    <row r="41" spans="2:6" x14ac:dyDescent="0.3">
      <c r="B41" s="48">
        <v>99</v>
      </c>
      <c r="C41" s="48">
        <v>23</v>
      </c>
      <c r="D41" s="48">
        <v>28</v>
      </c>
      <c r="E41" s="50">
        <f t="shared" si="5"/>
        <v>396</v>
      </c>
      <c r="F41" s="48">
        <f t="shared" si="4"/>
        <v>3.96</v>
      </c>
    </row>
  </sheetData>
  <mergeCells count="1">
    <mergeCell ref="A17:A18"/>
  </mergeCells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opLeftCell="A4" zoomScale="85" zoomScaleNormal="85" workbookViewId="0">
      <selection activeCell="I22" sqref="I22"/>
    </sheetView>
  </sheetViews>
  <sheetFormatPr baseColWidth="10" defaultColWidth="11.44140625" defaultRowHeight="14.4" x14ac:dyDescent="0.3"/>
  <cols>
    <col min="1" max="1" width="44.6640625" style="34" bestFit="1" customWidth="1"/>
    <col min="2" max="2" width="59.5546875" style="34" bestFit="1" customWidth="1"/>
    <col min="3" max="3" width="15.88671875" style="34" bestFit="1" customWidth="1"/>
    <col min="4" max="4" width="20.33203125" style="34" bestFit="1" customWidth="1"/>
    <col min="5" max="5" width="9.33203125" style="34" bestFit="1" customWidth="1"/>
    <col min="6" max="6" width="14.33203125" style="34" bestFit="1" customWidth="1"/>
    <col min="7" max="7" width="17.33203125" style="61" bestFit="1" customWidth="1"/>
    <col min="8" max="8" width="21.6640625" style="34" bestFit="1" customWidth="1"/>
    <col min="9" max="9" width="11.5546875"/>
    <col min="10" max="10" width="16" style="34" bestFit="1" customWidth="1"/>
    <col min="11" max="11" width="10.44140625" style="34" bestFit="1" customWidth="1"/>
    <col min="12" max="12" width="16.109375" style="34" bestFit="1" customWidth="1"/>
    <col min="13" max="13" width="21.6640625" style="34" bestFit="1" customWidth="1"/>
    <col min="14" max="14" width="11.44140625" style="34"/>
    <col min="15" max="15" width="11.5546875" style="34" bestFit="1" customWidth="1"/>
    <col min="16" max="16384" width="11.44140625" style="34"/>
  </cols>
  <sheetData>
    <row r="1" spans="1:9" ht="54.6" thickBot="1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7" t="s">
        <v>162</v>
      </c>
      <c r="G1" s="62" t="s">
        <v>186</v>
      </c>
      <c r="I1" s="34"/>
    </row>
    <row r="2" spans="1:9" ht="18.600000000000001" thickBot="1" x14ac:dyDescent="0.35">
      <c r="A2" s="36" t="s">
        <v>9</v>
      </c>
      <c r="B2" s="37" t="s">
        <v>127</v>
      </c>
      <c r="C2" s="37" t="s">
        <v>100</v>
      </c>
      <c r="D2" s="37" t="s">
        <v>101</v>
      </c>
      <c r="E2" s="37">
        <v>2021</v>
      </c>
      <c r="F2" s="38">
        <v>336.57</v>
      </c>
      <c r="G2" s="63">
        <v>350</v>
      </c>
      <c r="I2" s="34"/>
    </row>
    <row r="3" spans="1:9" ht="18.600000000000001" thickBot="1" x14ac:dyDescent="0.35">
      <c r="A3" s="36" t="s">
        <v>10</v>
      </c>
      <c r="B3" s="37" t="s">
        <v>126</v>
      </c>
      <c r="C3" s="37" t="s">
        <v>100</v>
      </c>
      <c r="D3" s="37" t="s">
        <v>102</v>
      </c>
      <c r="E3" s="37">
        <v>2009</v>
      </c>
      <c r="F3" s="38">
        <v>310.47000000000003</v>
      </c>
      <c r="G3" s="63">
        <v>320</v>
      </c>
      <c r="I3" s="34"/>
    </row>
    <row r="4" spans="1:9" ht="18.600000000000001" thickBot="1" x14ac:dyDescent="0.35">
      <c r="A4" s="36" t="s">
        <v>11</v>
      </c>
      <c r="B4" s="37" t="s">
        <v>128</v>
      </c>
      <c r="C4" s="37" t="s">
        <v>105</v>
      </c>
      <c r="D4" s="37" t="s">
        <v>106</v>
      </c>
      <c r="E4" s="37">
        <v>2006</v>
      </c>
      <c r="F4" s="38">
        <v>117.23399999999999</v>
      </c>
      <c r="G4" s="63">
        <v>120</v>
      </c>
      <c r="I4" s="34"/>
    </row>
    <row r="5" spans="1:9" ht="18.600000000000001" thickBot="1" x14ac:dyDescent="0.35">
      <c r="A5" s="36" t="s">
        <v>12</v>
      </c>
      <c r="B5" s="37" t="s">
        <v>129</v>
      </c>
      <c r="C5" s="37" t="s">
        <v>103</v>
      </c>
      <c r="D5" s="37" t="s">
        <v>104</v>
      </c>
      <c r="E5" s="37">
        <v>2019</v>
      </c>
      <c r="F5" s="38">
        <v>519.15</v>
      </c>
      <c r="G5" s="63">
        <v>530</v>
      </c>
      <c r="I5" s="34"/>
    </row>
    <row r="6" spans="1:9" ht="18.600000000000001" thickBot="1" x14ac:dyDescent="0.35">
      <c r="A6" s="36" t="s">
        <v>13</v>
      </c>
      <c r="B6" s="37" t="s">
        <v>55</v>
      </c>
      <c r="C6" s="37" t="s">
        <v>130</v>
      </c>
      <c r="D6" s="37" t="s">
        <v>56</v>
      </c>
      <c r="E6" s="37">
        <v>2020</v>
      </c>
      <c r="F6" s="38">
        <v>370.26666666666665</v>
      </c>
      <c r="G6" s="63">
        <v>380</v>
      </c>
      <c r="I6" s="34"/>
    </row>
    <row r="7" spans="1:9" ht="18.600000000000001" thickBot="1" x14ac:dyDescent="0.35">
      <c r="A7" s="36" t="s">
        <v>14</v>
      </c>
      <c r="B7" s="37" t="s">
        <v>57</v>
      </c>
      <c r="C7" s="37" t="s">
        <v>58</v>
      </c>
      <c r="D7" s="37">
        <v>11500</v>
      </c>
      <c r="E7" s="37">
        <v>2003</v>
      </c>
      <c r="F7" s="38">
        <v>355.05066666666664</v>
      </c>
      <c r="G7" s="63">
        <v>355</v>
      </c>
      <c r="I7" s="34"/>
    </row>
    <row r="8" spans="1:9" ht="18.600000000000001" thickBot="1" x14ac:dyDescent="0.35">
      <c r="A8" s="36" t="s">
        <v>15</v>
      </c>
      <c r="B8" s="37" t="s">
        <v>60</v>
      </c>
      <c r="C8" s="37" t="s">
        <v>61</v>
      </c>
      <c r="D8" s="37" t="s">
        <v>62</v>
      </c>
      <c r="E8" s="37">
        <v>2002</v>
      </c>
      <c r="F8" s="38">
        <v>353.65066666666667</v>
      </c>
      <c r="G8" s="63">
        <v>355</v>
      </c>
      <c r="I8" s="34"/>
    </row>
    <row r="9" spans="1:9" ht="18.600000000000001" thickBot="1" x14ac:dyDescent="0.35">
      <c r="A9" s="36" t="s">
        <v>16</v>
      </c>
      <c r="B9" s="37" t="s">
        <v>16</v>
      </c>
      <c r="C9" s="37" t="s">
        <v>64</v>
      </c>
      <c r="D9" s="37" t="s">
        <v>65</v>
      </c>
      <c r="E9" s="37">
        <v>2013</v>
      </c>
      <c r="F9" s="38">
        <v>476.34352941176468</v>
      </c>
      <c r="G9" s="63">
        <v>490</v>
      </c>
      <c r="I9" s="34"/>
    </row>
    <row r="10" spans="1:9" ht="18.600000000000001" thickBot="1" x14ac:dyDescent="0.35">
      <c r="A10" s="36" t="s">
        <v>17</v>
      </c>
      <c r="B10" s="37" t="s">
        <v>131</v>
      </c>
      <c r="C10" s="37" t="s">
        <v>66</v>
      </c>
      <c r="D10" s="37" t="s">
        <v>113</v>
      </c>
      <c r="E10" s="37">
        <v>2006</v>
      </c>
      <c r="F10" s="38">
        <v>320.83875</v>
      </c>
      <c r="G10" s="63">
        <v>325</v>
      </c>
      <c r="I10" s="34"/>
    </row>
    <row r="11" spans="1:9" ht="18.600000000000001" thickBot="1" x14ac:dyDescent="0.35">
      <c r="A11" s="36" t="s">
        <v>18</v>
      </c>
      <c r="B11" s="37" t="s">
        <v>115</v>
      </c>
      <c r="C11" s="37" t="s">
        <v>66</v>
      </c>
      <c r="D11" s="37" t="s">
        <v>116</v>
      </c>
      <c r="E11" s="37">
        <v>1999</v>
      </c>
      <c r="F11" s="38">
        <v>700.8</v>
      </c>
      <c r="G11" s="63">
        <v>700</v>
      </c>
      <c r="I11" s="34"/>
    </row>
    <row r="12" spans="1:9" ht="18.600000000000001" thickBot="1" x14ac:dyDescent="0.35">
      <c r="A12" s="36" t="s">
        <v>19</v>
      </c>
      <c r="B12" s="37" t="s">
        <v>118</v>
      </c>
      <c r="C12" s="37" t="s">
        <v>119</v>
      </c>
      <c r="D12" s="37" t="s">
        <v>120</v>
      </c>
      <c r="E12" s="37">
        <v>2003</v>
      </c>
      <c r="F12" s="38">
        <v>103.43625</v>
      </c>
      <c r="G12" s="63">
        <v>105</v>
      </c>
      <c r="I12" s="34"/>
    </row>
    <row r="13" spans="1:9" ht="18.600000000000001" thickBot="1" x14ac:dyDescent="0.35">
      <c r="A13" s="36" t="s">
        <v>124</v>
      </c>
      <c r="B13" s="37" t="s">
        <v>125</v>
      </c>
      <c r="C13" s="37" t="s">
        <v>64</v>
      </c>
      <c r="D13" s="37" t="s">
        <v>122</v>
      </c>
      <c r="E13" s="37">
        <v>1998</v>
      </c>
      <c r="F13" s="38">
        <v>235.32999999999998</v>
      </c>
      <c r="G13" s="63">
        <v>250</v>
      </c>
      <c r="I13" s="34"/>
    </row>
    <row r="14" spans="1:9" ht="18.600000000000001" thickBot="1" x14ac:dyDescent="0.35">
      <c r="A14" s="36" t="s">
        <v>20</v>
      </c>
      <c r="B14" s="37" t="s">
        <v>67</v>
      </c>
      <c r="C14" s="37" t="s">
        <v>132</v>
      </c>
      <c r="D14" s="37" t="s">
        <v>133</v>
      </c>
      <c r="E14" s="37">
        <v>2014</v>
      </c>
      <c r="F14" s="38">
        <v>37.119999999999997</v>
      </c>
      <c r="G14" s="63">
        <v>50</v>
      </c>
      <c r="I14" s="34"/>
    </row>
    <row r="15" spans="1:9" ht="18.600000000000001" thickBot="1" x14ac:dyDescent="0.35">
      <c r="A15" s="36" t="s">
        <v>21</v>
      </c>
      <c r="B15" s="37" t="s">
        <v>173</v>
      </c>
      <c r="C15" s="37" t="s">
        <v>23</v>
      </c>
      <c r="D15" s="37" t="s">
        <v>24</v>
      </c>
      <c r="E15" s="37">
        <v>2015</v>
      </c>
      <c r="F15" s="38">
        <v>33.770000000000003</v>
      </c>
      <c r="G15" s="63">
        <v>50</v>
      </c>
      <c r="I15" s="34"/>
    </row>
    <row r="16" spans="1:9" ht="18.600000000000001" thickBot="1" x14ac:dyDescent="0.35">
      <c r="A16" s="36" t="s">
        <v>27</v>
      </c>
      <c r="B16" s="57" t="s">
        <v>68</v>
      </c>
      <c r="C16" s="57" t="s">
        <v>69</v>
      </c>
      <c r="D16" s="57" t="s">
        <v>70</v>
      </c>
      <c r="E16" s="57">
        <v>2010</v>
      </c>
      <c r="F16" s="58">
        <v>4.7</v>
      </c>
      <c r="G16" s="70">
        <v>15</v>
      </c>
      <c r="I16" s="34"/>
    </row>
    <row r="17" spans="1:18" ht="18.600000000000001" thickBot="1" x14ac:dyDescent="0.35">
      <c r="A17" s="36" t="s">
        <v>28</v>
      </c>
      <c r="B17" s="57" t="s">
        <v>44</v>
      </c>
      <c r="C17" s="57" t="s">
        <v>45</v>
      </c>
      <c r="D17" s="57" t="s">
        <v>46</v>
      </c>
      <c r="E17" s="57">
        <v>2022</v>
      </c>
      <c r="F17" s="58">
        <f>13.8/5</f>
        <v>2.7600000000000002</v>
      </c>
      <c r="G17" s="70"/>
      <c r="I17" s="34"/>
    </row>
    <row r="18" spans="1:18" ht="18.600000000000001" thickBot="1" x14ac:dyDescent="0.35">
      <c r="A18" s="36" t="s">
        <v>29</v>
      </c>
      <c r="B18" s="57" t="s">
        <v>43</v>
      </c>
      <c r="C18" s="57" t="s">
        <v>41</v>
      </c>
      <c r="D18" s="57" t="s">
        <v>42</v>
      </c>
      <c r="E18" s="57">
        <v>2022</v>
      </c>
      <c r="F18" s="58">
        <v>18.75</v>
      </c>
      <c r="G18" s="70">
        <v>50</v>
      </c>
      <c r="I18" s="34"/>
    </row>
    <row r="19" spans="1:18" ht="18.600000000000001" thickBot="1" x14ac:dyDescent="0.35">
      <c r="A19" s="36" t="s">
        <v>30</v>
      </c>
      <c r="B19" s="57" t="s">
        <v>47</v>
      </c>
      <c r="C19" s="57" t="s">
        <v>48</v>
      </c>
      <c r="D19" s="57" t="s">
        <v>49</v>
      </c>
      <c r="E19" s="57">
        <v>2022</v>
      </c>
      <c r="F19" s="58">
        <v>14.37</v>
      </c>
      <c r="G19" s="70"/>
      <c r="I19" s="34"/>
    </row>
    <row r="20" spans="1:18" ht="18.600000000000001" thickBot="1" x14ac:dyDescent="0.35">
      <c r="A20" s="36" t="s">
        <v>31</v>
      </c>
      <c r="B20" s="57" t="s">
        <v>50</v>
      </c>
      <c r="C20" s="57" t="s">
        <v>52</v>
      </c>
      <c r="D20" s="57" t="s">
        <v>51</v>
      </c>
      <c r="E20" s="57">
        <v>2007</v>
      </c>
      <c r="F20" s="58">
        <v>12.1</v>
      </c>
      <c r="G20" s="63">
        <v>20</v>
      </c>
      <c r="I20" s="34"/>
    </row>
    <row r="21" spans="1:18" ht="18.600000000000001" thickBot="1" x14ac:dyDescent="0.4">
      <c r="A21" s="69" t="s">
        <v>33</v>
      </c>
      <c r="B21" s="57" t="s">
        <v>71</v>
      </c>
      <c r="C21" s="57" t="s">
        <v>72</v>
      </c>
      <c r="D21" s="57" t="s">
        <v>73</v>
      </c>
      <c r="E21" s="57">
        <v>2016</v>
      </c>
      <c r="F21" s="60">
        <v>38.93</v>
      </c>
      <c r="G21" s="63">
        <v>65</v>
      </c>
      <c r="H21" s="35"/>
      <c r="J21" s="35"/>
      <c r="K21" s="35"/>
    </row>
    <row r="22" spans="1:18" ht="18.600000000000001" thickBot="1" x14ac:dyDescent="0.35">
      <c r="A22" s="69"/>
      <c r="B22" s="57" t="s">
        <v>71</v>
      </c>
      <c r="C22" s="57" t="s">
        <v>75</v>
      </c>
      <c r="D22" s="57" t="s">
        <v>76</v>
      </c>
      <c r="E22" s="57">
        <v>2019</v>
      </c>
      <c r="F22" s="38">
        <v>44.46</v>
      </c>
      <c r="G22" s="63">
        <v>65</v>
      </c>
      <c r="H22" s="35"/>
      <c r="J22" s="35"/>
      <c r="K22" s="35"/>
    </row>
    <row r="23" spans="1:18" ht="18.600000000000001" thickBot="1" x14ac:dyDescent="0.35">
      <c r="A23" s="69" t="s">
        <v>34</v>
      </c>
      <c r="B23" s="57" t="s">
        <v>78</v>
      </c>
      <c r="C23" s="57" t="s">
        <v>79</v>
      </c>
      <c r="D23" s="57" t="s">
        <v>80</v>
      </c>
      <c r="E23" s="57">
        <v>2021</v>
      </c>
      <c r="F23" s="38">
        <v>47.67</v>
      </c>
      <c r="G23" s="63">
        <v>70</v>
      </c>
      <c r="H23" s="35"/>
      <c r="J23" s="35"/>
      <c r="K23" s="35"/>
    </row>
    <row r="24" spans="1:18" ht="18.600000000000001" thickBot="1" x14ac:dyDescent="0.35">
      <c r="A24" s="69"/>
      <c r="B24" s="57" t="s">
        <v>82</v>
      </c>
      <c r="C24" s="57" t="s">
        <v>79</v>
      </c>
      <c r="D24" s="57" t="s">
        <v>80</v>
      </c>
      <c r="E24" s="57">
        <v>2022</v>
      </c>
      <c r="F24" s="38">
        <v>46.79</v>
      </c>
      <c r="G24" s="63">
        <v>70</v>
      </c>
      <c r="H24" s="35"/>
      <c r="J24" s="35"/>
      <c r="K24" s="35"/>
      <c r="L24" s="35"/>
      <c r="M24" s="35"/>
      <c r="N24" s="35"/>
      <c r="O24" s="35"/>
      <c r="P24" s="35"/>
      <c r="Q24" s="35"/>
      <c r="R24" s="35"/>
    </row>
    <row r="25" spans="1:18" ht="18.600000000000001" thickBot="1" x14ac:dyDescent="0.35">
      <c r="A25" s="69" t="s">
        <v>136</v>
      </c>
      <c r="B25" s="57" t="s">
        <v>138</v>
      </c>
      <c r="C25" s="57" t="s">
        <v>79</v>
      </c>
      <c r="D25" s="57" t="s">
        <v>137</v>
      </c>
      <c r="E25" s="57">
        <v>2021</v>
      </c>
      <c r="F25" s="38">
        <v>48.38</v>
      </c>
      <c r="G25" s="64">
        <v>75</v>
      </c>
    </row>
    <row r="26" spans="1:18" ht="18.600000000000001" thickBot="1" x14ac:dyDescent="0.35">
      <c r="A26" s="69"/>
      <c r="B26" s="57" t="s">
        <v>138</v>
      </c>
      <c r="C26" s="57" t="s">
        <v>79</v>
      </c>
      <c r="D26" s="57" t="s">
        <v>139</v>
      </c>
      <c r="E26" s="57">
        <v>2022</v>
      </c>
      <c r="F26" s="38">
        <v>47.5</v>
      </c>
      <c r="G26" s="64">
        <v>75</v>
      </c>
    </row>
    <row r="27" spans="1:18" ht="18.600000000000001" thickBot="1" x14ac:dyDescent="0.35">
      <c r="A27" s="36" t="s">
        <v>35</v>
      </c>
      <c r="B27" s="57" t="s">
        <v>84</v>
      </c>
      <c r="C27" s="57" t="s">
        <v>75</v>
      </c>
      <c r="D27" s="57" t="s">
        <v>85</v>
      </c>
      <c r="E27" s="57">
        <v>2010</v>
      </c>
      <c r="F27" s="38">
        <v>370.31</v>
      </c>
      <c r="G27" s="64">
        <v>385</v>
      </c>
    </row>
    <row r="28" spans="1:18" ht="18.600000000000001" thickBot="1" x14ac:dyDescent="0.35">
      <c r="A28" s="36" t="s">
        <v>36</v>
      </c>
      <c r="B28" s="57" t="s">
        <v>87</v>
      </c>
      <c r="C28" s="57" t="s">
        <v>79</v>
      </c>
      <c r="D28" s="57" t="s">
        <v>88</v>
      </c>
      <c r="E28" s="57">
        <v>2007</v>
      </c>
      <c r="F28" s="38">
        <v>353.86</v>
      </c>
      <c r="G28" s="64">
        <v>385</v>
      </c>
    </row>
    <row r="29" spans="1:18" ht="18.600000000000001" thickBot="1" x14ac:dyDescent="0.35">
      <c r="A29" s="36" t="s">
        <v>37</v>
      </c>
      <c r="B29" s="57" t="s">
        <v>90</v>
      </c>
      <c r="C29" s="57" t="s">
        <v>79</v>
      </c>
      <c r="D29" s="57" t="s">
        <v>91</v>
      </c>
      <c r="E29" s="57">
        <v>2021</v>
      </c>
      <c r="F29" s="38">
        <v>385.62</v>
      </c>
      <c r="G29" s="64">
        <v>385</v>
      </c>
    </row>
    <row r="30" spans="1:18" ht="18.600000000000001" thickBot="1" x14ac:dyDescent="0.35">
      <c r="A30" s="36" t="s">
        <v>38</v>
      </c>
      <c r="B30" s="57" t="s">
        <v>93</v>
      </c>
      <c r="C30" s="57" t="s">
        <v>94</v>
      </c>
      <c r="D30" s="57" t="s">
        <v>95</v>
      </c>
      <c r="E30" s="57">
        <v>2022</v>
      </c>
      <c r="F30" s="38">
        <v>195.81</v>
      </c>
      <c r="G30" s="64">
        <v>195</v>
      </c>
    </row>
    <row r="31" spans="1:18" ht="18.600000000000001" thickBot="1" x14ac:dyDescent="0.35">
      <c r="A31" s="36" t="s">
        <v>39</v>
      </c>
      <c r="B31" s="57" t="s">
        <v>134</v>
      </c>
      <c r="C31" s="57" t="s">
        <v>97</v>
      </c>
      <c r="D31" s="57"/>
      <c r="E31" s="57">
        <v>2008</v>
      </c>
      <c r="F31" s="38">
        <v>22.88</v>
      </c>
      <c r="G31" s="64">
        <v>55</v>
      </c>
    </row>
    <row r="32" spans="1:18" ht="36.6" thickBot="1" x14ac:dyDescent="0.35">
      <c r="A32" s="36" t="s">
        <v>40</v>
      </c>
      <c r="B32" s="57" t="s">
        <v>135</v>
      </c>
      <c r="C32" s="57" t="s">
        <v>98</v>
      </c>
      <c r="D32" s="37" t="s">
        <v>99</v>
      </c>
      <c r="E32" s="57">
        <v>2022</v>
      </c>
      <c r="F32" s="38">
        <v>45.06</v>
      </c>
      <c r="G32" s="64">
        <v>55</v>
      </c>
    </row>
    <row r="33" spans="6:7" ht="15.6" x14ac:dyDescent="0.3">
      <c r="F33" s="65">
        <f>SUM(F2:F32)</f>
        <v>5969.9805294117668</v>
      </c>
      <c r="G33" s="65">
        <f>SUM(G2:G32)</f>
        <v>6345</v>
      </c>
    </row>
  </sheetData>
  <mergeCells count="5">
    <mergeCell ref="A21:A22"/>
    <mergeCell ref="A23:A24"/>
    <mergeCell ref="A25:A26"/>
    <mergeCell ref="G16:G17"/>
    <mergeCell ref="G18:G19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zoomScale="85" zoomScaleNormal="85" workbookViewId="0">
      <selection activeCell="K15" sqref="K15"/>
    </sheetView>
  </sheetViews>
  <sheetFormatPr baseColWidth="10" defaultRowHeight="14.4" x14ac:dyDescent="0.3"/>
  <cols>
    <col min="1" max="1" width="29" bestFit="1" customWidth="1"/>
    <col min="2" max="2" width="46.5546875" bestFit="1" customWidth="1"/>
    <col min="3" max="3" width="13.33203125" bestFit="1" customWidth="1"/>
    <col min="4" max="4" width="14.5546875" bestFit="1" customWidth="1"/>
    <col min="5" max="5" width="7.5546875" bestFit="1" customWidth="1"/>
    <col min="6" max="6" width="11" bestFit="1" customWidth="1"/>
    <col min="7" max="7" width="13.88671875" bestFit="1" customWidth="1"/>
    <col min="8" max="8" width="17.44140625" customWidth="1"/>
    <col min="9" max="9" width="19.5546875" bestFit="1" customWidth="1"/>
    <col min="10" max="10" width="15.33203125" bestFit="1" customWidth="1"/>
    <col min="11" max="11" width="16" bestFit="1" customWidth="1"/>
  </cols>
  <sheetData>
    <row r="1" spans="1:11" ht="32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25</v>
      </c>
      <c r="G1" s="1" t="s">
        <v>26</v>
      </c>
      <c r="H1" s="1" t="s">
        <v>7</v>
      </c>
      <c r="I1" s="2" t="s">
        <v>53</v>
      </c>
      <c r="J1" s="2" t="s">
        <v>171</v>
      </c>
      <c r="K1" s="52" t="s">
        <v>172</v>
      </c>
    </row>
    <row r="2" spans="1:11" ht="21" customHeight="1" x14ac:dyDescent="0.3">
      <c r="A2" s="1" t="s">
        <v>27</v>
      </c>
      <c r="B2" s="31" t="s">
        <v>68</v>
      </c>
      <c r="C2" s="31" t="s">
        <v>69</v>
      </c>
      <c r="D2" s="31" t="s">
        <v>70</v>
      </c>
      <c r="E2" s="31">
        <v>2010</v>
      </c>
      <c r="F2" s="31" t="s">
        <v>163</v>
      </c>
      <c r="G2" s="53">
        <v>500</v>
      </c>
      <c r="H2" s="31">
        <v>180</v>
      </c>
      <c r="I2" s="31" t="s">
        <v>170</v>
      </c>
      <c r="J2" s="31">
        <v>2</v>
      </c>
      <c r="K2" s="54">
        <v>4.7</v>
      </c>
    </row>
    <row r="3" spans="1:11" ht="21" customHeight="1" x14ac:dyDescent="0.3">
      <c r="A3" s="1" t="s">
        <v>28</v>
      </c>
      <c r="B3" s="31" t="s">
        <v>44</v>
      </c>
      <c r="C3" s="31" t="s">
        <v>45</v>
      </c>
      <c r="D3" s="31" t="s">
        <v>46</v>
      </c>
      <c r="E3" s="31">
        <v>2022</v>
      </c>
      <c r="F3" s="55">
        <v>1187.08</v>
      </c>
      <c r="G3" s="31" t="s">
        <v>163</v>
      </c>
      <c r="H3" s="31">
        <v>180</v>
      </c>
      <c r="I3" s="31" t="s">
        <v>170</v>
      </c>
      <c r="J3" s="31">
        <v>5</v>
      </c>
      <c r="K3" s="54">
        <v>2.76</v>
      </c>
    </row>
    <row r="4" spans="1:11" ht="21" customHeight="1" x14ac:dyDescent="0.3">
      <c r="A4" s="1" t="s">
        <v>29</v>
      </c>
      <c r="B4" s="31" t="s">
        <v>43</v>
      </c>
      <c r="C4" s="31" t="s">
        <v>41</v>
      </c>
      <c r="D4" s="31" t="s">
        <v>42</v>
      </c>
      <c r="E4" s="31">
        <v>2022</v>
      </c>
      <c r="F4" s="53">
        <v>1500</v>
      </c>
      <c r="G4" s="31" t="s">
        <v>163</v>
      </c>
      <c r="H4" s="31">
        <v>80</v>
      </c>
      <c r="I4" s="31" t="s">
        <v>170</v>
      </c>
      <c r="J4" s="31">
        <v>1</v>
      </c>
      <c r="K4" s="54">
        <v>18.75</v>
      </c>
    </row>
    <row r="5" spans="1:11" ht="21" customHeight="1" x14ac:dyDescent="0.3">
      <c r="A5" s="1" t="s">
        <v>30</v>
      </c>
      <c r="B5" s="31" t="s">
        <v>47</v>
      </c>
      <c r="C5" s="31" t="s">
        <v>48</v>
      </c>
      <c r="D5" s="31" t="s">
        <v>49</v>
      </c>
      <c r="E5" s="31">
        <v>2022</v>
      </c>
      <c r="F5" s="55">
        <v>1150.0899999999999</v>
      </c>
      <c r="G5" s="31" t="s">
        <v>163</v>
      </c>
      <c r="H5" s="31">
        <v>80</v>
      </c>
      <c r="I5" s="31" t="s">
        <v>163</v>
      </c>
      <c r="J5" s="31">
        <v>1</v>
      </c>
      <c r="K5" s="54">
        <v>14.37</v>
      </c>
    </row>
    <row r="6" spans="1:11" ht="21" customHeight="1" x14ac:dyDescent="0.3">
      <c r="A6" s="1" t="s">
        <v>31</v>
      </c>
      <c r="B6" s="31" t="s">
        <v>50</v>
      </c>
      <c r="C6" s="31" t="s">
        <v>52</v>
      </c>
      <c r="D6" s="31" t="s">
        <v>51</v>
      </c>
      <c r="E6" s="31">
        <v>2007</v>
      </c>
      <c r="F6" s="31" t="s">
        <v>163</v>
      </c>
      <c r="G6" s="53">
        <v>965</v>
      </c>
      <c r="H6" s="31">
        <v>80</v>
      </c>
      <c r="I6" s="31" t="s">
        <v>163</v>
      </c>
      <c r="J6" s="31">
        <v>1</v>
      </c>
      <c r="K6" s="54">
        <v>12.1</v>
      </c>
    </row>
    <row r="7" spans="1:11" ht="15.6" x14ac:dyDescent="0.3">
      <c r="A7" s="71"/>
      <c r="B7" s="56"/>
      <c r="C7" s="56"/>
      <c r="D7" s="56"/>
      <c r="E7" s="56"/>
      <c r="F7" s="56"/>
      <c r="G7" s="56"/>
      <c r="H7" s="56"/>
      <c r="I7" s="56"/>
      <c r="J7" s="56"/>
      <c r="K7" s="51">
        <f>SUM(K2:K6)</f>
        <v>52.68</v>
      </c>
    </row>
    <row r="8" spans="1:11" ht="15.6" x14ac:dyDescent="0.3">
      <c r="A8" s="71"/>
      <c r="B8" s="56"/>
      <c r="C8" s="56"/>
      <c r="D8" s="56"/>
      <c r="E8" s="56"/>
      <c r="F8" s="56"/>
      <c r="G8" s="56"/>
      <c r="H8" s="56"/>
      <c r="I8" s="56"/>
      <c r="J8" s="56"/>
      <c r="K8" s="56"/>
    </row>
    <row r="9" spans="1:11" x14ac:dyDescent="0.3">
      <c r="A9" s="68"/>
    </row>
    <row r="10" spans="1:11" x14ac:dyDescent="0.3">
      <c r="A10" s="68"/>
    </row>
  </sheetData>
  <mergeCells count="2">
    <mergeCell ref="A9:A10"/>
    <mergeCell ref="A7:A8"/>
  </mergeCells>
  <pageMargins left="0.25" right="0.25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Q1" zoomScaleNormal="100" workbookViewId="0">
      <selection activeCell="AD22" sqref="AD22"/>
    </sheetView>
  </sheetViews>
  <sheetFormatPr baseColWidth="10" defaultRowHeight="14.4" x14ac:dyDescent="0.3"/>
  <cols>
    <col min="1" max="1" width="19.5546875" bestFit="1" customWidth="1"/>
    <col min="2" max="2" width="30.44140625" bestFit="1" customWidth="1"/>
    <col min="3" max="3" width="17.5546875" customWidth="1"/>
    <col min="4" max="4" width="23.109375" bestFit="1" customWidth="1"/>
    <col min="5" max="5" width="6.88671875" customWidth="1"/>
    <col min="6" max="6" width="13.44140625" bestFit="1" customWidth="1"/>
    <col min="7" max="7" width="13.88671875" bestFit="1" customWidth="1"/>
    <col min="8" max="8" width="13.6640625" bestFit="1" customWidth="1"/>
    <col min="9" max="9" width="10.44140625" bestFit="1" customWidth="1"/>
    <col min="10" max="10" width="18" bestFit="1" customWidth="1"/>
    <col min="11" max="11" width="16.109375" bestFit="1" customWidth="1"/>
    <col min="12" max="12" width="17.33203125" bestFit="1" customWidth="1"/>
    <col min="13" max="13" width="21.109375" bestFit="1" customWidth="1"/>
    <col min="14" max="14" width="10.88671875" bestFit="1" customWidth="1"/>
    <col min="15" max="15" width="14.44140625" customWidth="1"/>
    <col min="17" max="17" width="19.5546875" customWidth="1"/>
    <col min="18" max="18" width="12.33203125" bestFit="1" customWidth="1"/>
    <col min="19" max="19" width="26.88671875" bestFit="1" customWidth="1"/>
    <col min="20" max="20" width="10.109375" customWidth="1"/>
  </cols>
  <sheetData>
    <row r="1" spans="1:29" ht="32.25" customHeight="1" x14ac:dyDescent="0.3">
      <c r="A1" s="1" t="s">
        <v>32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26</v>
      </c>
      <c r="H1" s="1" t="s">
        <v>140</v>
      </c>
      <c r="I1" s="1" t="s">
        <v>141</v>
      </c>
      <c r="J1" s="1" t="s">
        <v>147</v>
      </c>
      <c r="K1" s="1" t="s">
        <v>146</v>
      </c>
      <c r="L1" s="1" t="s">
        <v>151</v>
      </c>
      <c r="M1" s="1" t="s">
        <v>148</v>
      </c>
      <c r="N1" s="1" t="s">
        <v>149</v>
      </c>
      <c r="O1" s="1" t="s">
        <v>150</v>
      </c>
      <c r="P1" s="2" t="s">
        <v>8</v>
      </c>
      <c r="Q1" s="2" t="s">
        <v>53</v>
      </c>
      <c r="R1" s="2" t="s">
        <v>54</v>
      </c>
      <c r="S1" s="59" t="s">
        <v>174</v>
      </c>
      <c r="T1" s="59" t="s">
        <v>175</v>
      </c>
      <c r="U1" s="59" t="s">
        <v>176</v>
      </c>
      <c r="V1" s="59" t="s">
        <v>177</v>
      </c>
      <c r="W1" s="59" t="s">
        <v>178</v>
      </c>
      <c r="X1" s="59" t="s">
        <v>179</v>
      </c>
      <c r="Y1" s="59" t="s">
        <v>180</v>
      </c>
      <c r="Z1" s="59" t="s">
        <v>181</v>
      </c>
      <c r="AA1" s="59" t="s">
        <v>182</v>
      </c>
      <c r="AB1" s="59" t="s">
        <v>183</v>
      </c>
      <c r="AC1" s="66" t="s">
        <v>184</v>
      </c>
    </row>
    <row r="2" spans="1:29" ht="21" customHeight="1" x14ac:dyDescent="0.3">
      <c r="A2" s="72" t="s">
        <v>33</v>
      </c>
      <c r="B2" s="3" t="s">
        <v>71</v>
      </c>
      <c r="C2" s="3" t="s">
        <v>72</v>
      </c>
      <c r="D2" s="3" t="s">
        <v>73</v>
      </c>
      <c r="E2" s="3">
        <v>2016</v>
      </c>
      <c r="F2" s="3" t="s">
        <v>74</v>
      </c>
      <c r="G2" s="12">
        <v>18490</v>
      </c>
      <c r="H2" s="3">
        <v>1</v>
      </c>
      <c r="I2" s="3">
        <v>1.2E-2</v>
      </c>
      <c r="J2" s="3">
        <v>228</v>
      </c>
      <c r="K2" s="12">
        <f>G2/5</f>
        <v>3698</v>
      </c>
      <c r="L2" s="12">
        <f>K2*I2+K2</f>
        <v>3742.3760000000002</v>
      </c>
      <c r="M2" s="3">
        <v>228</v>
      </c>
      <c r="N2" s="12">
        <f>L2/M2</f>
        <v>16.413929824561404</v>
      </c>
      <c r="O2" s="5">
        <v>0.56000000000000005</v>
      </c>
      <c r="P2" s="12">
        <f>N2*O2+N2</f>
        <v>25.605730526315789</v>
      </c>
      <c r="Q2" s="3" t="s">
        <v>152</v>
      </c>
      <c r="R2" s="19">
        <v>2</v>
      </c>
      <c r="S2" s="3" t="s">
        <v>153</v>
      </c>
      <c r="T2" s="3">
        <v>60</v>
      </c>
      <c r="U2" s="3">
        <v>6.17</v>
      </c>
      <c r="V2" s="12">
        <f>U2*R2</f>
        <v>12.34</v>
      </c>
      <c r="W2" s="3">
        <v>225</v>
      </c>
      <c r="X2" s="3">
        <v>4</v>
      </c>
      <c r="Y2" s="3">
        <v>55000</v>
      </c>
      <c r="Z2" s="5">
        <f>(W2/Y2)*T2</f>
        <v>0.24545454545454548</v>
      </c>
      <c r="AA2" s="5">
        <f>Z2*X2</f>
        <v>0.98181818181818192</v>
      </c>
      <c r="AB2" s="19">
        <f>V2+AA2</f>
        <v>13.321818181818182</v>
      </c>
      <c r="AC2" s="67">
        <f>P2+AB2</f>
        <v>38.927548708133969</v>
      </c>
    </row>
    <row r="3" spans="1:29" ht="21" customHeight="1" x14ac:dyDescent="0.3">
      <c r="A3" s="72"/>
      <c r="B3" s="3" t="s">
        <v>71</v>
      </c>
      <c r="C3" s="3" t="s">
        <v>75</v>
      </c>
      <c r="D3" s="3" t="s">
        <v>76</v>
      </c>
      <c r="E3" s="3">
        <v>2019</v>
      </c>
      <c r="F3" s="3" t="s">
        <v>77</v>
      </c>
      <c r="G3" s="12">
        <v>26950</v>
      </c>
      <c r="H3" s="3">
        <v>1</v>
      </c>
      <c r="I3" s="3">
        <v>1.2E-2</v>
      </c>
      <c r="J3" s="3">
        <v>228</v>
      </c>
      <c r="K3" s="12">
        <f t="shared" ref="K3:K5" si="0">G3/5</f>
        <v>5390</v>
      </c>
      <c r="L3" s="12">
        <f t="shared" ref="L3:L13" si="1">K3*I3+K3</f>
        <v>5454.68</v>
      </c>
      <c r="M3" s="3">
        <v>228</v>
      </c>
      <c r="N3" s="12">
        <f t="shared" ref="N3:N6" si="2">L3/M3</f>
        <v>23.9240350877193</v>
      </c>
      <c r="O3" s="5">
        <v>0.26</v>
      </c>
      <c r="P3" s="12">
        <f t="shared" ref="P3:P13" si="3">N3*O3+N3</f>
        <v>30.144284210526319</v>
      </c>
      <c r="Q3" s="3" t="s">
        <v>152</v>
      </c>
      <c r="R3" s="19">
        <v>2</v>
      </c>
      <c r="S3" s="3" t="s">
        <v>154</v>
      </c>
      <c r="T3" s="3">
        <v>60</v>
      </c>
      <c r="U3" s="3">
        <v>6.42</v>
      </c>
      <c r="V3" s="12">
        <f t="shared" ref="V3:V13" si="4">U3*R3</f>
        <v>12.84</v>
      </c>
      <c r="W3" s="3">
        <v>225</v>
      </c>
      <c r="X3" s="3">
        <v>6</v>
      </c>
      <c r="Y3" s="3">
        <v>55000</v>
      </c>
      <c r="Z3" s="5">
        <f t="shared" ref="Z3:Z13" si="5">(W3/Y3)*T3</f>
        <v>0.24545454545454548</v>
      </c>
      <c r="AA3" s="5">
        <f t="shared" ref="AA3:AA13" si="6">Z3*X3</f>
        <v>1.4727272727272729</v>
      </c>
      <c r="AB3" s="19">
        <f t="shared" ref="AB3:AB13" si="7">V3+AA3</f>
        <v>14.312727272727273</v>
      </c>
      <c r="AC3" s="67">
        <f t="shared" ref="AC3:AC13" si="8">P3+AB3</f>
        <v>44.457011483253595</v>
      </c>
    </row>
    <row r="4" spans="1:29" ht="21" customHeight="1" x14ac:dyDescent="0.3">
      <c r="A4" s="72" t="s">
        <v>34</v>
      </c>
      <c r="B4" s="3" t="s">
        <v>78</v>
      </c>
      <c r="C4" s="3" t="s">
        <v>79</v>
      </c>
      <c r="D4" s="3" t="s">
        <v>80</v>
      </c>
      <c r="E4" s="3">
        <v>2021</v>
      </c>
      <c r="F4" s="3" t="s">
        <v>81</v>
      </c>
      <c r="G4" s="12">
        <v>34000</v>
      </c>
      <c r="H4" s="3">
        <v>1</v>
      </c>
      <c r="I4" s="3">
        <v>1.2E-2</v>
      </c>
      <c r="J4" s="3">
        <v>228</v>
      </c>
      <c r="K4" s="12">
        <f t="shared" si="0"/>
        <v>6800</v>
      </c>
      <c r="L4" s="12">
        <f t="shared" si="1"/>
        <v>6881.6</v>
      </c>
      <c r="M4" s="3">
        <v>228</v>
      </c>
      <c r="N4" s="12">
        <f t="shared" si="2"/>
        <v>30.18245614035088</v>
      </c>
      <c r="O4" s="5">
        <v>0.11</v>
      </c>
      <c r="P4" s="12">
        <f t="shared" si="3"/>
        <v>33.502526315789474</v>
      </c>
      <c r="Q4" s="3" t="s">
        <v>152</v>
      </c>
      <c r="R4" s="19">
        <v>2</v>
      </c>
      <c r="S4" s="3" t="s">
        <v>155</v>
      </c>
      <c r="T4" s="3">
        <v>75</v>
      </c>
      <c r="U4" s="3">
        <v>6.47</v>
      </c>
      <c r="V4" s="12">
        <f t="shared" si="4"/>
        <v>12.94</v>
      </c>
      <c r="W4" s="3">
        <v>225</v>
      </c>
      <c r="X4" s="3">
        <v>4</v>
      </c>
      <c r="Y4" s="3">
        <v>55000</v>
      </c>
      <c r="Z4" s="5">
        <f t="shared" si="5"/>
        <v>0.30681818181818182</v>
      </c>
      <c r="AA4" s="5">
        <f t="shared" si="6"/>
        <v>1.2272727272727273</v>
      </c>
      <c r="AB4" s="19">
        <f t="shared" si="7"/>
        <v>14.167272727272726</v>
      </c>
      <c r="AC4" s="67">
        <f t="shared" si="8"/>
        <v>47.669799043062199</v>
      </c>
    </row>
    <row r="5" spans="1:29" ht="21" customHeight="1" x14ac:dyDescent="0.3">
      <c r="A5" s="72"/>
      <c r="B5" s="3" t="s">
        <v>82</v>
      </c>
      <c r="C5" s="3" t="s">
        <v>79</v>
      </c>
      <c r="D5" s="3" t="s">
        <v>80</v>
      </c>
      <c r="E5" s="3">
        <v>2022</v>
      </c>
      <c r="F5" s="3" t="s">
        <v>83</v>
      </c>
      <c r="G5" s="12">
        <v>35000</v>
      </c>
      <c r="H5" s="3">
        <v>1</v>
      </c>
      <c r="I5" s="3">
        <v>1.2E-2</v>
      </c>
      <c r="J5" s="3">
        <v>228</v>
      </c>
      <c r="K5" s="12">
        <f t="shared" si="0"/>
        <v>7000</v>
      </c>
      <c r="L5" s="12">
        <f t="shared" si="1"/>
        <v>7084</v>
      </c>
      <c r="M5" s="3">
        <v>228</v>
      </c>
      <c r="N5" s="12">
        <f t="shared" si="2"/>
        <v>31.07017543859649</v>
      </c>
      <c r="O5" s="5">
        <v>0.05</v>
      </c>
      <c r="P5" s="12">
        <f t="shared" si="3"/>
        <v>32.623684210526314</v>
      </c>
      <c r="Q5" s="3" t="s">
        <v>152</v>
      </c>
      <c r="R5" s="19">
        <v>2</v>
      </c>
      <c r="S5" s="3" t="s">
        <v>155</v>
      </c>
      <c r="T5" s="3">
        <v>75</v>
      </c>
      <c r="U5" s="3">
        <v>6.47</v>
      </c>
      <c r="V5" s="12">
        <f t="shared" si="4"/>
        <v>12.94</v>
      </c>
      <c r="W5" s="3">
        <v>225</v>
      </c>
      <c r="X5" s="3">
        <v>4</v>
      </c>
      <c r="Y5" s="3">
        <v>55000</v>
      </c>
      <c r="Z5" s="5">
        <f t="shared" si="5"/>
        <v>0.30681818181818182</v>
      </c>
      <c r="AA5" s="5">
        <f t="shared" si="6"/>
        <v>1.2272727272727273</v>
      </c>
      <c r="AB5" s="19">
        <f t="shared" si="7"/>
        <v>14.167272727272726</v>
      </c>
      <c r="AC5" s="67">
        <f t="shared" si="8"/>
        <v>46.790956937799038</v>
      </c>
    </row>
    <row r="6" spans="1:29" ht="21" customHeight="1" x14ac:dyDescent="0.3">
      <c r="A6" s="73" t="s">
        <v>136</v>
      </c>
      <c r="B6" s="3" t="s">
        <v>138</v>
      </c>
      <c r="C6" s="3" t="s">
        <v>79</v>
      </c>
      <c r="D6" s="3" t="s">
        <v>137</v>
      </c>
      <c r="E6" s="3">
        <v>2021</v>
      </c>
      <c r="F6" s="3" t="s">
        <v>81</v>
      </c>
      <c r="G6" s="12">
        <v>34000</v>
      </c>
      <c r="H6" s="3">
        <v>1</v>
      </c>
      <c r="I6" s="3">
        <v>1.2E-2</v>
      </c>
      <c r="J6" s="3">
        <v>228</v>
      </c>
      <c r="K6" s="12">
        <f>G6/5</f>
        <v>6800</v>
      </c>
      <c r="L6" s="12">
        <f t="shared" si="1"/>
        <v>6881.6</v>
      </c>
      <c r="M6" s="3">
        <v>228</v>
      </c>
      <c r="N6" s="12">
        <f t="shared" si="2"/>
        <v>30.18245614035088</v>
      </c>
      <c r="O6" s="5">
        <v>0.11</v>
      </c>
      <c r="P6" s="12">
        <f t="shared" si="3"/>
        <v>33.502526315789474</v>
      </c>
      <c r="Q6" s="3" t="s">
        <v>152</v>
      </c>
      <c r="R6" s="19">
        <v>2</v>
      </c>
      <c r="S6" s="3" t="s">
        <v>156</v>
      </c>
      <c r="T6" s="3">
        <v>75</v>
      </c>
      <c r="U6" s="3">
        <v>6.52</v>
      </c>
      <c r="V6" s="12">
        <f t="shared" si="4"/>
        <v>13.04</v>
      </c>
      <c r="W6" s="3">
        <v>225</v>
      </c>
      <c r="X6" s="3">
        <v>6</v>
      </c>
      <c r="Y6" s="3">
        <v>55000</v>
      </c>
      <c r="Z6" s="5">
        <f t="shared" si="5"/>
        <v>0.30681818181818182</v>
      </c>
      <c r="AA6" s="5">
        <f t="shared" si="6"/>
        <v>1.8409090909090908</v>
      </c>
      <c r="AB6" s="19">
        <f t="shared" si="7"/>
        <v>14.880909090909089</v>
      </c>
      <c r="AC6" s="67">
        <f t="shared" si="8"/>
        <v>48.383435406698567</v>
      </c>
    </row>
    <row r="7" spans="1:29" ht="21" customHeight="1" x14ac:dyDescent="0.3">
      <c r="A7" s="74"/>
      <c r="B7" s="3" t="s">
        <v>138</v>
      </c>
      <c r="C7" s="3" t="s">
        <v>79</v>
      </c>
      <c r="D7" s="3" t="s">
        <v>139</v>
      </c>
      <c r="E7" s="3">
        <v>2022</v>
      </c>
      <c r="F7" s="3" t="s">
        <v>83</v>
      </c>
      <c r="G7" s="12">
        <v>35000</v>
      </c>
      <c r="H7" s="3">
        <v>1</v>
      </c>
      <c r="I7" s="3">
        <v>1.2E-2</v>
      </c>
      <c r="J7" s="3">
        <v>228</v>
      </c>
      <c r="K7" s="12">
        <f>G7/5</f>
        <v>7000</v>
      </c>
      <c r="L7" s="12">
        <f t="shared" si="1"/>
        <v>7084</v>
      </c>
      <c r="M7" s="3">
        <v>228</v>
      </c>
      <c r="N7" s="12">
        <f>L7/M7</f>
        <v>31.07017543859649</v>
      </c>
      <c r="O7" s="5">
        <v>0.05</v>
      </c>
      <c r="P7" s="12">
        <f t="shared" si="3"/>
        <v>32.623684210526314</v>
      </c>
      <c r="Q7" s="3" t="s">
        <v>152</v>
      </c>
      <c r="R7" s="19">
        <v>2</v>
      </c>
      <c r="S7" s="3" t="s">
        <v>156</v>
      </c>
      <c r="T7" s="3">
        <v>75</v>
      </c>
      <c r="U7" s="3">
        <v>6.52</v>
      </c>
      <c r="V7" s="12">
        <f t="shared" si="4"/>
        <v>13.04</v>
      </c>
      <c r="W7" s="3">
        <v>225</v>
      </c>
      <c r="X7" s="3">
        <v>6</v>
      </c>
      <c r="Y7" s="3">
        <v>55000</v>
      </c>
      <c r="Z7" s="5">
        <f t="shared" si="5"/>
        <v>0.30681818181818182</v>
      </c>
      <c r="AA7" s="5">
        <f t="shared" si="6"/>
        <v>1.8409090909090908</v>
      </c>
      <c r="AB7" s="19">
        <f t="shared" si="7"/>
        <v>14.880909090909089</v>
      </c>
      <c r="AC7" s="67">
        <f t="shared" si="8"/>
        <v>47.504593301435406</v>
      </c>
    </row>
    <row r="8" spans="1:29" ht="21" customHeight="1" x14ac:dyDescent="0.3">
      <c r="A8" s="8" t="s">
        <v>35</v>
      </c>
      <c r="B8" s="3" t="s">
        <v>84</v>
      </c>
      <c r="C8" s="3" t="s">
        <v>75</v>
      </c>
      <c r="D8" s="3" t="s">
        <v>85</v>
      </c>
      <c r="E8" s="3">
        <v>2010</v>
      </c>
      <c r="F8" s="3" t="s">
        <v>86</v>
      </c>
      <c r="G8" s="12">
        <v>60000</v>
      </c>
      <c r="H8" s="3">
        <v>1</v>
      </c>
      <c r="I8" s="3">
        <v>1.2E-2</v>
      </c>
      <c r="J8" s="3">
        <v>228</v>
      </c>
      <c r="K8" s="12">
        <f t="shared" ref="K8:K13" si="9">G8/5</f>
        <v>12000</v>
      </c>
      <c r="L8" s="12">
        <f t="shared" si="1"/>
        <v>12144</v>
      </c>
      <c r="M8" s="3">
        <v>228</v>
      </c>
      <c r="N8" s="12">
        <f t="shared" ref="N8:N13" si="10">L8/M8</f>
        <v>53.263157894736842</v>
      </c>
      <c r="O8" s="5">
        <v>1.43</v>
      </c>
      <c r="P8" s="19">
        <f t="shared" si="3"/>
        <v>129.42947368421054</v>
      </c>
      <c r="Q8" s="3" t="s">
        <v>152</v>
      </c>
      <c r="R8" s="19">
        <v>2</v>
      </c>
      <c r="S8" s="3" t="s">
        <v>185</v>
      </c>
      <c r="T8" s="3">
        <v>350</v>
      </c>
      <c r="U8" s="3">
        <v>115.5</v>
      </c>
      <c r="V8" s="12">
        <f t="shared" si="4"/>
        <v>231</v>
      </c>
      <c r="W8" s="3">
        <v>800</v>
      </c>
      <c r="X8" s="3">
        <v>6</v>
      </c>
      <c r="Y8" s="3">
        <v>170000</v>
      </c>
      <c r="Z8" s="5">
        <f t="shared" si="5"/>
        <v>1.6470588235294117</v>
      </c>
      <c r="AA8" s="5">
        <f t="shared" si="6"/>
        <v>9.882352941176471</v>
      </c>
      <c r="AB8" s="19">
        <f t="shared" si="7"/>
        <v>240.88235294117646</v>
      </c>
      <c r="AC8" s="67">
        <f t="shared" si="8"/>
        <v>370.31182662538697</v>
      </c>
    </row>
    <row r="9" spans="1:29" ht="21" customHeight="1" x14ac:dyDescent="0.3">
      <c r="A9" s="8" t="s">
        <v>36</v>
      </c>
      <c r="B9" s="3" t="s">
        <v>87</v>
      </c>
      <c r="C9" s="3" t="s">
        <v>79</v>
      </c>
      <c r="D9" s="3" t="s">
        <v>88</v>
      </c>
      <c r="E9" s="3">
        <v>2007</v>
      </c>
      <c r="F9" s="3" t="s">
        <v>89</v>
      </c>
      <c r="G9" s="12">
        <v>39950</v>
      </c>
      <c r="H9" s="3">
        <v>1</v>
      </c>
      <c r="I9" s="3">
        <v>1.2E-2</v>
      </c>
      <c r="J9" s="3">
        <v>228</v>
      </c>
      <c r="K9" s="12">
        <f t="shared" si="9"/>
        <v>7990</v>
      </c>
      <c r="L9" s="12">
        <f>K9*I9+K9</f>
        <v>8085.88</v>
      </c>
      <c r="M9" s="3">
        <v>228</v>
      </c>
      <c r="N9" s="12">
        <f t="shared" si="10"/>
        <v>35.464385964912282</v>
      </c>
      <c r="O9" s="5">
        <v>2</v>
      </c>
      <c r="P9" s="19">
        <f t="shared" si="3"/>
        <v>106.39315789473685</v>
      </c>
      <c r="Q9" s="3" t="s">
        <v>152</v>
      </c>
      <c r="R9" s="19">
        <v>2</v>
      </c>
      <c r="S9" s="3" t="s">
        <v>185</v>
      </c>
      <c r="T9" s="3">
        <v>350</v>
      </c>
      <c r="U9" s="3">
        <v>115.5</v>
      </c>
      <c r="V9" s="12">
        <f t="shared" si="4"/>
        <v>231</v>
      </c>
      <c r="W9" s="3">
        <v>800</v>
      </c>
      <c r="X9" s="3">
        <v>10</v>
      </c>
      <c r="Y9" s="3">
        <v>170000</v>
      </c>
      <c r="Z9" s="5">
        <f t="shared" si="5"/>
        <v>1.6470588235294117</v>
      </c>
      <c r="AA9" s="5">
        <f t="shared" si="6"/>
        <v>16.470588235294116</v>
      </c>
      <c r="AB9" s="19">
        <f t="shared" si="7"/>
        <v>247.47058823529412</v>
      </c>
      <c r="AC9" s="67">
        <f t="shared" si="8"/>
        <v>353.86374613003096</v>
      </c>
    </row>
    <row r="10" spans="1:29" ht="21" customHeight="1" x14ac:dyDescent="0.3">
      <c r="A10" s="8" t="s">
        <v>37</v>
      </c>
      <c r="B10" s="3" t="s">
        <v>90</v>
      </c>
      <c r="C10" s="3" t="s">
        <v>79</v>
      </c>
      <c r="D10" s="3" t="s">
        <v>91</v>
      </c>
      <c r="E10" s="3">
        <v>2021</v>
      </c>
      <c r="F10" s="3" t="s">
        <v>92</v>
      </c>
      <c r="G10" s="12">
        <v>140200</v>
      </c>
      <c r="H10" s="3">
        <v>1</v>
      </c>
      <c r="I10" s="3">
        <v>1.2E-2</v>
      </c>
      <c r="J10" s="3">
        <v>228</v>
      </c>
      <c r="K10" s="12">
        <f t="shared" si="9"/>
        <v>28040</v>
      </c>
      <c r="L10" s="12">
        <f t="shared" si="1"/>
        <v>28376.48</v>
      </c>
      <c r="M10" s="3">
        <v>228</v>
      </c>
      <c r="N10" s="12">
        <f t="shared" si="10"/>
        <v>124.45824561403509</v>
      </c>
      <c r="O10" s="5">
        <v>0.11</v>
      </c>
      <c r="P10" s="19">
        <f t="shared" si="3"/>
        <v>138.14865263157895</v>
      </c>
      <c r="Q10" s="3" t="s">
        <v>152</v>
      </c>
      <c r="R10" s="19">
        <v>2</v>
      </c>
      <c r="S10" s="3" t="s">
        <v>185</v>
      </c>
      <c r="T10" s="3">
        <v>350</v>
      </c>
      <c r="U10" s="3">
        <v>115.5</v>
      </c>
      <c r="V10" s="12">
        <f t="shared" si="4"/>
        <v>231</v>
      </c>
      <c r="W10" s="3">
        <v>800</v>
      </c>
      <c r="X10" s="3">
        <v>10</v>
      </c>
      <c r="Y10" s="3">
        <v>170000</v>
      </c>
      <c r="Z10" s="5">
        <f t="shared" si="5"/>
        <v>1.6470588235294117</v>
      </c>
      <c r="AA10" s="5">
        <f t="shared" si="6"/>
        <v>16.470588235294116</v>
      </c>
      <c r="AB10" s="19">
        <f t="shared" si="7"/>
        <v>247.47058823529412</v>
      </c>
      <c r="AC10" s="67">
        <f t="shared" si="8"/>
        <v>385.61924086687304</v>
      </c>
    </row>
    <row r="11" spans="1:29" ht="21" customHeight="1" x14ac:dyDescent="0.3">
      <c r="A11" s="8" t="s">
        <v>38</v>
      </c>
      <c r="B11" s="3" t="s">
        <v>93</v>
      </c>
      <c r="C11" s="3" t="s">
        <v>94</v>
      </c>
      <c r="D11" s="3" t="s">
        <v>95</v>
      </c>
      <c r="E11" s="3">
        <v>2022</v>
      </c>
      <c r="F11" s="3" t="s">
        <v>96</v>
      </c>
      <c r="G11" s="12">
        <v>144900</v>
      </c>
      <c r="H11" s="3">
        <v>1</v>
      </c>
      <c r="I11" s="3">
        <v>1.2E-2</v>
      </c>
      <c r="J11" s="3">
        <v>228</v>
      </c>
      <c r="K11" s="12">
        <f t="shared" si="9"/>
        <v>28980</v>
      </c>
      <c r="L11" s="12">
        <f t="shared" si="1"/>
        <v>29327.759999999998</v>
      </c>
      <c r="M11" s="3">
        <v>228</v>
      </c>
      <c r="N11" s="12">
        <f t="shared" si="10"/>
        <v>128.63052631578947</v>
      </c>
      <c r="O11" s="5">
        <v>0.11</v>
      </c>
      <c r="P11" s="19">
        <f t="shared" si="3"/>
        <v>142.77988421052632</v>
      </c>
      <c r="Q11" s="3" t="s">
        <v>152</v>
      </c>
      <c r="R11" s="19">
        <v>2</v>
      </c>
      <c r="S11" s="3" t="s">
        <v>185</v>
      </c>
      <c r="T11" s="3">
        <v>75</v>
      </c>
      <c r="U11" s="3">
        <v>24.75</v>
      </c>
      <c r="V11" s="12">
        <f t="shared" si="4"/>
        <v>49.5</v>
      </c>
      <c r="W11" s="3">
        <v>800</v>
      </c>
      <c r="X11" s="3">
        <v>10</v>
      </c>
      <c r="Y11" s="3">
        <v>170000</v>
      </c>
      <c r="Z11" s="5">
        <f t="shared" si="5"/>
        <v>0.3529411764705882</v>
      </c>
      <c r="AA11" s="5">
        <f t="shared" si="6"/>
        <v>3.5294117647058822</v>
      </c>
      <c r="AB11" s="19">
        <f t="shared" si="7"/>
        <v>53.029411764705884</v>
      </c>
      <c r="AC11" s="67">
        <f t="shared" si="8"/>
        <v>195.8092959752322</v>
      </c>
    </row>
    <row r="12" spans="1:29" ht="21" customHeight="1" x14ac:dyDescent="0.3">
      <c r="A12" s="8" t="s">
        <v>39</v>
      </c>
      <c r="B12" s="3" t="s">
        <v>134</v>
      </c>
      <c r="C12" s="3" t="s">
        <v>97</v>
      </c>
      <c r="D12" s="3"/>
      <c r="E12" s="3">
        <v>2008</v>
      </c>
      <c r="F12" s="3"/>
      <c r="G12" s="12">
        <v>7500</v>
      </c>
      <c r="H12" s="3">
        <v>1</v>
      </c>
      <c r="I12" s="3">
        <v>1.2E-2</v>
      </c>
      <c r="J12" s="3">
        <v>228</v>
      </c>
      <c r="K12" s="12">
        <f t="shared" si="9"/>
        <v>1500</v>
      </c>
      <c r="L12" s="12">
        <f t="shared" si="1"/>
        <v>1518</v>
      </c>
      <c r="M12" s="3">
        <v>228</v>
      </c>
      <c r="N12" s="12">
        <f t="shared" si="10"/>
        <v>6.6578947368421053</v>
      </c>
      <c r="O12" s="5">
        <v>1.8</v>
      </c>
      <c r="P12" s="19">
        <f t="shared" si="3"/>
        <v>18.642105263157895</v>
      </c>
      <c r="Q12" s="5"/>
      <c r="R12" s="5"/>
      <c r="S12" s="5"/>
      <c r="T12" s="6">
        <v>75</v>
      </c>
      <c r="U12" s="5"/>
      <c r="V12" s="12">
        <f t="shared" si="4"/>
        <v>0</v>
      </c>
      <c r="W12" s="3">
        <v>800</v>
      </c>
      <c r="X12" s="6">
        <v>12</v>
      </c>
      <c r="Y12" s="3">
        <v>170000</v>
      </c>
      <c r="Z12" s="5">
        <f t="shared" si="5"/>
        <v>0.3529411764705882</v>
      </c>
      <c r="AA12" s="5">
        <f t="shared" si="6"/>
        <v>4.235294117647058</v>
      </c>
      <c r="AB12" s="19">
        <f t="shared" si="7"/>
        <v>4.235294117647058</v>
      </c>
      <c r="AC12" s="67">
        <f t="shared" si="8"/>
        <v>22.877399380804953</v>
      </c>
    </row>
    <row r="13" spans="1:29" ht="21" customHeight="1" x14ac:dyDescent="0.3">
      <c r="A13" s="8" t="s">
        <v>40</v>
      </c>
      <c r="B13" s="3" t="s">
        <v>135</v>
      </c>
      <c r="C13" s="3" t="s">
        <v>98</v>
      </c>
      <c r="D13" s="6" t="s">
        <v>99</v>
      </c>
      <c r="E13" s="3">
        <v>2022</v>
      </c>
      <c r="F13" s="3"/>
      <c r="G13" s="12">
        <v>40000</v>
      </c>
      <c r="H13" s="3">
        <v>1</v>
      </c>
      <c r="I13" s="3">
        <v>1.2E-2</v>
      </c>
      <c r="J13" s="3">
        <v>228</v>
      </c>
      <c r="K13" s="12">
        <f t="shared" si="9"/>
        <v>8000</v>
      </c>
      <c r="L13" s="12">
        <f t="shared" si="1"/>
        <v>8096</v>
      </c>
      <c r="M13" s="3">
        <v>228</v>
      </c>
      <c r="N13" s="12">
        <f t="shared" si="10"/>
        <v>35.508771929824562</v>
      </c>
      <c r="O13" s="5">
        <v>0.11</v>
      </c>
      <c r="P13" s="19">
        <f t="shared" si="3"/>
        <v>39.414736842105263</v>
      </c>
      <c r="Q13" s="5"/>
      <c r="R13" s="5"/>
      <c r="S13" s="5"/>
      <c r="T13" s="3">
        <v>75</v>
      </c>
      <c r="U13" s="5"/>
      <c r="V13" s="12">
        <f t="shared" si="4"/>
        <v>0</v>
      </c>
      <c r="W13" s="3">
        <v>800</v>
      </c>
      <c r="X13" s="3">
        <v>16</v>
      </c>
      <c r="Y13" s="3">
        <v>170000</v>
      </c>
      <c r="Z13" s="5">
        <f t="shared" si="5"/>
        <v>0.3529411764705882</v>
      </c>
      <c r="AA13" s="5">
        <f t="shared" si="6"/>
        <v>5.6470588235294112</v>
      </c>
      <c r="AB13" s="19">
        <f t="shared" si="7"/>
        <v>5.6470588235294112</v>
      </c>
      <c r="AC13" s="67">
        <f t="shared" si="8"/>
        <v>45.061795665634676</v>
      </c>
    </row>
    <row r="14" spans="1:29" x14ac:dyDescent="0.3">
      <c r="A14" s="68"/>
    </row>
    <row r="15" spans="1:29" x14ac:dyDescent="0.3">
      <c r="A15" s="68"/>
    </row>
    <row r="16" spans="1:29" x14ac:dyDescent="0.3">
      <c r="A16" s="68"/>
      <c r="C16" t="s">
        <v>144</v>
      </c>
      <c r="D16" t="s">
        <v>145</v>
      </c>
      <c r="E16" t="s">
        <v>142</v>
      </c>
      <c r="N16" s="18"/>
      <c r="O16" s="17"/>
    </row>
    <row r="17" spans="1:6" x14ac:dyDescent="0.3">
      <c r="A17" s="68"/>
      <c r="B17">
        <v>2022</v>
      </c>
      <c r="C17" t="s">
        <v>143</v>
      </c>
      <c r="D17">
        <v>5</v>
      </c>
    </row>
    <row r="18" spans="1:6" x14ac:dyDescent="0.3">
      <c r="B18">
        <v>2021</v>
      </c>
      <c r="C18">
        <v>1</v>
      </c>
      <c r="D18">
        <v>6</v>
      </c>
      <c r="E18" s="16">
        <f>D17+D18</f>
        <v>11</v>
      </c>
      <c r="F18">
        <f>E18/100</f>
        <v>0.11</v>
      </c>
    </row>
    <row r="19" spans="1:6" x14ac:dyDescent="0.3">
      <c r="B19">
        <v>20</v>
      </c>
      <c r="C19">
        <v>2</v>
      </c>
      <c r="D19">
        <v>7</v>
      </c>
      <c r="E19" s="16">
        <f>E18+D19</f>
        <v>18</v>
      </c>
      <c r="F19">
        <f t="shared" ref="F19:F34" si="11">E19/100</f>
        <v>0.18</v>
      </c>
    </row>
    <row r="20" spans="1:6" x14ac:dyDescent="0.3">
      <c r="B20">
        <v>19</v>
      </c>
      <c r="C20">
        <v>3</v>
      </c>
      <c r="D20">
        <v>8</v>
      </c>
      <c r="E20" s="16">
        <f t="shared" ref="E20:E34" si="12">E19+D20</f>
        <v>26</v>
      </c>
      <c r="F20">
        <f t="shared" si="11"/>
        <v>0.26</v>
      </c>
    </row>
    <row r="21" spans="1:6" x14ac:dyDescent="0.3">
      <c r="B21">
        <v>18</v>
      </c>
      <c r="C21">
        <v>4</v>
      </c>
      <c r="D21">
        <v>9</v>
      </c>
      <c r="E21" s="16">
        <f t="shared" si="12"/>
        <v>35</v>
      </c>
      <c r="F21">
        <f t="shared" si="11"/>
        <v>0.35</v>
      </c>
    </row>
    <row r="22" spans="1:6" x14ac:dyDescent="0.3">
      <c r="B22">
        <v>17</v>
      </c>
      <c r="C22">
        <v>5</v>
      </c>
      <c r="D22">
        <v>10</v>
      </c>
      <c r="E22" s="16">
        <f t="shared" si="12"/>
        <v>45</v>
      </c>
      <c r="F22">
        <f t="shared" si="11"/>
        <v>0.45</v>
      </c>
    </row>
    <row r="23" spans="1:6" x14ac:dyDescent="0.3">
      <c r="B23">
        <v>16</v>
      </c>
      <c r="C23">
        <v>6</v>
      </c>
      <c r="D23">
        <v>11</v>
      </c>
      <c r="E23" s="16">
        <f t="shared" si="12"/>
        <v>56</v>
      </c>
      <c r="F23">
        <f t="shared" si="11"/>
        <v>0.56000000000000005</v>
      </c>
    </row>
    <row r="24" spans="1:6" x14ac:dyDescent="0.3">
      <c r="B24">
        <v>15</v>
      </c>
      <c r="C24">
        <v>7</v>
      </c>
      <c r="D24">
        <v>12</v>
      </c>
      <c r="E24" s="16">
        <f t="shared" si="12"/>
        <v>68</v>
      </c>
      <c r="F24">
        <f t="shared" si="11"/>
        <v>0.68</v>
      </c>
    </row>
    <row r="25" spans="1:6" x14ac:dyDescent="0.3">
      <c r="B25">
        <v>14</v>
      </c>
      <c r="C25">
        <v>8</v>
      </c>
      <c r="D25">
        <v>13</v>
      </c>
      <c r="E25" s="16">
        <f t="shared" si="12"/>
        <v>81</v>
      </c>
      <c r="F25">
        <f t="shared" si="11"/>
        <v>0.81</v>
      </c>
    </row>
    <row r="26" spans="1:6" x14ac:dyDescent="0.3">
      <c r="B26">
        <v>13</v>
      </c>
      <c r="C26">
        <v>9</v>
      </c>
      <c r="D26">
        <v>14</v>
      </c>
      <c r="E26" s="16">
        <f t="shared" si="12"/>
        <v>95</v>
      </c>
      <c r="F26">
        <f t="shared" si="11"/>
        <v>0.95</v>
      </c>
    </row>
    <row r="27" spans="1:6" x14ac:dyDescent="0.3">
      <c r="B27">
        <v>12</v>
      </c>
      <c r="C27">
        <v>10</v>
      </c>
      <c r="D27">
        <v>15</v>
      </c>
      <c r="E27" s="16">
        <f t="shared" si="12"/>
        <v>110</v>
      </c>
      <c r="F27">
        <f t="shared" si="11"/>
        <v>1.1000000000000001</v>
      </c>
    </row>
    <row r="28" spans="1:6" x14ac:dyDescent="0.3">
      <c r="B28">
        <v>11</v>
      </c>
      <c r="C28">
        <v>11</v>
      </c>
      <c r="D28">
        <v>16</v>
      </c>
      <c r="E28" s="16">
        <f t="shared" si="12"/>
        <v>126</v>
      </c>
      <c r="F28">
        <f t="shared" si="11"/>
        <v>1.26</v>
      </c>
    </row>
    <row r="29" spans="1:6" x14ac:dyDescent="0.3">
      <c r="B29">
        <v>10</v>
      </c>
      <c r="C29">
        <v>12</v>
      </c>
      <c r="D29">
        <v>17</v>
      </c>
      <c r="E29" s="16">
        <f t="shared" si="12"/>
        <v>143</v>
      </c>
      <c r="F29">
        <f t="shared" si="11"/>
        <v>1.43</v>
      </c>
    </row>
    <row r="30" spans="1:6" x14ac:dyDescent="0.3">
      <c r="B30">
        <v>9</v>
      </c>
      <c r="C30">
        <v>13</v>
      </c>
      <c r="D30">
        <v>18</v>
      </c>
      <c r="E30" s="16">
        <f t="shared" si="12"/>
        <v>161</v>
      </c>
      <c r="F30">
        <f t="shared" si="11"/>
        <v>1.61</v>
      </c>
    </row>
    <row r="31" spans="1:6" x14ac:dyDescent="0.3">
      <c r="B31">
        <v>8</v>
      </c>
      <c r="C31">
        <v>14</v>
      </c>
      <c r="D31">
        <v>19</v>
      </c>
      <c r="E31" s="16">
        <f t="shared" si="12"/>
        <v>180</v>
      </c>
      <c r="F31">
        <f t="shared" si="11"/>
        <v>1.8</v>
      </c>
    </row>
    <row r="32" spans="1:6" x14ac:dyDescent="0.3">
      <c r="B32">
        <v>7</v>
      </c>
      <c r="C32">
        <v>15</v>
      </c>
      <c r="D32">
        <v>20</v>
      </c>
      <c r="E32" s="16">
        <f t="shared" si="12"/>
        <v>200</v>
      </c>
      <c r="F32">
        <f t="shared" si="11"/>
        <v>2</v>
      </c>
    </row>
    <row r="33" spans="2:6" x14ac:dyDescent="0.3">
      <c r="B33">
        <v>6</v>
      </c>
      <c r="C33">
        <v>16</v>
      </c>
      <c r="D33">
        <v>21</v>
      </c>
      <c r="E33" s="16">
        <f t="shared" si="12"/>
        <v>221</v>
      </c>
      <c r="F33">
        <f t="shared" si="11"/>
        <v>2.21</v>
      </c>
    </row>
    <row r="34" spans="2:6" x14ac:dyDescent="0.3">
      <c r="B34">
        <v>5</v>
      </c>
      <c r="C34">
        <v>17</v>
      </c>
      <c r="D34">
        <v>22</v>
      </c>
      <c r="E34" s="16">
        <f t="shared" si="12"/>
        <v>243</v>
      </c>
      <c r="F34">
        <f t="shared" si="11"/>
        <v>2.4300000000000002</v>
      </c>
    </row>
  </sheetData>
  <mergeCells count="5">
    <mergeCell ref="A14:A15"/>
    <mergeCell ref="A16:A17"/>
    <mergeCell ref="A2:A3"/>
    <mergeCell ref="A4:A5"/>
    <mergeCell ref="A6:A7"/>
  </mergeCells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Engins</vt:lpstr>
      <vt:lpstr>TOTAL</vt:lpstr>
      <vt:lpstr>Petits engins</vt:lpstr>
      <vt:lpstr>Transport</vt:lpstr>
    </vt:vector>
  </TitlesOfParts>
  <Company>AFPA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31019-72-02</dc:creator>
  <cp:lastModifiedBy>nathan cabrol</cp:lastModifiedBy>
  <cp:lastPrinted>2022-05-30T11:40:56Z</cp:lastPrinted>
  <dcterms:created xsi:type="dcterms:W3CDTF">2022-05-24T09:28:09Z</dcterms:created>
  <dcterms:modified xsi:type="dcterms:W3CDTF">2022-06-22T12:22:16Z</dcterms:modified>
</cp:coreProperties>
</file>