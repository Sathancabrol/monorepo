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DTTP - 21146 du 04_04_2022 au 24_02_2023\Documentation &amp; devoir\Création d'entreprise\CREATION ENTREPRISE\Noé\A rendre\Nouveau dossier\"/>
    </mc:Choice>
  </mc:AlternateContent>
  <bookViews>
    <workbookView xWindow="0" yWindow="0" windowWidth="28800" windowHeight="11835"/>
  </bookViews>
  <sheets>
    <sheet name="Modèle Facture Micro-entreprene" sheetId="1" r:id="rId1"/>
  </sheets>
  <calcPr calcId="152511"/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19" i="1"/>
  <c r="I70" i="1" l="1"/>
  <c r="I72" i="1" s="1"/>
</calcChain>
</file>

<file path=xl/sharedStrings.xml><?xml version="1.0" encoding="utf-8"?>
<sst xmlns="http://schemas.openxmlformats.org/spreadsheetml/2006/main" count="172" uniqueCount="100">
  <si>
    <r>
      <rPr>
        <b/>
        <sz val="12"/>
        <color rgb="FF27253A"/>
        <rFont val="Open Sans"/>
      </rPr>
      <t>Client</t>
    </r>
    <r>
      <rPr>
        <b/>
        <sz val="12"/>
        <color rgb="FF27253A"/>
        <rFont val="Open Sans"/>
      </rPr>
      <t xml:space="preserve"> </t>
    </r>
  </si>
  <si>
    <t>Facture de situation N°00001</t>
  </si>
  <si>
    <t>Désignation des produits ou prestations</t>
  </si>
  <si>
    <t>Quantité</t>
  </si>
  <si>
    <t>Prix Unitaire HT</t>
  </si>
  <si>
    <t>Total HT</t>
  </si>
  <si>
    <t>TOTAL HT</t>
  </si>
  <si>
    <t>Montant de TVA</t>
  </si>
  <si>
    <t>TOTAL TTC</t>
  </si>
  <si>
    <t>Adresse : 67 RESIDENCE CHATEAUBRIAND 34110 FRONTIGNAN</t>
  </si>
  <si>
    <t>Date : 17/11/2022</t>
  </si>
  <si>
    <t>Unité</t>
  </si>
  <si>
    <t>Numéro de téléphone : 06.26.49.47.83</t>
  </si>
  <si>
    <t>Entreprise</t>
  </si>
  <si>
    <t>Nom : TP STAGIAIRE</t>
  </si>
  <si>
    <t>Nom : Commune de Noé</t>
  </si>
  <si>
    <t>Adresse : 1 Esplanade Abolin 31410</t>
  </si>
  <si>
    <t>Téléphone : 05.61.84.40.13</t>
  </si>
  <si>
    <t>Chantier : Construction restaurant scolaire - lot VRD</t>
  </si>
  <si>
    <t>Adresse : 10 Rue Sainte Marie, Noé 31410</t>
  </si>
  <si>
    <t>Installation de chantier</t>
  </si>
  <si>
    <t>Etudes techniques</t>
  </si>
  <si>
    <t>Dossier des ouvrages executés (DOE)</t>
  </si>
  <si>
    <t>Relevés</t>
  </si>
  <si>
    <t>3.2</t>
  </si>
  <si>
    <t>TRAVAUX PREPARATOIRES</t>
  </si>
  <si>
    <t>3.2.1</t>
  </si>
  <si>
    <t>ft</t>
  </si>
  <si>
    <t>3.2.2</t>
  </si>
  <si>
    <t>3.2.3</t>
  </si>
  <si>
    <t>3.2.4</t>
  </si>
  <si>
    <t>3.3</t>
  </si>
  <si>
    <t>TERRASSEMENT GENERAUX</t>
  </si>
  <si>
    <t>3.3.1</t>
  </si>
  <si>
    <t>Hypothèse</t>
  </si>
  <si>
    <t>pm</t>
  </si>
  <si>
    <t>3.3.2</t>
  </si>
  <si>
    <t>Terrassement Terre Végétale</t>
  </si>
  <si>
    <t>m²</t>
  </si>
  <si>
    <t>3.3.3</t>
  </si>
  <si>
    <t>Terrassement en pleine masse,mise à niveau et modelage de terres</t>
  </si>
  <si>
    <t>3.4</t>
  </si>
  <si>
    <t>TRAVAUX DE RESEAUX DIVERS</t>
  </si>
  <si>
    <t>3.4.1</t>
  </si>
  <si>
    <t>TERRASSEMENTS EN TRANCHEE ET EN FOUILLE</t>
  </si>
  <si>
    <t>Terrassements en tranchée</t>
  </si>
  <si>
    <t>ml</t>
  </si>
  <si>
    <t>Terrassements en fouille</t>
  </si>
  <si>
    <t>u</t>
  </si>
  <si>
    <t>3.4.2</t>
  </si>
  <si>
    <t>RESEAU EAUX PLUVIALES</t>
  </si>
  <si>
    <t>Caniveaux avec grilles fonte</t>
  </si>
  <si>
    <t>Regard de visite 50cm x 50cm avec tampon fonte</t>
  </si>
  <si>
    <t>Regard de visite et de branchement avec tampon fonte D1000 mm</t>
  </si>
  <si>
    <t>Canalisations PVC minimum D200 posée en tranchée compris lit de sable, grillage avertisseur et remblai grain de riz</t>
  </si>
  <si>
    <t>Drain</t>
  </si>
  <si>
    <t>Remplacement avaloir par regard à grille fonte</t>
  </si>
  <si>
    <t>ens</t>
  </si>
  <si>
    <t>3.4.3</t>
  </si>
  <si>
    <t>Réseaux Eaux Usées/Eaux Vannes</t>
  </si>
  <si>
    <t>Regards béton 50cm x 50cm</t>
  </si>
  <si>
    <t>Tampons fonte hermétiques</t>
  </si>
  <si>
    <t>Regards de tringlage 40cm x 40cm</t>
  </si>
  <si>
    <t>Canalisations eaux usées minimum D200 posée en tranchée compris lit de sable, grillage avertisseur et remblai grain de riz</t>
  </si>
  <si>
    <t>Bac dégraisseur</t>
  </si>
  <si>
    <t>3.4.4</t>
  </si>
  <si>
    <t>Réseaux Eau Potable</t>
  </si>
  <si>
    <t>Canalisations posée en tranchée compris enrobage sable et grillage avertisseur</t>
  </si>
  <si>
    <t>Regard de comptage</t>
  </si>
  <si>
    <t>Disconnecteur</t>
  </si>
  <si>
    <t>Limiteur de pression</t>
  </si>
  <si>
    <t>Compteur d'eau</t>
  </si>
  <si>
    <t>Raccordement sur réseau existant</t>
  </si>
  <si>
    <t>3.4.5</t>
  </si>
  <si>
    <t>Réseaux courants forts et courants faibles (électricité-Télécom)</t>
  </si>
  <si>
    <t>Fourreaux TPC Ø40 posée en tranchée compris enrobage sable, grillage avertisseur et remblais</t>
  </si>
  <si>
    <t>Fourreaux TPC Ø63 posée en tranchée compris enrobage sable, grillage avertisseur et remblais</t>
  </si>
  <si>
    <t>Fourreaux TPC Ø90 posée en tranchée compris enrobage sable, grillage avertisseur et remblais</t>
  </si>
  <si>
    <t>Fourreaux TPC Ø110 posée en tranchée compris enrobage sable, grillage avertisseur et remblais</t>
  </si>
  <si>
    <t>Fourreaux TPC Ø160 posée en tranchée compris enrobage sable, grillage avertisseur et remblais</t>
  </si>
  <si>
    <t>Fourreaux TPC Ø42/45 posée en tranchée compris enrobage sable, grillage avertisseur et remblais</t>
  </si>
  <si>
    <t>Chambres de tirage L1T</t>
  </si>
  <si>
    <t>Chambres de tirage L2T</t>
  </si>
  <si>
    <t>Coffret type S200</t>
  </si>
  <si>
    <t>Muret paysager</t>
  </si>
  <si>
    <t>3.4.6</t>
  </si>
  <si>
    <t>Réseaux d'éclairage extérieure</t>
  </si>
  <si>
    <t>Câlette de terre</t>
  </si>
  <si>
    <t>3.4.7</t>
  </si>
  <si>
    <t>Fondations superficielles pour mats et bornes d'éclairage</t>
  </si>
  <si>
    <t>3.4.8</t>
  </si>
  <si>
    <t>Rehausses pour regards et chambres de tirage</t>
  </si>
  <si>
    <t>3.5.2</t>
  </si>
  <si>
    <t>Voirie circulable et cheminements pieton</t>
  </si>
  <si>
    <t>3.5.2.1</t>
  </si>
  <si>
    <t>Avancement des travaux</t>
  </si>
  <si>
    <t>Voirie circulable - Couche de fondation ET DE BASE (gnt 0/80 sur 20cm + géotextile + gnt 0/20 sur 20cm)</t>
  </si>
  <si>
    <t>Information chantier</t>
  </si>
  <si>
    <t>Commentaire:</t>
  </si>
  <si>
    <t>calcul d'un prix = quantité x % d'avancement x prix unitaire
Phase terminée, elle comprend la préparation de chantier, les terrassements, l'installation des réseaux et la mise en place des granulats GNT 0/80+géotextile.
Le prix de couche de fondation n'est pas complet puisqu'il manque la mise en place de la GNT 0/20.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</si>
</sst>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#,##0.00[$€]"/>
    <numFmt numFmtId="165" formatCode="_-* #,##0.00\ [$€-40C]_-;\-* #,##0.00\ [$€-40C]_-;_-* &quot;-&quot;??\ [$€-40C]_-;_-@_-"/>
  </numFmts>
  <fonts count="16">
    <font>
      <sz val="10"/>
      <color rgb="FF000000"/>
      <name val="Arial"/>
    </font>
    <font>
      <sz val="10"/>
      <name val="Open Sans"/>
    </font>
    <font>
      <sz val="11"/>
      <name val="Open Sans"/>
    </font>
    <font>
      <b/>
      <sz val="12"/>
      <color rgb="FF27253A"/>
      <name val="Open Sans"/>
    </font>
    <font>
      <sz val="10"/>
      <name val="Arial"/>
    </font>
    <font>
      <sz val="12"/>
      <color rgb="FF27253A"/>
      <name val="Open Sans"/>
    </font>
    <font>
      <b/>
      <sz val="10"/>
      <name val="Open Sans"/>
    </font>
    <font>
      <b/>
      <sz val="12"/>
      <color rgb="FFFFFFFF"/>
      <name val="Open Sans"/>
    </font>
    <font>
      <b/>
      <sz val="12"/>
      <name val="Open Sans"/>
    </font>
    <font>
      <sz val="11"/>
      <color rgb="FF27253A"/>
      <name val="Open Sans"/>
    </font>
    <font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Open Sans"/>
    </font>
    <font>
      <b/>
      <sz val="20"/>
      <color rgb="FF27253A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7253A"/>
        <bgColor rgb="FF27253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00BB37"/>
      </left>
      <right/>
      <top style="medium">
        <color rgb="FF00BB37"/>
      </top>
      <bottom style="medium">
        <color rgb="FFFFFFFF"/>
      </bottom>
      <diagonal/>
    </border>
    <border>
      <left/>
      <right/>
      <top style="medium">
        <color rgb="FF00BB37"/>
      </top>
      <bottom style="medium">
        <color rgb="FFFFFFFF"/>
      </bottom>
      <diagonal/>
    </border>
    <border>
      <left/>
      <right style="medium">
        <color rgb="FF00BB37"/>
      </right>
      <top style="medium">
        <color rgb="FF00BB37"/>
      </top>
      <bottom style="medium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BB37"/>
      </left>
      <right/>
      <top style="medium">
        <color rgb="FFFFFFFF"/>
      </top>
      <bottom style="thin">
        <color rgb="FFFFFFFF"/>
      </bottom>
      <diagonal/>
    </border>
    <border>
      <left/>
      <right/>
      <top style="medium">
        <color rgb="FFFFFFFF"/>
      </top>
      <bottom style="thin">
        <color rgb="FFFFFFFF"/>
      </bottom>
      <diagonal/>
    </border>
    <border>
      <left/>
      <right style="medium">
        <color rgb="FF00BB37"/>
      </right>
      <top style="medium">
        <color rgb="FFFFFFFF"/>
      </top>
      <bottom style="thin">
        <color rgb="FFFFFFFF"/>
      </bottom>
      <diagonal/>
    </border>
    <border>
      <left style="medium">
        <color rgb="FF00BB37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BB37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00BB37"/>
      </left>
      <right/>
      <top style="thin">
        <color rgb="FFFFFFFF"/>
      </top>
      <bottom style="medium">
        <color rgb="FF00BB37"/>
      </bottom>
      <diagonal/>
    </border>
    <border>
      <left/>
      <right/>
      <top style="thin">
        <color rgb="FFFFFFFF"/>
      </top>
      <bottom style="medium">
        <color rgb="FF00BB37"/>
      </bottom>
      <diagonal/>
    </border>
    <border>
      <left/>
      <right style="medium">
        <color rgb="FF00BB37"/>
      </right>
      <top style="thin">
        <color rgb="FFFFFFFF"/>
      </top>
      <bottom style="medium">
        <color rgb="FF00BB37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27253A"/>
      </right>
      <top/>
      <bottom style="medium">
        <color rgb="FF27253A"/>
      </bottom>
      <diagonal/>
    </border>
    <border>
      <left/>
      <right style="medium">
        <color rgb="FF27253A"/>
      </right>
      <top style="medium">
        <color rgb="FF27253A"/>
      </top>
      <bottom style="medium">
        <color rgb="FF27253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3">
    <xf numFmtId="0" fontId="0" fillId="0" borderId="0" xfId="0" applyFont="1" applyAlignment="1"/>
    <xf numFmtId="0" fontId="1" fillId="0" borderId="1" xfId="0" applyFont="1" applyBorder="1"/>
    <xf numFmtId="0" fontId="2" fillId="0" borderId="2" xfId="0" applyFont="1" applyBorder="1" applyAlignment="1">
      <alignment vertical="center"/>
    </xf>
    <xf numFmtId="0" fontId="1" fillId="0" borderId="3" xfId="0" applyFont="1" applyBorder="1"/>
    <xf numFmtId="0" fontId="1" fillId="0" borderId="7" xfId="0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 applyAlignment="1">
      <alignment vertical="center"/>
    </xf>
    <xf numFmtId="0" fontId="1" fillId="0" borderId="16" xfId="0" applyFont="1" applyBorder="1"/>
    <xf numFmtId="0" fontId="6" fillId="0" borderId="16" xfId="0" applyFont="1" applyBorder="1" applyAlignment="1"/>
    <xf numFmtId="0" fontId="6" fillId="0" borderId="1" xfId="0" applyFont="1" applyBorder="1" applyAlignment="1"/>
    <xf numFmtId="0" fontId="1" fillId="0" borderId="21" xfId="0" applyFont="1" applyBorder="1"/>
    <xf numFmtId="0" fontId="5" fillId="0" borderId="1" xfId="0" applyFont="1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9" fillId="0" borderId="1" xfId="0" applyFont="1" applyBorder="1" applyAlignme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" fillId="0" borderId="2" xfId="0" applyFont="1" applyBorder="1"/>
    <xf numFmtId="0" fontId="3" fillId="2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5" fillId="2" borderId="8" xfId="0" applyFont="1" applyFill="1" applyBorder="1" applyAlignment="1">
      <alignment vertical="center"/>
    </xf>
    <xf numFmtId="0" fontId="4" fillId="0" borderId="9" xfId="0" applyFont="1" applyBorder="1"/>
    <xf numFmtId="0" fontId="4" fillId="0" borderId="10" xfId="0" applyFont="1" applyBorder="1"/>
    <xf numFmtId="0" fontId="5" fillId="2" borderId="11" xfId="0" applyFont="1" applyFill="1" applyBorder="1" applyAlignment="1">
      <alignment vertical="center"/>
    </xf>
    <xf numFmtId="0" fontId="4" fillId="0" borderId="12" xfId="0" applyFont="1" applyBorder="1"/>
    <xf numFmtId="0" fontId="4" fillId="0" borderId="13" xfId="0" applyFont="1" applyBorder="1"/>
    <xf numFmtId="0" fontId="5" fillId="2" borderId="17" xfId="0" applyFont="1" applyFill="1" applyBorder="1" applyAlignment="1">
      <alignment vertical="center"/>
    </xf>
    <xf numFmtId="0" fontId="4" fillId="0" borderId="18" xfId="0" applyFont="1" applyBorder="1"/>
    <xf numFmtId="0" fontId="4" fillId="0" borderId="19" xfId="0" applyFont="1" applyBorder="1"/>
    <xf numFmtId="0" fontId="2" fillId="0" borderId="14" xfId="0" applyFont="1" applyBorder="1" applyAlignment="1">
      <alignment horizontal="center"/>
    </xf>
    <xf numFmtId="0" fontId="5" fillId="2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22" xfId="0" applyBorder="1" applyAlignment="1">
      <alignment horizontal="right"/>
    </xf>
    <xf numFmtId="0" fontId="0" fillId="0" borderId="22" xfId="0" applyBorder="1" applyAlignment="1">
      <alignment horizontal="center"/>
    </xf>
    <xf numFmtId="165" fontId="11" fillId="0" borderId="27" xfId="1" applyNumberFormat="1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165" fontId="0" fillId="0" borderId="22" xfId="0" applyNumberFormat="1" applyBorder="1" applyAlignment="1">
      <alignment horizontal="right" vertical="center"/>
    </xf>
    <xf numFmtId="165" fontId="0" fillId="0" borderId="22" xfId="1" applyNumberFormat="1" applyFont="1" applyBorder="1" applyAlignment="1">
      <alignment vertical="center"/>
    </xf>
    <xf numFmtId="0" fontId="0" fillId="0" borderId="22" xfId="0" applyBorder="1" applyAlignment="1">
      <alignment horizontal="right" vertical="center"/>
    </xf>
    <xf numFmtId="0" fontId="0" fillId="0" borderId="22" xfId="0" applyBorder="1" applyAlignment="1">
      <alignment horizontal="center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64" fontId="8" fillId="0" borderId="30" xfId="0" applyNumberFormat="1" applyFont="1" applyBorder="1" applyAlignment="1">
      <alignment horizontal="right" vertical="center"/>
    </xf>
    <xf numFmtId="165" fontId="0" fillId="0" borderId="32" xfId="0" applyNumberFormat="1" applyBorder="1" applyAlignment="1">
      <alignment horizontal="right" vertical="center"/>
    </xf>
    <xf numFmtId="0" fontId="7" fillId="3" borderId="33" xfId="0" applyFont="1" applyFill="1" applyBorder="1" applyAlignment="1">
      <alignment horizontal="center" vertical="center"/>
    </xf>
    <xf numFmtId="164" fontId="8" fillId="0" borderId="31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center"/>
    </xf>
    <xf numFmtId="0" fontId="13" fillId="0" borderId="22" xfId="0" applyFont="1" applyBorder="1" applyAlignment="1">
      <alignment horizontal="center" vertical="center" wrapText="1"/>
    </xf>
    <xf numFmtId="9" fontId="0" fillId="0" borderId="22" xfId="2" applyFont="1" applyBorder="1" applyAlignment="1">
      <alignment horizontal="center" vertical="center"/>
    </xf>
    <xf numFmtId="0" fontId="0" fillId="5" borderId="22" xfId="0" applyFill="1" applyBorder="1" applyAlignment="1">
      <alignment horizontal="right"/>
    </xf>
    <xf numFmtId="0" fontId="12" fillId="5" borderId="28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9" fontId="0" fillId="5" borderId="22" xfId="2" applyFont="1" applyFill="1" applyBorder="1" applyAlignment="1">
      <alignment horizontal="center" vertical="center"/>
    </xf>
    <xf numFmtId="165" fontId="0" fillId="5" borderId="22" xfId="0" applyNumberFormat="1" applyFill="1" applyBorder="1" applyAlignment="1">
      <alignment horizontal="righ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/>
    </xf>
    <xf numFmtId="165" fontId="11" fillId="5" borderId="26" xfId="0" applyNumberFormat="1" applyFont="1" applyFill="1" applyBorder="1" applyAlignment="1">
      <alignment horizontal="right" vertical="center"/>
    </xf>
    <xf numFmtId="0" fontId="0" fillId="5" borderId="0" xfId="0" applyFont="1" applyFill="1" applyAlignment="1"/>
    <xf numFmtId="0" fontId="12" fillId="5" borderId="28" xfId="0" applyFont="1" applyFill="1" applyBorder="1" applyAlignment="1">
      <alignment horizontal="left" vertical="center" wrapText="1"/>
    </xf>
    <xf numFmtId="0" fontId="12" fillId="5" borderId="29" xfId="0" applyFont="1" applyFill="1" applyBorder="1" applyAlignment="1">
      <alignment horizontal="left" vertical="center" wrapText="1"/>
    </xf>
    <xf numFmtId="0" fontId="0" fillId="5" borderId="22" xfId="0" applyFill="1" applyBorder="1" applyAlignment="1">
      <alignment horizontal="right" vertical="center"/>
    </xf>
    <xf numFmtId="0" fontId="0" fillId="5" borderId="22" xfId="0" applyFill="1" applyBorder="1" applyAlignment="1">
      <alignment horizontal="center"/>
    </xf>
    <xf numFmtId="0" fontId="1" fillId="0" borderId="12" xfId="0" applyFont="1" applyBorder="1"/>
    <xf numFmtId="0" fontId="4" fillId="0" borderId="0" xfId="0" applyFont="1" applyBorder="1"/>
    <xf numFmtId="0" fontId="5" fillId="2" borderId="40" xfId="0" applyFont="1" applyFill="1" applyBorder="1" applyAlignment="1">
      <alignment vertical="center"/>
    </xf>
    <xf numFmtId="0" fontId="4" fillId="0" borderId="41" xfId="0" applyFont="1" applyBorder="1"/>
    <xf numFmtId="0" fontId="5" fillId="2" borderId="37" xfId="0" applyFont="1" applyFill="1" applyBorder="1" applyAlignment="1">
      <alignment vertical="center"/>
    </xf>
    <xf numFmtId="0" fontId="4" fillId="0" borderId="38" xfId="0" applyFont="1" applyBorder="1"/>
    <xf numFmtId="0" fontId="4" fillId="0" borderId="39" xfId="0" applyFont="1" applyBorder="1"/>
    <xf numFmtId="0" fontId="1" fillId="0" borderId="20" xfId="0" applyFont="1" applyBorder="1"/>
    <xf numFmtId="0" fontId="1" fillId="4" borderId="4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left" vertical="center"/>
    </xf>
    <xf numFmtId="0" fontId="14" fillId="4" borderId="35" xfId="0" applyFont="1" applyFill="1" applyBorder="1" applyAlignment="1">
      <alignment horizontal="left" vertical="center"/>
    </xf>
    <xf numFmtId="0" fontId="14" fillId="4" borderId="36" xfId="0" applyFont="1" applyFill="1" applyBorder="1" applyAlignment="1">
      <alignment horizontal="left" vertical="center"/>
    </xf>
    <xf numFmtId="0" fontId="15" fillId="0" borderId="1" xfId="0" applyFont="1" applyBorder="1" applyAlignment="1"/>
    <xf numFmtId="0" fontId="1" fillId="4" borderId="40" xfId="0" applyFont="1" applyFill="1" applyBorder="1" applyAlignment="1">
      <alignment horizontal="center" vertical="center" wrapText="1"/>
    </xf>
  </cellXfs>
  <cellStyles count="3">
    <cellStyle name="Monétaire" xfId="1" builtinId="4"/>
    <cellStyle name="Normal" xfId="0" builtinId="0"/>
    <cellStyle name="Pourcentage" xfId="2" builtinId="5"/>
  </cellStyles>
  <dxfs count="3">
    <dxf>
      <font>
        <color rgb="FFF3F3F3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3F3F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36"/>
  <sheetViews>
    <sheetView tabSelected="1" topLeftCell="A22" zoomScale="70" zoomScaleNormal="70" workbookViewId="0">
      <selection activeCell="E13" sqref="E13"/>
    </sheetView>
  </sheetViews>
  <sheetFormatPr baseColWidth="10" defaultColWidth="14.42578125" defaultRowHeight="15.75" customHeight="1"/>
  <cols>
    <col min="1" max="1" width="4" customWidth="1"/>
    <col min="2" max="2" width="13.28515625" customWidth="1"/>
    <col min="3" max="3" width="30.140625" customWidth="1"/>
    <col min="4" max="4" width="29.42578125" customWidth="1"/>
    <col min="5" max="8" width="19.85546875" customWidth="1"/>
    <col min="9" max="9" width="14.5703125" customWidth="1"/>
  </cols>
  <sheetData>
    <row r="1" spans="1:25" ht="15" thickBot="1">
      <c r="A1" s="1"/>
      <c r="B1" s="2"/>
      <c r="C1" s="2"/>
      <c r="D1" s="2"/>
      <c r="E1" s="1"/>
      <c r="F1" s="18"/>
      <c r="G1" s="18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thickBot="1">
      <c r="A2" s="3"/>
      <c r="B2" s="19" t="s">
        <v>13</v>
      </c>
      <c r="C2" s="20"/>
      <c r="D2" s="21"/>
      <c r="E2" s="74"/>
      <c r="F2" s="19" t="s">
        <v>97</v>
      </c>
      <c r="G2" s="20"/>
      <c r="H2" s="21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>
      <c r="A3" s="3"/>
      <c r="B3" s="22" t="s">
        <v>14</v>
      </c>
      <c r="C3" s="23"/>
      <c r="D3" s="24"/>
      <c r="E3" s="74"/>
      <c r="F3" s="76" t="s">
        <v>18</v>
      </c>
      <c r="G3" s="75"/>
      <c r="H3" s="77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thickBot="1">
      <c r="A4" s="3"/>
      <c r="B4" s="32" t="s">
        <v>9</v>
      </c>
      <c r="C4" s="33"/>
      <c r="D4" s="34"/>
      <c r="E4" s="74"/>
      <c r="F4" s="78" t="s">
        <v>19</v>
      </c>
      <c r="G4" s="79"/>
      <c r="H4" s="80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>
      <c r="A5" s="3"/>
      <c r="B5" s="25"/>
      <c r="C5" s="26"/>
      <c r="D5" s="27"/>
      <c r="E5" s="4"/>
      <c r="F5" s="8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 customHeight="1">
      <c r="A6" s="5"/>
      <c r="B6" s="25" t="s">
        <v>12</v>
      </c>
      <c r="C6" s="26"/>
      <c r="D6" s="27"/>
      <c r="E6" s="6"/>
      <c r="F6" s="7"/>
      <c r="G6" s="7"/>
      <c r="H6" s="7"/>
      <c r="I6" s="8"/>
      <c r="J6" s="8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4.25" customHeight="1" thickBot="1">
      <c r="A7" s="5"/>
      <c r="B7" s="28"/>
      <c r="C7" s="29"/>
      <c r="D7" s="30"/>
      <c r="E7" s="6"/>
      <c r="F7" s="7"/>
      <c r="G7" s="7"/>
      <c r="H7" s="7"/>
      <c r="I7" s="8"/>
      <c r="J7" s="8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6.5" thickBot="1">
      <c r="A8" s="1"/>
      <c r="B8" s="1"/>
      <c r="C8" s="1"/>
      <c r="D8" s="1"/>
      <c r="E8" s="3"/>
      <c r="F8" s="19" t="s">
        <v>0</v>
      </c>
      <c r="G8" s="20"/>
      <c r="H8" s="21"/>
      <c r="I8" s="4"/>
      <c r="J8" s="1"/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>
      <c r="A9" s="1"/>
      <c r="B9" s="1"/>
      <c r="C9" s="1"/>
      <c r="D9" s="1"/>
      <c r="E9" s="3"/>
      <c r="F9" s="22" t="s">
        <v>15</v>
      </c>
      <c r="G9" s="23"/>
      <c r="H9" s="2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>
      <c r="A10" s="1"/>
      <c r="B10" s="1"/>
      <c r="C10" s="1"/>
      <c r="D10" s="1"/>
      <c r="E10" s="3"/>
      <c r="F10" s="25" t="s">
        <v>16</v>
      </c>
      <c r="G10" s="26"/>
      <c r="H10" s="27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thickBot="1">
      <c r="A11" s="1"/>
      <c r="B11" s="1"/>
      <c r="C11" s="1"/>
      <c r="D11" s="1"/>
      <c r="E11" s="3"/>
      <c r="F11" s="25"/>
      <c r="G11" s="26"/>
      <c r="H11" s="27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thickBot="1">
      <c r="A12" s="1"/>
      <c r="B12" s="1"/>
      <c r="C12" s="1"/>
      <c r="D12" s="3"/>
      <c r="E12" s="11"/>
      <c r="F12" s="22" t="s">
        <v>17</v>
      </c>
      <c r="G12" s="23"/>
      <c r="H12" s="24"/>
      <c r="I12" s="11"/>
      <c r="J12" s="1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thickBot="1">
      <c r="A13" s="1"/>
      <c r="B13" s="1"/>
      <c r="C13" s="1"/>
      <c r="D13" s="3"/>
      <c r="E13" s="11"/>
      <c r="F13" s="28"/>
      <c r="G13" s="29"/>
      <c r="H13" s="30"/>
      <c r="I13" s="11"/>
      <c r="J13" s="11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6.25">
      <c r="A14" s="1"/>
      <c r="B14" s="91" t="s">
        <v>1</v>
      </c>
      <c r="C14" s="1"/>
      <c r="D14" s="1"/>
      <c r="E14" s="8"/>
      <c r="F14" s="8"/>
      <c r="G14" s="8"/>
      <c r="H14" s="8"/>
      <c r="I14" s="8"/>
      <c r="J14" s="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>
      <c r="A15" s="1"/>
      <c r="B15" s="12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6" ht="32.25" customHeight="1">
      <c r="A17" s="13"/>
      <c r="B17" s="35" t="s">
        <v>2</v>
      </c>
      <c r="C17" s="36"/>
      <c r="D17" s="36"/>
      <c r="E17" s="37" t="s">
        <v>11</v>
      </c>
      <c r="F17" s="37" t="s">
        <v>3</v>
      </c>
      <c r="G17" s="50" t="s">
        <v>95</v>
      </c>
      <c r="H17" s="37" t="s">
        <v>4</v>
      </c>
      <c r="I17" s="37" t="s">
        <v>5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4.75" customHeight="1">
      <c r="A18" s="3"/>
      <c r="B18" s="64" t="s">
        <v>24</v>
      </c>
      <c r="C18" s="65" t="s">
        <v>25</v>
      </c>
      <c r="D18" s="66"/>
      <c r="E18" s="67"/>
      <c r="F18" s="67"/>
      <c r="G18" s="69"/>
      <c r="H18" s="68"/>
      <c r="I18" s="40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3"/>
      <c r="B19" s="38" t="s">
        <v>26</v>
      </c>
      <c r="C19" s="48" t="s">
        <v>20</v>
      </c>
      <c r="D19" s="49"/>
      <c r="E19" s="41" t="s">
        <v>27</v>
      </c>
      <c r="F19" s="41">
        <v>1</v>
      </c>
      <c r="G19" s="57">
        <v>1</v>
      </c>
      <c r="H19" s="42">
        <v>6000</v>
      </c>
      <c r="I19" s="43">
        <f>F19*H19*G19</f>
        <v>6000</v>
      </c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3"/>
      <c r="B20" s="38" t="s">
        <v>28</v>
      </c>
      <c r="C20" s="48" t="s">
        <v>21</v>
      </c>
      <c r="D20" s="49"/>
      <c r="E20" s="41" t="s">
        <v>27</v>
      </c>
      <c r="F20" s="41">
        <v>1</v>
      </c>
      <c r="G20" s="57">
        <v>1</v>
      </c>
      <c r="H20" s="42">
        <v>1500</v>
      </c>
      <c r="I20" s="43">
        <f t="shared" ref="I20:I69" si="0">F20*H20*G20</f>
        <v>1500</v>
      </c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3"/>
      <c r="B21" s="38" t="s">
        <v>29</v>
      </c>
      <c r="C21" s="48" t="s">
        <v>22</v>
      </c>
      <c r="D21" s="49"/>
      <c r="E21" s="41" t="s">
        <v>27</v>
      </c>
      <c r="F21" s="41">
        <v>1</v>
      </c>
      <c r="G21" s="57">
        <v>1</v>
      </c>
      <c r="H21" s="42">
        <v>1500</v>
      </c>
      <c r="I21" s="43">
        <f t="shared" si="0"/>
        <v>1500</v>
      </c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3"/>
      <c r="B22" s="38" t="s">
        <v>30</v>
      </c>
      <c r="C22" s="48" t="s">
        <v>23</v>
      </c>
      <c r="D22" s="49"/>
      <c r="E22" s="41" t="s">
        <v>27</v>
      </c>
      <c r="F22" s="41">
        <v>1</v>
      </c>
      <c r="G22" s="57">
        <v>1</v>
      </c>
      <c r="H22" s="42">
        <v>500</v>
      </c>
      <c r="I22" s="43">
        <f t="shared" si="0"/>
        <v>500</v>
      </c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3"/>
      <c r="B23" s="64" t="s">
        <v>31</v>
      </c>
      <c r="C23" s="65" t="s">
        <v>32</v>
      </c>
      <c r="D23" s="66"/>
      <c r="E23" s="67"/>
      <c r="F23" s="67"/>
      <c r="G23" s="62"/>
      <c r="H23" s="68"/>
      <c r="I23" s="43">
        <f t="shared" si="0"/>
        <v>0</v>
      </c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3"/>
      <c r="B24" s="38" t="s">
        <v>33</v>
      </c>
      <c r="C24" s="48" t="s">
        <v>34</v>
      </c>
      <c r="D24" s="49"/>
      <c r="E24" s="41" t="s">
        <v>35</v>
      </c>
      <c r="F24" s="41"/>
      <c r="G24" s="57"/>
      <c r="H24" s="42">
        <v>500</v>
      </c>
      <c r="I24" s="43">
        <f t="shared" si="0"/>
        <v>0</v>
      </c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38" t="s">
        <v>36</v>
      </c>
      <c r="C25" s="48" t="s">
        <v>37</v>
      </c>
      <c r="D25" s="49"/>
      <c r="E25" s="41" t="s">
        <v>38</v>
      </c>
      <c r="F25" s="41">
        <v>2200</v>
      </c>
      <c r="G25" s="57">
        <v>1</v>
      </c>
      <c r="H25" s="42">
        <v>2.75</v>
      </c>
      <c r="I25" s="43">
        <f t="shared" si="0"/>
        <v>6050</v>
      </c>
      <c r="J25" s="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3"/>
      <c r="B26" s="38" t="s">
        <v>39</v>
      </c>
      <c r="C26" s="48" t="s">
        <v>40</v>
      </c>
      <c r="D26" s="49"/>
      <c r="E26" s="41" t="s">
        <v>38</v>
      </c>
      <c r="F26" s="41">
        <v>2200</v>
      </c>
      <c r="G26" s="57">
        <v>1</v>
      </c>
      <c r="H26" s="42">
        <v>5</v>
      </c>
      <c r="I26" s="43">
        <f t="shared" si="0"/>
        <v>11000</v>
      </c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>
      <c r="A27" s="3"/>
      <c r="B27" s="64" t="s">
        <v>41</v>
      </c>
      <c r="C27" s="65" t="s">
        <v>42</v>
      </c>
      <c r="D27" s="66"/>
      <c r="E27" s="67"/>
      <c r="F27" s="67"/>
      <c r="G27" s="62"/>
      <c r="H27" s="68"/>
      <c r="I27" s="43">
        <f t="shared" si="0"/>
        <v>0</v>
      </c>
      <c r="J27" s="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3"/>
      <c r="B28" s="38" t="s">
        <v>43</v>
      </c>
      <c r="C28" s="46" t="s">
        <v>44</v>
      </c>
      <c r="D28" s="47"/>
      <c r="E28" s="41"/>
      <c r="F28" s="39"/>
      <c r="G28" s="57"/>
      <c r="H28" s="42"/>
      <c r="I28" s="43">
        <f t="shared" si="0"/>
        <v>0</v>
      </c>
      <c r="J28" s="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>
      <c r="A29" s="3"/>
      <c r="B29" s="38"/>
      <c r="C29" s="48" t="s">
        <v>45</v>
      </c>
      <c r="D29" s="49" t="s">
        <v>46</v>
      </c>
      <c r="E29" s="41" t="s">
        <v>46</v>
      </c>
      <c r="F29" s="41">
        <v>122</v>
      </c>
      <c r="G29" s="57">
        <v>1</v>
      </c>
      <c r="H29" s="42">
        <v>12</v>
      </c>
      <c r="I29" s="43">
        <f t="shared" si="0"/>
        <v>1464</v>
      </c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3"/>
      <c r="B30" s="38"/>
      <c r="C30" s="48" t="s">
        <v>47</v>
      </c>
      <c r="D30" s="49" t="s">
        <v>48</v>
      </c>
      <c r="E30" s="41" t="s">
        <v>48</v>
      </c>
      <c r="F30" s="41">
        <v>13</v>
      </c>
      <c r="G30" s="57">
        <v>1</v>
      </c>
      <c r="H30" s="42">
        <v>37</v>
      </c>
      <c r="I30" s="43">
        <f t="shared" si="0"/>
        <v>481</v>
      </c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>
      <c r="A31" s="3"/>
      <c r="B31" s="58" t="s">
        <v>49</v>
      </c>
      <c r="C31" s="59" t="s">
        <v>50</v>
      </c>
      <c r="D31" s="60"/>
      <c r="E31" s="61"/>
      <c r="F31" s="61"/>
      <c r="G31" s="62"/>
      <c r="H31" s="63"/>
      <c r="I31" s="43">
        <f t="shared" si="0"/>
        <v>0</v>
      </c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>
      <c r="A32" s="3"/>
      <c r="B32" s="38"/>
      <c r="C32" s="48" t="s">
        <v>51</v>
      </c>
      <c r="D32" s="49" t="s">
        <v>46</v>
      </c>
      <c r="E32" s="41" t="s">
        <v>46</v>
      </c>
      <c r="F32" s="41">
        <v>8.6</v>
      </c>
      <c r="G32" s="57">
        <v>1</v>
      </c>
      <c r="H32" s="42">
        <v>250</v>
      </c>
      <c r="I32" s="43">
        <f t="shared" si="0"/>
        <v>2150</v>
      </c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>
      <c r="A33" s="3"/>
      <c r="B33" s="38"/>
      <c r="C33" s="48" t="s">
        <v>52</v>
      </c>
      <c r="D33" s="49" t="s">
        <v>48</v>
      </c>
      <c r="E33" s="41" t="s">
        <v>48</v>
      </c>
      <c r="F33" s="41">
        <v>3</v>
      </c>
      <c r="G33" s="57">
        <v>1</v>
      </c>
      <c r="H33" s="42">
        <v>75</v>
      </c>
      <c r="I33" s="43">
        <f t="shared" si="0"/>
        <v>225</v>
      </c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>
      <c r="A34" s="3"/>
      <c r="B34" s="38"/>
      <c r="C34" s="48" t="s">
        <v>53</v>
      </c>
      <c r="D34" s="49" t="s">
        <v>48</v>
      </c>
      <c r="E34" s="41" t="s">
        <v>48</v>
      </c>
      <c r="F34" s="41">
        <v>1</v>
      </c>
      <c r="G34" s="57">
        <v>1</v>
      </c>
      <c r="H34" s="42">
        <v>500</v>
      </c>
      <c r="I34" s="43">
        <f t="shared" si="0"/>
        <v>500</v>
      </c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>
      <c r="A35" s="3"/>
      <c r="B35" s="38"/>
      <c r="C35" s="48" t="s">
        <v>54</v>
      </c>
      <c r="D35" s="49" t="s">
        <v>46</v>
      </c>
      <c r="E35" s="41" t="s">
        <v>46</v>
      </c>
      <c r="F35" s="41">
        <v>40</v>
      </c>
      <c r="G35" s="57">
        <v>1</v>
      </c>
      <c r="H35" s="42">
        <v>36</v>
      </c>
      <c r="I35" s="43">
        <f t="shared" si="0"/>
        <v>1440</v>
      </c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>
      <c r="A36" s="3"/>
      <c r="B36" s="38"/>
      <c r="C36" s="48" t="s">
        <v>55</v>
      </c>
      <c r="D36" s="49" t="s">
        <v>46</v>
      </c>
      <c r="E36" s="41" t="s">
        <v>46</v>
      </c>
      <c r="F36" s="41">
        <v>122</v>
      </c>
      <c r="G36" s="57">
        <v>1</v>
      </c>
      <c r="H36" s="42">
        <v>10</v>
      </c>
      <c r="I36" s="43">
        <f t="shared" si="0"/>
        <v>1220</v>
      </c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>
      <c r="A37" s="3"/>
      <c r="B37" s="38"/>
      <c r="C37" s="48" t="s">
        <v>56</v>
      </c>
      <c r="D37" s="49" t="s">
        <v>57</v>
      </c>
      <c r="E37" s="41" t="s">
        <v>57</v>
      </c>
      <c r="F37" s="41">
        <v>1</v>
      </c>
      <c r="G37" s="57">
        <v>1</v>
      </c>
      <c r="H37" s="42">
        <v>300</v>
      </c>
      <c r="I37" s="43">
        <f t="shared" si="0"/>
        <v>300</v>
      </c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>
      <c r="A38" s="3"/>
      <c r="B38" s="58" t="s">
        <v>58</v>
      </c>
      <c r="C38" s="70" t="s">
        <v>59</v>
      </c>
      <c r="D38" s="71"/>
      <c r="E38" s="61"/>
      <c r="F38" s="61"/>
      <c r="G38" s="62"/>
      <c r="H38" s="63"/>
      <c r="I38" s="43">
        <f t="shared" si="0"/>
        <v>0</v>
      </c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>
      <c r="A39" s="3"/>
      <c r="B39" s="38"/>
      <c r="C39" s="48" t="s">
        <v>60</v>
      </c>
      <c r="D39" s="49" t="s">
        <v>48</v>
      </c>
      <c r="E39" s="41" t="s">
        <v>48</v>
      </c>
      <c r="F39" s="41">
        <v>2</v>
      </c>
      <c r="G39" s="57">
        <v>1</v>
      </c>
      <c r="H39" s="42">
        <v>44</v>
      </c>
      <c r="I39" s="43">
        <f t="shared" si="0"/>
        <v>88</v>
      </c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>
      <c r="A40" s="3"/>
      <c r="B40" s="38"/>
      <c r="C40" s="48" t="s">
        <v>61</v>
      </c>
      <c r="D40" s="49" t="s">
        <v>48</v>
      </c>
      <c r="E40" s="41" t="s">
        <v>48</v>
      </c>
      <c r="F40" s="41">
        <v>2</v>
      </c>
      <c r="G40" s="57">
        <v>1</v>
      </c>
      <c r="H40" s="42">
        <v>200</v>
      </c>
      <c r="I40" s="43">
        <f t="shared" si="0"/>
        <v>400</v>
      </c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>
      <c r="A41" s="3"/>
      <c r="B41" s="38"/>
      <c r="C41" s="48" t="s">
        <v>62</v>
      </c>
      <c r="D41" s="49" t="s">
        <v>48</v>
      </c>
      <c r="E41" s="41" t="s">
        <v>48</v>
      </c>
      <c r="F41" s="41"/>
      <c r="G41" s="57"/>
      <c r="H41" s="42">
        <v>35</v>
      </c>
      <c r="I41" s="43">
        <f t="shared" si="0"/>
        <v>0</v>
      </c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>
      <c r="A42" s="3"/>
      <c r="B42" s="38"/>
      <c r="C42" s="48" t="s">
        <v>53</v>
      </c>
      <c r="D42" s="49" t="s">
        <v>57</v>
      </c>
      <c r="E42" s="41" t="s">
        <v>57</v>
      </c>
      <c r="F42" s="41">
        <v>1</v>
      </c>
      <c r="G42" s="57">
        <v>1</v>
      </c>
      <c r="H42" s="42">
        <v>1500</v>
      </c>
      <c r="I42" s="43">
        <f t="shared" si="0"/>
        <v>1500</v>
      </c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>
      <c r="A43" s="3"/>
      <c r="B43" s="38"/>
      <c r="C43" s="48" t="s">
        <v>63</v>
      </c>
      <c r="D43" s="49" t="s">
        <v>46</v>
      </c>
      <c r="E43" s="41" t="s">
        <v>46</v>
      </c>
      <c r="F43" s="41">
        <v>39</v>
      </c>
      <c r="G43" s="57">
        <v>1</v>
      </c>
      <c r="H43" s="42">
        <v>36</v>
      </c>
      <c r="I43" s="43">
        <f t="shared" si="0"/>
        <v>1404</v>
      </c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>
      <c r="A44" s="3"/>
      <c r="B44" s="38"/>
      <c r="C44" s="48" t="s">
        <v>64</v>
      </c>
      <c r="D44" s="49" t="s">
        <v>57</v>
      </c>
      <c r="E44" s="41" t="s">
        <v>57</v>
      </c>
      <c r="F44" s="41">
        <v>1</v>
      </c>
      <c r="G44" s="57">
        <v>1</v>
      </c>
      <c r="H44" s="42">
        <v>6500</v>
      </c>
      <c r="I44" s="43">
        <f t="shared" si="0"/>
        <v>6500</v>
      </c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>
      <c r="A45" s="3"/>
      <c r="B45" s="58" t="s">
        <v>65</v>
      </c>
      <c r="C45" s="70" t="s">
        <v>66</v>
      </c>
      <c r="D45" s="71"/>
      <c r="E45" s="61"/>
      <c r="F45" s="61"/>
      <c r="G45" s="62"/>
      <c r="H45" s="63"/>
      <c r="I45" s="43">
        <f t="shared" si="0"/>
        <v>0</v>
      </c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>
      <c r="A46" s="3"/>
      <c r="B46" s="38"/>
      <c r="C46" s="48" t="s">
        <v>67</v>
      </c>
      <c r="D46" s="49" t="s">
        <v>46</v>
      </c>
      <c r="E46" s="41" t="s">
        <v>46</v>
      </c>
      <c r="F46" s="41">
        <v>36</v>
      </c>
      <c r="G46" s="57">
        <v>1</v>
      </c>
      <c r="H46" s="42">
        <v>8.5</v>
      </c>
      <c r="I46" s="43">
        <f t="shared" si="0"/>
        <v>306</v>
      </c>
      <c r="J46" s="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>
      <c r="A47" s="3"/>
      <c r="B47" s="38"/>
      <c r="C47" s="48" t="s">
        <v>68</v>
      </c>
      <c r="D47" s="49" t="s">
        <v>48</v>
      </c>
      <c r="E47" s="41" t="s">
        <v>48</v>
      </c>
      <c r="F47" s="41">
        <v>1</v>
      </c>
      <c r="G47" s="57">
        <v>1</v>
      </c>
      <c r="H47" s="42">
        <v>2500</v>
      </c>
      <c r="I47" s="43">
        <f t="shared" si="0"/>
        <v>2500</v>
      </c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>
      <c r="A48" s="3"/>
      <c r="B48" s="38"/>
      <c r="C48" s="48" t="s">
        <v>69</v>
      </c>
      <c r="D48" s="49" t="s">
        <v>48</v>
      </c>
      <c r="E48" s="41" t="s">
        <v>48</v>
      </c>
      <c r="F48" s="41">
        <v>1</v>
      </c>
      <c r="G48" s="57">
        <v>1</v>
      </c>
      <c r="H48" s="42">
        <v>2500</v>
      </c>
      <c r="I48" s="43">
        <f t="shared" si="0"/>
        <v>2500</v>
      </c>
      <c r="J48" s="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>
      <c r="A49" s="3"/>
      <c r="B49" s="38"/>
      <c r="C49" s="48" t="s">
        <v>70</v>
      </c>
      <c r="D49" s="49" t="s">
        <v>48</v>
      </c>
      <c r="E49" s="41" t="s">
        <v>48</v>
      </c>
      <c r="F49" s="41">
        <v>1</v>
      </c>
      <c r="G49" s="57">
        <v>1</v>
      </c>
      <c r="H49" s="42">
        <v>1500</v>
      </c>
      <c r="I49" s="43">
        <f t="shared" si="0"/>
        <v>1500</v>
      </c>
      <c r="J49" s="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>
      <c r="A50" s="3"/>
      <c r="B50" s="38"/>
      <c r="C50" s="48" t="s">
        <v>71</v>
      </c>
      <c r="D50" s="49" t="s">
        <v>48</v>
      </c>
      <c r="E50" s="41" t="s">
        <v>48</v>
      </c>
      <c r="F50" s="41">
        <v>1</v>
      </c>
      <c r="G50" s="57">
        <v>1</v>
      </c>
      <c r="H50" s="42">
        <v>1500</v>
      </c>
      <c r="I50" s="43">
        <f t="shared" si="0"/>
        <v>1500</v>
      </c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>
      <c r="A51" s="3"/>
      <c r="B51" s="38"/>
      <c r="C51" s="48" t="s">
        <v>72</v>
      </c>
      <c r="D51" s="49" t="s">
        <v>57</v>
      </c>
      <c r="E51" s="41" t="s">
        <v>57</v>
      </c>
      <c r="F51" s="41">
        <v>1</v>
      </c>
      <c r="G51" s="57">
        <v>1</v>
      </c>
      <c r="H51" s="42">
        <v>1500</v>
      </c>
      <c r="I51" s="43">
        <f t="shared" si="0"/>
        <v>1500</v>
      </c>
      <c r="J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>
      <c r="A52" s="3"/>
      <c r="B52" s="58" t="s">
        <v>73</v>
      </c>
      <c r="C52" s="70" t="s">
        <v>74</v>
      </c>
      <c r="D52" s="71"/>
      <c r="E52" s="61"/>
      <c r="F52" s="61"/>
      <c r="G52" s="62"/>
      <c r="H52" s="63"/>
      <c r="I52" s="43">
        <f t="shared" si="0"/>
        <v>0</v>
      </c>
      <c r="J52" s="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>
      <c r="A53" s="3"/>
      <c r="B53" s="38"/>
      <c r="C53" s="48" t="s">
        <v>75</v>
      </c>
      <c r="D53" s="49" t="s">
        <v>46</v>
      </c>
      <c r="E53" s="41" t="s">
        <v>46</v>
      </c>
      <c r="F53" s="41">
        <v>53</v>
      </c>
      <c r="G53" s="57">
        <v>1</v>
      </c>
      <c r="H53" s="42">
        <v>12</v>
      </c>
      <c r="I53" s="43">
        <f t="shared" si="0"/>
        <v>636</v>
      </c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>
      <c r="A54" s="3"/>
      <c r="B54" s="38"/>
      <c r="C54" s="48" t="s">
        <v>76</v>
      </c>
      <c r="D54" s="49" t="s">
        <v>46</v>
      </c>
      <c r="E54" s="41" t="s">
        <v>46</v>
      </c>
      <c r="F54" s="41">
        <v>53</v>
      </c>
      <c r="G54" s="57">
        <v>1</v>
      </c>
      <c r="H54" s="42">
        <v>13</v>
      </c>
      <c r="I54" s="43">
        <f t="shared" si="0"/>
        <v>689</v>
      </c>
      <c r="J54" s="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>
      <c r="A55" s="3"/>
      <c r="B55" s="38"/>
      <c r="C55" s="48" t="s">
        <v>77</v>
      </c>
      <c r="D55" s="49" t="s">
        <v>46</v>
      </c>
      <c r="E55" s="41" t="s">
        <v>46</v>
      </c>
      <c r="F55" s="41">
        <v>37</v>
      </c>
      <c r="G55" s="57">
        <v>1</v>
      </c>
      <c r="H55" s="42">
        <v>14</v>
      </c>
      <c r="I55" s="43">
        <f t="shared" si="0"/>
        <v>518</v>
      </c>
      <c r="J55" s="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>
      <c r="A56" s="3"/>
      <c r="B56" s="38"/>
      <c r="C56" s="48" t="s">
        <v>78</v>
      </c>
      <c r="D56" s="49" t="s">
        <v>46</v>
      </c>
      <c r="E56" s="41" t="s">
        <v>46</v>
      </c>
      <c r="F56" s="41">
        <v>37</v>
      </c>
      <c r="G56" s="57">
        <v>1</v>
      </c>
      <c r="H56" s="42">
        <v>17</v>
      </c>
      <c r="I56" s="43">
        <f t="shared" si="0"/>
        <v>629</v>
      </c>
      <c r="J56" s="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75" customHeight="1">
      <c r="A57" s="3"/>
      <c r="B57" s="38"/>
      <c r="C57" s="48" t="s">
        <v>79</v>
      </c>
      <c r="D57" s="49" t="s">
        <v>46</v>
      </c>
      <c r="E57" s="41" t="s">
        <v>46</v>
      </c>
      <c r="F57" s="41">
        <v>37</v>
      </c>
      <c r="G57" s="57">
        <v>1</v>
      </c>
      <c r="H57" s="42">
        <v>20</v>
      </c>
      <c r="I57" s="43">
        <f t="shared" si="0"/>
        <v>740</v>
      </c>
      <c r="J57" s="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>
      <c r="A58" s="3"/>
      <c r="B58" s="38"/>
      <c r="C58" s="48" t="s">
        <v>80</v>
      </c>
      <c r="D58" s="49" t="s">
        <v>46</v>
      </c>
      <c r="E58" s="41" t="s">
        <v>46</v>
      </c>
      <c r="F58" s="41">
        <v>53</v>
      </c>
      <c r="G58" s="57">
        <v>1</v>
      </c>
      <c r="H58" s="42">
        <v>20</v>
      </c>
      <c r="I58" s="43">
        <f t="shared" si="0"/>
        <v>1060</v>
      </c>
      <c r="J58" s="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75" customHeight="1">
      <c r="A59" s="3"/>
      <c r="B59" s="38"/>
      <c r="C59" s="48" t="s">
        <v>81</v>
      </c>
      <c r="D59" s="49" t="s">
        <v>57</v>
      </c>
      <c r="E59" s="41" t="s">
        <v>57</v>
      </c>
      <c r="F59" s="41">
        <v>6</v>
      </c>
      <c r="G59" s="57">
        <v>1</v>
      </c>
      <c r="H59" s="42">
        <v>75</v>
      </c>
      <c r="I59" s="43">
        <f t="shared" si="0"/>
        <v>450</v>
      </c>
      <c r="J59" s="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>
      <c r="A60" s="3"/>
      <c r="B60" s="38"/>
      <c r="C60" s="48" t="s">
        <v>82</v>
      </c>
      <c r="D60" s="49" t="s">
        <v>57</v>
      </c>
      <c r="E60" s="41" t="s">
        <v>57</v>
      </c>
      <c r="F60" s="41">
        <v>0</v>
      </c>
      <c r="G60" s="57"/>
      <c r="H60" s="42">
        <v>90</v>
      </c>
      <c r="I60" s="43">
        <f t="shared" si="0"/>
        <v>0</v>
      </c>
      <c r="J60" s="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.75" customHeight="1">
      <c r="A61" s="3"/>
      <c r="B61" s="38"/>
      <c r="C61" s="48" t="s">
        <v>83</v>
      </c>
      <c r="D61" s="49" t="s">
        <v>57</v>
      </c>
      <c r="E61" s="41" t="s">
        <v>57</v>
      </c>
      <c r="F61" s="41">
        <v>1</v>
      </c>
      <c r="G61" s="57">
        <v>1</v>
      </c>
      <c r="H61" s="42">
        <v>250</v>
      </c>
      <c r="I61" s="43">
        <f t="shared" si="0"/>
        <v>250</v>
      </c>
      <c r="J61" s="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>
      <c r="A62" s="3"/>
      <c r="B62" s="38"/>
      <c r="C62" s="48" t="s">
        <v>84</v>
      </c>
      <c r="D62" s="49" t="s">
        <v>38</v>
      </c>
      <c r="E62" s="41" t="s">
        <v>38</v>
      </c>
      <c r="F62" s="41">
        <v>1.95</v>
      </c>
      <c r="G62" s="57">
        <v>1</v>
      </c>
      <c r="H62" s="42">
        <v>350</v>
      </c>
      <c r="I62" s="43">
        <f t="shared" si="0"/>
        <v>682.5</v>
      </c>
      <c r="J62" s="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.75" customHeight="1">
      <c r="A63" s="3"/>
      <c r="B63" s="58" t="s">
        <v>85</v>
      </c>
      <c r="C63" s="70" t="s">
        <v>86</v>
      </c>
      <c r="D63" s="71"/>
      <c r="E63" s="61"/>
      <c r="F63" s="61"/>
      <c r="G63" s="62"/>
      <c r="H63" s="63"/>
      <c r="I63" s="43">
        <f t="shared" si="0"/>
        <v>0</v>
      </c>
      <c r="J63" s="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>
      <c r="A64" s="3"/>
      <c r="B64" s="38"/>
      <c r="C64" s="48" t="s">
        <v>78</v>
      </c>
      <c r="D64" s="49" t="s">
        <v>46</v>
      </c>
      <c r="E64" s="41" t="s">
        <v>46</v>
      </c>
      <c r="F64" s="41">
        <v>15</v>
      </c>
      <c r="G64" s="57">
        <v>1</v>
      </c>
      <c r="H64" s="42">
        <v>17</v>
      </c>
      <c r="I64" s="43">
        <f t="shared" si="0"/>
        <v>255</v>
      </c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.75" customHeight="1">
      <c r="A65" s="3"/>
      <c r="B65" s="38"/>
      <c r="C65" s="48" t="s">
        <v>87</v>
      </c>
      <c r="D65" s="49" t="s">
        <v>46</v>
      </c>
      <c r="E65" s="41" t="s">
        <v>46</v>
      </c>
      <c r="F65" s="41">
        <v>60</v>
      </c>
      <c r="G65" s="57">
        <v>1</v>
      </c>
      <c r="H65" s="42">
        <v>3.5</v>
      </c>
      <c r="I65" s="43">
        <f t="shared" si="0"/>
        <v>210</v>
      </c>
      <c r="J65" s="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75" customHeight="1">
      <c r="A66" s="3"/>
      <c r="B66" s="38" t="s">
        <v>88</v>
      </c>
      <c r="C66" s="48" t="s">
        <v>89</v>
      </c>
      <c r="D66" s="49" t="s">
        <v>48</v>
      </c>
      <c r="E66" s="41" t="s">
        <v>48</v>
      </c>
      <c r="F66" s="41">
        <v>2</v>
      </c>
      <c r="G66" s="57">
        <v>1</v>
      </c>
      <c r="H66" s="42">
        <v>150</v>
      </c>
      <c r="I66" s="43">
        <f t="shared" si="0"/>
        <v>300</v>
      </c>
      <c r="J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.75" customHeight="1">
      <c r="A67" s="3"/>
      <c r="B67" s="38" t="s">
        <v>90</v>
      </c>
      <c r="C67" s="48" t="s">
        <v>91</v>
      </c>
      <c r="D67" s="49" t="s">
        <v>57</v>
      </c>
      <c r="E67" s="41" t="s">
        <v>57</v>
      </c>
      <c r="F67" s="41">
        <v>11</v>
      </c>
      <c r="G67" s="57">
        <v>1</v>
      </c>
      <c r="H67" s="42">
        <v>50</v>
      </c>
      <c r="I67" s="43">
        <f t="shared" si="0"/>
        <v>550</v>
      </c>
      <c r="J67" s="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>
      <c r="A68" s="3"/>
      <c r="B68" s="72" t="s">
        <v>92</v>
      </c>
      <c r="C68" s="70" t="s">
        <v>93</v>
      </c>
      <c r="D68" s="71"/>
      <c r="E68" s="61"/>
      <c r="F68" s="73"/>
      <c r="G68" s="62"/>
      <c r="H68" s="63"/>
      <c r="I68" s="43">
        <f t="shared" si="0"/>
        <v>0</v>
      </c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.75" customHeight="1" thickBot="1">
      <c r="A69" s="3"/>
      <c r="B69" s="44" t="s">
        <v>94</v>
      </c>
      <c r="C69" s="56" t="s">
        <v>96</v>
      </c>
      <c r="D69" s="45"/>
      <c r="E69" s="41" t="s">
        <v>38</v>
      </c>
      <c r="F69" s="41">
        <v>455</v>
      </c>
      <c r="G69" s="57">
        <v>0.5</v>
      </c>
      <c r="H69" s="52">
        <v>55</v>
      </c>
      <c r="I69" s="43">
        <f t="shared" si="0"/>
        <v>12512.5</v>
      </c>
      <c r="J69" s="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9.25" customHeight="1" thickBot="1">
      <c r="A70" s="1"/>
      <c r="B70" s="1"/>
      <c r="C70" s="8"/>
      <c r="D70" s="8"/>
      <c r="E70" s="8"/>
      <c r="F70" s="5"/>
      <c r="G70" s="3"/>
      <c r="H70" s="53" t="s">
        <v>6</v>
      </c>
      <c r="I70" s="51">
        <f>SUM(I18:I69)</f>
        <v>73510</v>
      </c>
      <c r="J70" s="1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6" ht="15" thickBot="1">
      <c r="A71" s="1"/>
      <c r="B71" s="1"/>
      <c r="C71" s="1"/>
      <c r="D71" s="1"/>
      <c r="E71" s="1"/>
      <c r="F71" s="3"/>
      <c r="G71" s="1"/>
      <c r="H71" s="16" t="s">
        <v>7</v>
      </c>
      <c r="I71" s="17">
        <v>0.2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6" ht="29.25" customHeight="1" thickBot="1">
      <c r="A72" s="1"/>
      <c r="B72" s="1"/>
      <c r="C72" s="1"/>
      <c r="D72" s="1"/>
      <c r="E72" s="1"/>
      <c r="F72" s="3"/>
      <c r="G72" s="3"/>
      <c r="H72" s="53" t="s">
        <v>8</v>
      </c>
      <c r="I72" s="54">
        <f>I70*(1+I71)</f>
        <v>88212</v>
      </c>
      <c r="J72" s="1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6" ht="14.25">
      <c r="A73" s="1"/>
      <c r="B73" s="15"/>
      <c r="C73" s="1"/>
      <c r="D73" s="1"/>
      <c r="E73" s="1"/>
      <c r="F73" s="1"/>
      <c r="G73" s="31"/>
      <c r="H73" s="5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6" ht="13.5" thickBot="1">
      <c r="A74" s="1"/>
      <c r="B74" s="81"/>
      <c r="C74" s="81"/>
      <c r="D74" s="81"/>
      <c r="E74" s="81"/>
      <c r="F74" s="81"/>
      <c r="G74" s="81"/>
      <c r="H74" s="81"/>
      <c r="I74" s="1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6" ht="12.75">
      <c r="A75" s="3"/>
      <c r="B75" s="88" t="s">
        <v>98</v>
      </c>
      <c r="C75" s="89"/>
      <c r="D75" s="89"/>
      <c r="E75" s="89"/>
      <c r="F75" s="89"/>
      <c r="G75" s="89"/>
      <c r="H75" s="89"/>
      <c r="I75" s="90"/>
      <c r="J75" s="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6" ht="12.75">
      <c r="A76" s="3"/>
      <c r="B76" s="92" t="s">
        <v>99</v>
      </c>
      <c r="C76" s="83"/>
      <c r="D76" s="83"/>
      <c r="E76" s="83"/>
      <c r="F76" s="83"/>
      <c r="G76" s="83"/>
      <c r="H76" s="83"/>
      <c r="I76" s="84"/>
      <c r="J76" s="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6" ht="12.75">
      <c r="A77" s="3"/>
      <c r="B77" s="82"/>
      <c r="C77" s="83"/>
      <c r="D77" s="83"/>
      <c r="E77" s="83"/>
      <c r="F77" s="83"/>
      <c r="G77" s="83"/>
      <c r="H77" s="83"/>
      <c r="I77" s="84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 ht="12.75">
      <c r="A78" s="3"/>
      <c r="B78" s="82"/>
      <c r="C78" s="83"/>
      <c r="D78" s="83"/>
      <c r="E78" s="83"/>
      <c r="F78" s="83"/>
      <c r="G78" s="83"/>
      <c r="H78" s="83"/>
      <c r="I78" s="84"/>
      <c r="J78" s="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6" ht="12.75">
      <c r="A79" s="3"/>
      <c r="B79" s="82"/>
      <c r="C79" s="83"/>
      <c r="D79" s="83"/>
      <c r="E79" s="83"/>
      <c r="F79" s="83"/>
      <c r="G79" s="83"/>
      <c r="H79" s="83"/>
      <c r="I79" s="84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6" ht="13.5" thickBot="1">
      <c r="A80" s="3"/>
      <c r="B80" s="85"/>
      <c r="C80" s="86"/>
      <c r="D80" s="86"/>
      <c r="E80" s="86"/>
      <c r="F80" s="86"/>
      <c r="G80" s="86"/>
      <c r="H80" s="86"/>
      <c r="I80" s="87"/>
      <c r="J80" s="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2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2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12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12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12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12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2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2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12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12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ht="12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ht="12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ht="12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ht="12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ht="12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ht="12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ht="12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</sheetData>
  <mergeCells count="71">
    <mergeCell ref="C68:D68"/>
    <mergeCell ref="C69:D69"/>
    <mergeCell ref="F4:H4"/>
    <mergeCell ref="B76:I80"/>
    <mergeCell ref="B75:I75"/>
    <mergeCell ref="C63:D63"/>
    <mergeCell ref="C64:D64"/>
    <mergeCell ref="C65:D65"/>
    <mergeCell ref="C66:D66"/>
    <mergeCell ref="C67:D67"/>
    <mergeCell ref="C58:D58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F2:H2"/>
    <mergeCell ref="F3:H3"/>
    <mergeCell ref="F13:H13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G73:H73"/>
    <mergeCell ref="C27:D27"/>
    <mergeCell ref="C28:D28"/>
    <mergeCell ref="C29:D29"/>
    <mergeCell ref="C30:D30"/>
    <mergeCell ref="C31:D31"/>
    <mergeCell ref="C32:D32"/>
    <mergeCell ref="F12:H12"/>
    <mergeCell ref="B17:D17"/>
    <mergeCell ref="B7:D7"/>
    <mergeCell ref="F8:H8"/>
    <mergeCell ref="F9:H9"/>
    <mergeCell ref="F10:H10"/>
    <mergeCell ref="F11:H11"/>
    <mergeCell ref="B2:D2"/>
    <mergeCell ref="B3:D3"/>
    <mergeCell ref="B4:D4"/>
    <mergeCell ref="B5:D5"/>
    <mergeCell ref="B6:D6"/>
  </mergeCells>
  <conditionalFormatting sqref="I18">
    <cfRule type="cellIs" dxfId="1" priority="1" operator="equal">
      <formula>0</formula>
    </cfRule>
  </conditionalFormatting>
  <conditionalFormatting sqref="I19:I69"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Modèle Facture Micro-entreprene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Näthan</dc:creator>
  <cp:lastModifiedBy>Näthan</cp:lastModifiedBy>
  <dcterms:created xsi:type="dcterms:W3CDTF">2022-11-17T10:59:45Z</dcterms:created>
  <dcterms:modified xsi:type="dcterms:W3CDTF">2022-11-17T13:48:52Z</dcterms:modified>
</cp:coreProperties>
</file>