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pa365-my.sharepoint.com/personal/1500716_afpa_fr/Documents/FREECOM HDD/Documents/PROGRAMME MODULAIRE CDTX TP/2 CONDUIRE UN CHANTIER/Chantiers étudiés/MAIRIE DE NOE/"/>
    </mc:Choice>
  </mc:AlternateContent>
  <xr:revisionPtr revIDLastSave="408" documentId="8_{F36F83C9-8D59-48E3-984F-8471697AB78F}" xr6:coauthVersionLast="45" xr6:coauthVersionMax="45" xr10:uidLastSave="{E2799EB1-7BF3-4600-94A5-8C0287B9A2B6}"/>
  <bookViews>
    <workbookView xWindow="-108" yWindow="-108" windowWidth="23256" windowHeight="12576" xr2:uid="{1353194B-37A3-4381-B6B1-5FFC9171B9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4" i="1"/>
  <c r="G25" i="1"/>
  <c r="G28" i="1"/>
  <c r="G29" i="1"/>
  <c r="G31" i="1"/>
  <c r="G32" i="1"/>
  <c r="G33" i="1"/>
  <c r="G34" i="1"/>
  <c r="G35" i="1"/>
  <c r="G36" i="1"/>
  <c r="G38" i="1"/>
  <c r="G39" i="1"/>
  <c r="G41" i="1"/>
  <c r="G42" i="1"/>
  <c r="G43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3" i="1"/>
  <c r="G64" i="1"/>
  <c r="G65" i="1"/>
  <c r="G66" i="1"/>
  <c r="G69" i="1"/>
  <c r="G70" i="1"/>
  <c r="G71" i="1"/>
  <c r="G72" i="1"/>
  <c r="G74" i="1"/>
  <c r="G75" i="1"/>
  <c r="G76" i="1"/>
  <c r="G77" i="1"/>
  <c r="G78" i="1"/>
  <c r="G80" i="1"/>
  <c r="G81" i="1"/>
  <c r="G82" i="1"/>
  <c r="G83" i="1"/>
  <c r="G84" i="1"/>
  <c r="G85" i="1"/>
  <c r="G86" i="1"/>
  <c r="G87" i="1"/>
  <c r="G16" i="1"/>
  <c r="G91" i="1" l="1"/>
  <c r="G92" i="1" s="1"/>
  <c r="G93" i="1" s="1"/>
</calcChain>
</file>

<file path=xl/sharedStrings.xml><?xml version="1.0" encoding="utf-8"?>
<sst xmlns="http://schemas.openxmlformats.org/spreadsheetml/2006/main" count="182" uniqueCount="128">
  <si>
    <t>ml</t>
  </si>
  <si>
    <t>m²</t>
  </si>
  <si>
    <t>u</t>
  </si>
  <si>
    <t>Caniveaux avec grilles fonte</t>
  </si>
  <si>
    <t>Regard de visite 50cm x 50cm avec tampon fonte</t>
  </si>
  <si>
    <t>Remplacement avaloir par regard à grille fonte</t>
  </si>
  <si>
    <t>ens</t>
  </si>
  <si>
    <t>Regards béton 50cm x 50cm</t>
  </si>
  <si>
    <t>Regards de tringlage 40cm x 40cm</t>
  </si>
  <si>
    <t>Bac dégraisseur</t>
  </si>
  <si>
    <t>Réseaux Eau Potable</t>
  </si>
  <si>
    <t>Canalisations posée en tranchée compris enrobage sable et grillage avertisseur</t>
  </si>
  <si>
    <t>Regard de comptage</t>
  </si>
  <si>
    <t>Disconnecteur</t>
  </si>
  <si>
    <t>Limiteur de pression</t>
  </si>
  <si>
    <t>Compteur d'eau</t>
  </si>
  <si>
    <t>Raccordement sur réseau existant</t>
  </si>
  <si>
    <t>Fourreaux TPC Ø40 posée en tranchée compris enrobage sable, grillage avertisseur et remblais</t>
  </si>
  <si>
    <t>Fourreaux TPC Ø63 posée en tranchée compris enrobage sable, grillage avertisseur et remblais</t>
  </si>
  <si>
    <t>Fourreaux TPC Ø90 posée en tranchée compris enrobage sable, grillage avertisseur et remblais</t>
  </si>
  <si>
    <t>Fourreaux TPC Ø110 posée en tranchée compris enrobage sable, grillage avertisseur et remblais</t>
  </si>
  <si>
    <t>Fourreaux TPC Ø160 posée en tranchée compris enrobage sable, grillage avertisseur et remblais</t>
  </si>
  <si>
    <t>Fourreaux TPC Ø42/45 posée en tranchée compris enrobage sable, grillage avertisseur et remblais</t>
  </si>
  <si>
    <t>Chambres de tirage L1T</t>
  </si>
  <si>
    <t>Chambres de tirage L2T</t>
  </si>
  <si>
    <t>Coffret type S200</t>
  </si>
  <si>
    <t>Muret paysager</t>
  </si>
  <si>
    <t>Réseaux d'éclairage extérieure</t>
  </si>
  <si>
    <t>Câlette de terre</t>
  </si>
  <si>
    <t>Fondations superficielles pour mats et bornes d'éclairage</t>
  </si>
  <si>
    <t>Rehausses pour regards et chambres de tirage</t>
  </si>
  <si>
    <t>Bordure T2</t>
  </si>
  <si>
    <t>Bordure P2</t>
  </si>
  <si>
    <t>Bordure CS2</t>
  </si>
  <si>
    <t>Bordure CC2</t>
  </si>
  <si>
    <t>Voirie circulable et cheminements pieton</t>
  </si>
  <si>
    <t>Cheminement pieton en béton (Trottoirs et allées d'entrée)</t>
  </si>
  <si>
    <t>Espaces verts</t>
  </si>
  <si>
    <t>Nettoyage des surfaces a planter et a engazonner</t>
  </si>
  <si>
    <t>Mise en place de la terre  végétale</t>
  </si>
  <si>
    <t>Engazonnement</t>
  </si>
  <si>
    <t>Semis</t>
  </si>
  <si>
    <t>pm</t>
  </si>
  <si>
    <t>Hersage</t>
  </si>
  <si>
    <t>Roulage</t>
  </si>
  <si>
    <t>Mise en place d'un arbre</t>
  </si>
  <si>
    <t>Voirie circulable - Couche de roulement en enrobé</t>
  </si>
  <si>
    <t>m³</t>
  </si>
  <si>
    <t>Bordures et caniveaux BETON</t>
  </si>
  <si>
    <t>3.5</t>
  </si>
  <si>
    <t>3.5.1</t>
  </si>
  <si>
    <t>3.5.2</t>
  </si>
  <si>
    <t>3.5.2.1</t>
  </si>
  <si>
    <t>3.5.2.3</t>
  </si>
  <si>
    <t>3.5.3</t>
  </si>
  <si>
    <t xml:space="preserve">Apport de matériaux </t>
  </si>
  <si>
    <t>3.5.4</t>
  </si>
  <si>
    <t>3.6</t>
  </si>
  <si>
    <t>3.6.1</t>
  </si>
  <si>
    <t>3.6.2</t>
  </si>
  <si>
    <t>3.6.3</t>
  </si>
  <si>
    <t>Terre végétale</t>
  </si>
  <si>
    <t>3.6.3.1</t>
  </si>
  <si>
    <t>3.6.3.2</t>
  </si>
  <si>
    <t>3.6.3.3</t>
  </si>
  <si>
    <t>3.6.3.4</t>
  </si>
  <si>
    <t>3.6.4</t>
  </si>
  <si>
    <t>Zone podotactile</t>
  </si>
  <si>
    <t>3.4.5</t>
  </si>
  <si>
    <t>Réseaux courants forts et courants faibles (électricité-Télécom)</t>
  </si>
  <si>
    <t>3.4.6</t>
  </si>
  <si>
    <t>3.4.7</t>
  </si>
  <si>
    <t>3.4.8</t>
  </si>
  <si>
    <t>Voirie</t>
  </si>
  <si>
    <t>3.5.2.2</t>
  </si>
  <si>
    <t>Voirie circulable - Couche de fondation ET DE BASE</t>
  </si>
  <si>
    <t>3.4.4</t>
  </si>
  <si>
    <t>Réseaux Eaux Usées/Eaux Vannes</t>
  </si>
  <si>
    <t>3.4.3</t>
  </si>
  <si>
    <t>Tampons fonte hermétiques</t>
  </si>
  <si>
    <t>Regard de visite et de branchement avec tampon fonte D1000 mm</t>
  </si>
  <si>
    <t>Canalisations eaux usées minimum D200 posée en tranchée compris lit de sable, grillage avertisseur et remblai grain de riz</t>
  </si>
  <si>
    <t>Drain</t>
  </si>
  <si>
    <t>Canalisations PVC minimum D200 posée en tranchée compris lit de sable, grillage avertisseur et remblai grain de riz</t>
  </si>
  <si>
    <t>3.4.2</t>
  </si>
  <si>
    <t>RESEAU EAUX PLUVIALES</t>
  </si>
  <si>
    <t>Terrassements en tranchée</t>
  </si>
  <si>
    <t>Terrassements en fouille</t>
  </si>
  <si>
    <t>TERRASSEMENTS EN TRANCHEE ET EN FOUILLE</t>
  </si>
  <si>
    <t>3.4.1</t>
  </si>
  <si>
    <t>3.4</t>
  </si>
  <si>
    <t>TRAVAUX DE RESEAUX DIVERS</t>
  </si>
  <si>
    <t>3.3.3</t>
  </si>
  <si>
    <t>Terrassement en pleine masse,mise à niveau et modelage de terres</t>
  </si>
  <si>
    <t>3.3.2</t>
  </si>
  <si>
    <t>Terrassement Terre Végétale</t>
  </si>
  <si>
    <t>3.3.1</t>
  </si>
  <si>
    <t>Hypothèse</t>
  </si>
  <si>
    <t>3.3</t>
  </si>
  <si>
    <t>TERRASSEMENT GENERAUX</t>
  </si>
  <si>
    <t>DESCRIPTION DES TRAVAUX</t>
  </si>
  <si>
    <t>3.1</t>
  </si>
  <si>
    <t>LIMITES DE PRESTATIONS</t>
  </si>
  <si>
    <t>ft</t>
  </si>
  <si>
    <t>3.2</t>
  </si>
  <si>
    <t>TRAVAUX PREPARATOIRES</t>
  </si>
  <si>
    <t>3.2.1</t>
  </si>
  <si>
    <t>Installation de chantier</t>
  </si>
  <si>
    <t>3.2.2</t>
  </si>
  <si>
    <t>Etudes techniques</t>
  </si>
  <si>
    <t>3.2.3</t>
  </si>
  <si>
    <t>Dossier des ouvrages executés (DOE)</t>
  </si>
  <si>
    <t>3.2.4</t>
  </si>
  <si>
    <t>Relevés</t>
  </si>
  <si>
    <t>Unité</t>
  </si>
  <si>
    <t>Qté MOE</t>
  </si>
  <si>
    <t>Qté Entreprise</t>
  </si>
  <si>
    <t>Prix  unitaire € HT</t>
  </si>
  <si>
    <t>Prix total € HT</t>
  </si>
  <si>
    <t>Désignations</t>
  </si>
  <si>
    <t>PRIX TOTAL € HT</t>
  </si>
  <si>
    <t>MONTANT TVA 20%</t>
  </si>
  <si>
    <t>PRIX TOTAL € TTC</t>
  </si>
  <si>
    <t>C.D.P.G.F.</t>
  </si>
  <si>
    <t>V.R.D.</t>
  </si>
  <si>
    <t>LOT 1 BIS</t>
  </si>
  <si>
    <t>CONSTRUCTION D'UN RESTAURANT SCOLAIRE A NOE</t>
  </si>
  <si>
    <t>Ville de Noé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</si>
</sst>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64" fontId="2" fillId="0" borderId="7" xfId="1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6" fillId="0" borderId="4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2" fillId="0" borderId="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64" fontId="2" fillId="0" borderId="6" xfId="0" applyNumberFormat="1" applyFont="1" applyBorder="1"/>
    <xf numFmtId="164" fontId="2" fillId="0" borderId="17" xfId="0" applyNumberFormat="1" applyFont="1" applyBorder="1"/>
    <xf numFmtId="164" fontId="2" fillId="0" borderId="2" xfId="0" applyNumberFormat="1" applyFont="1" applyBorder="1"/>
    <xf numFmtId="164" fontId="0" fillId="0" borderId="1" xfId="0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731520</xdr:colOff>
      <xdr:row>0</xdr:row>
      <xdr:rowOff>53340</xdr:rowOff>
    </xdr:from>
    <xdr:to>
      <xdr:col>6</xdr:col>
      <xdr:colOff>277211</xdr:colOff>
      <xdr:row>4</xdr:row>
      <xdr:rowOff>167640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6562FA9-80B2-4980-9CC1-C0C7B18E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1480" y="53340"/>
          <a:ext cx="612491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5032-F73A-4BAC-B804-C9B95A577ACD}">
  <dimension ref="A1:G93"/>
  <sheetViews>
    <sheetView tabSelected="1" topLeftCell="A81" workbookViewId="0">
      <selection activeCell="J80" sqref="J80"/>
    </sheetView>
  </sheetViews>
  <sheetFormatPr baseColWidth="10" defaultRowHeight="14.4" x14ac:dyDescent="0.3"/>
  <cols>
    <col min="2" max="2" width="66.77734375" customWidth="1"/>
    <col min="3" max="3" width="8" customWidth="1"/>
    <col min="4" max="4" width="10.21875" customWidth="1"/>
    <col min="5" max="5" width="9.88671875" customWidth="1"/>
    <col min="6" max="6" width="15.5546875" bestFit="1" customWidth="1"/>
    <col min="7" max="7" width="12.77734375" bestFit="1" customWidth="1"/>
  </cols>
  <sheetData>
    <row r="1" spans="1:7" x14ac:dyDescent="0.3">
      <c r="A1" s="54" t="s">
        <v>127</v>
      </c>
      <c r="B1" s="55"/>
      <c r="C1" s="55"/>
      <c r="D1" s="55"/>
      <c r="E1" s="56"/>
      <c r="F1" s="34"/>
      <c r="G1" s="35"/>
    </row>
    <row r="2" spans="1:7" x14ac:dyDescent="0.3">
      <c r="A2" s="57"/>
      <c r="B2" s="58"/>
      <c r="C2" s="58"/>
      <c r="D2" s="58"/>
      <c r="E2" s="59"/>
      <c r="F2" s="33"/>
      <c r="G2" s="44"/>
    </row>
    <row r="3" spans="1:7" x14ac:dyDescent="0.3">
      <c r="A3" s="57"/>
      <c r="B3" s="58"/>
      <c r="C3" s="58"/>
      <c r="D3" s="58"/>
      <c r="E3" s="59"/>
      <c r="F3" s="33"/>
      <c r="G3" s="44"/>
    </row>
    <row r="4" spans="1:7" x14ac:dyDescent="0.3">
      <c r="A4" s="57"/>
      <c r="B4" s="58"/>
      <c r="C4" s="58"/>
      <c r="D4" s="58"/>
      <c r="E4" s="59"/>
      <c r="F4" s="33"/>
      <c r="G4" s="44"/>
    </row>
    <row r="5" spans="1:7" ht="15" thickBot="1" x14ac:dyDescent="0.35">
      <c r="A5" s="60"/>
      <c r="B5" s="61"/>
      <c r="C5" s="61"/>
      <c r="D5" s="61"/>
      <c r="E5" s="62"/>
      <c r="F5" s="36"/>
      <c r="G5" s="37"/>
    </row>
    <row r="6" spans="1:7" x14ac:dyDescent="0.3">
      <c r="A6" s="27" t="s">
        <v>123</v>
      </c>
      <c r="B6" s="28"/>
      <c r="C6" s="45" t="s">
        <v>126</v>
      </c>
      <c r="D6" s="46"/>
      <c r="E6" s="46"/>
      <c r="F6" s="46"/>
      <c r="G6" s="47"/>
    </row>
    <row r="7" spans="1:7" x14ac:dyDescent="0.3">
      <c r="A7" s="29"/>
      <c r="B7" s="30"/>
      <c r="C7" s="48"/>
      <c r="D7" s="49"/>
      <c r="E7" s="49"/>
      <c r="F7" s="49"/>
      <c r="G7" s="50"/>
    </row>
    <row r="8" spans="1:7" ht="15" thickBot="1" x14ac:dyDescent="0.35">
      <c r="A8" s="29"/>
      <c r="B8" s="30"/>
      <c r="C8" s="51"/>
      <c r="D8" s="52"/>
      <c r="E8" s="52"/>
      <c r="F8" s="52"/>
      <c r="G8" s="53"/>
    </row>
    <row r="9" spans="1:7" x14ac:dyDescent="0.3">
      <c r="A9" s="29"/>
      <c r="B9" s="30"/>
      <c r="C9" s="38" t="s">
        <v>125</v>
      </c>
      <c r="D9" s="42"/>
      <c r="E9" s="39"/>
      <c r="F9" s="38" t="s">
        <v>124</v>
      </c>
      <c r="G9" s="39"/>
    </row>
    <row r="10" spans="1:7" ht="15" thickBot="1" x14ac:dyDescent="0.35">
      <c r="A10" s="31"/>
      <c r="B10" s="32"/>
      <c r="C10" s="40"/>
      <c r="D10" s="43"/>
      <c r="E10" s="41"/>
      <c r="F10" s="40"/>
      <c r="G10" s="41"/>
    </row>
    <row r="12" spans="1:7" ht="15" thickBot="1" x14ac:dyDescent="0.35"/>
    <row r="13" spans="1:7" ht="28.2" customHeight="1" x14ac:dyDescent="0.3">
      <c r="A13" s="3" t="s">
        <v>119</v>
      </c>
      <c r="B13" s="4"/>
      <c r="C13" s="5" t="s">
        <v>114</v>
      </c>
      <c r="D13" s="5" t="s">
        <v>115</v>
      </c>
      <c r="E13" s="5" t="s">
        <v>116</v>
      </c>
      <c r="F13" s="5" t="s">
        <v>117</v>
      </c>
      <c r="G13" s="5" t="s">
        <v>118</v>
      </c>
    </row>
    <row r="14" spans="1:7" x14ac:dyDescent="0.3">
      <c r="A14" s="2"/>
      <c r="B14" s="2"/>
      <c r="C14" s="1"/>
      <c r="D14" s="1"/>
      <c r="E14" s="2"/>
      <c r="F14" s="2"/>
      <c r="G14" s="2"/>
    </row>
    <row r="15" spans="1:7" s="15" customFormat="1" ht="28.2" customHeight="1" x14ac:dyDescent="0.3">
      <c r="A15" s="11">
        <v>3</v>
      </c>
      <c r="B15" s="12" t="s">
        <v>100</v>
      </c>
      <c r="C15" s="23"/>
      <c r="D15" s="23"/>
      <c r="E15" s="13"/>
      <c r="F15" s="13"/>
      <c r="G15" s="16"/>
    </row>
    <row r="16" spans="1:7" s="15" customFormat="1" ht="28.8" customHeight="1" x14ac:dyDescent="0.3">
      <c r="A16" s="11" t="s">
        <v>101</v>
      </c>
      <c r="B16" s="11" t="s">
        <v>102</v>
      </c>
      <c r="C16" s="24" t="s">
        <v>103</v>
      </c>
      <c r="D16" s="24">
        <v>1</v>
      </c>
      <c r="E16" s="24"/>
      <c r="F16" s="25"/>
      <c r="G16" s="17">
        <f>D16*F16</f>
        <v>0</v>
      </c>
    </row>
    <row r="17" spans="1:7" s="15" customFormat="1" ht="29.4" customHeight="1" x14ac:dyDescent="0.3">
      <c r="A17" s="11" t="s">
        <v>104</v>
      </c>
      <c r="B17" s="12" t="s">
        <v>105</v>
      </c>
      <c r="C17" s="23"/>
      <c r="D17" s="23"/>
      <c r="E17" s="23"/>
      <c r="F17" s="26"/>
      <c r="G17" s="14"/>
    </row>
    <row r="18" spans="1:7" x14ac:dyDescent="0.3">
      <c r="A18" s="9" t="s">
        <v>106</v>
      </c>
      <c r="B18" s="9" t="s">
        <v>107</v>
      </c>
      <c r="C18" s="1" t="s">
        <v>103</v>
      </c>
      <c r="D18" s="1">
        <v>1</v>
      </c>
      <c r="E18" s="22"/>
      <c r="F18" s="72">
        <v>6000</v>
      </c>
      <c r="G18" s="73">
        <f t="shared" ref="G17:G80" si="0">D18*F18</f>
        <v>6000</v>
      </c>
    </row>
    <row r="19" spans="1:7" x14ac:dyDescent="0.3">
      <c r="A19" s="9" t="s">
        <v>108</v>
      </c>
      <c r="B19" s="9" t="s">
        <v>109</v>
      </c>
      <c r="C19" s="1" t="s">
        <v>103</v>
      </c>
      <c r="D19" s="1">
        <v>1</v>
      </c>
      <c r="E19" s="22"/>
      <c r="F19" s="72">
        <v>1500</v>
      </c>
      <c r="G19" s="73">
        <f t="shared" si="0"/>
        <v>1500</v>
      </c>
    </row>
    <row r="20" spans="1:7" x14ac:dyDescent="0.3">
      <c r="A20" s="9" t="s">
        <v>110</v>
      </c>
      <c r="B20" s="9" t="s">
        <v>111</v>
      </c>
      <c r="C20" s="1" t="s">
        <v>103</v>
      </c>
      <c r="D20" s="1">
        <v>1</v>
      </c>
      <c r="E20" s="22"/>
      <c r="F20" s="72">
        <v>1500</v>
      </c>
      <c r="G20" s="73">
        <f t="shared" si="0"/>
        <v>1500</v>
      </c>
    </row>
    <row r="21" spans="1:7" x14ac:dyDescent="0.3">
      <c r="A21" s="9" t="s">
        <v>112</v>
      </c>
      <c r="B21" s="9" t="s">
        <v>113</v>
      </c>
      <c r="C21" s="1" t="s">
        <v>103</v>
      </c>
      <c r="D21" s="1">
        <v>1</v>
      </c>
      <c r="E21" s="22"/>
      <c r="F21" s="72">
        <v>500</v>
      </c>
      <c r="G21" s="73">
        <f t="shared" si="0"/>
        <v>500</v>
      </c>
    </row>
    <row r="22" spans="1:7" s="15" customFormat="1" ht="28.8" customHeight="1" x14ac:dyDescent="0.3">
      <c r="A22" s="11" t="s">
        <v>98</v>
      </c>
      <c r="B22" s="12" t="s">
        <v>99</v>
      </c>
      <c r="C22" s="23"/>
      <c r="D22" s="23"/>
      <c r="E22" s="23"/>
      <c r="F22" s="26"/>
      <c r="G22" s="14"/>
    </row>
    <row r="23" spans="1:7" x14ac:dyDescent="0.3">
      <c r="A23" s="9" t="s">
        <v>96</v>
      </c>
      <c r="B23" s="9" t="s">
        <v>97</v>
      </c>
      <c r="C23" s="1" t="s">
        <v>42</v>
      </c>
      <c r="D23" s="1"/>
      <c r="E23" s="22"/>
      <c r="F23" s="72">
        <v>500</v>
      </c>
      <c r="G23" s="73"/>
    </row>
    <row r="24" spans="1:7" x14ac:dyDescent="0.3">
      <c r="A24" s="9" t="s">
        <v>94</v>
      </c>
      <c r="B24" s="9" t="s">
        <v>95</v>
      </c>
      <c r="C24" s="1" t="s">
        <v>1</v>
      </c>
      <c r="D24" s="1">
        <v>2200</v>
      </c>
      <c r="E24" s="22"/>
      <c r="F24" s="72">
        <v>2.75</v>
      </c>
      <c r="G24" s="73">
        <f t="shared" si="0"/>
        <v>6050</v>
      </c>
    </row>
    <row r="25" spans="1:7" x14ac:dyDescent="0.3">
      <c r="A25" s="9" t="s">
        <v>92</v>
      </c>
      <c r="B25" s="9" t="s">
        <v>93</v>
      </c>
      <c r="C25" s="1" t="s">
        <v>1</v>
      </c>
      <c r="D25" s="1">
        <v>2200</v>
      </c>
      <c r="E25" s="22"/>
      <c r="F25" s="72">
        <v>5</v>
      </c>
      <c r="G25" s="73">
        <f t="shared" si="0"/>
        <v>11000</v>
      </c>
    </row>
    <row r="26" spans="1:7" s="15" customFormat="1" ht="28.2" customHeight="1" x14ac:dyDescent="0.3">
      <c r="A26" s="11" t="s">
        <v>90</v>
      </c>
      <c r="B26" s="12" t="s">
        <v>91</v>
      </c>
      <c r="C26" s="23"/>
      <c r="D26" s="23"/>
      <c r="E26" s="23"/>
      <c r="F26" s="26"/>
      <c r="G26" s="14"/>
    </row>
    <row r="27" spans="1:7" x14ac:dyDescent="0.3">
      <c r="A27" s="9" t="s">
        <v>89</v>
      </c>
      <c r="B27" s="18" t="s">
        <v>88</v>
      </c>
      <c r="C27" s="1"/>
      <c r="D27" s="1"/>
      <c r="E27" s="22"/>
      <c r="F27" s="72"/>
      <c r="G27" s="73"/>
    </row>
    <row r="28" spans="1:7" x14ac:dyDescent="0.3">
      <c r="A28" s="9"/>
      <c r="B28" s="18" t="s">
        <v>86</v>
      </c>
      <c r="C28" s="1" t="s">
        <v>0</v>
      </c>
      <c r="D28" s="1">
        <v>122</v>
      </c>
      <c r="E28" s="22"/>
      <c r="F28" s="72">
        <v>12</v>
      </c>
      <c r="G28" s="73">
        <f t="shared" si="0"/>
        <v>1464</v>
      </c>
    </row>
    <row r="29" spans="1:7" x14ac:dyDescent="0.3">
      <c r="A29" s="9"/>
      <c r="B29" s="18" t="s">
        <v>87</v>
      </c>
      <c r="C29" s="1" t="s">
        <v>2</v>
      </c>
      <c r="D29" s="1">
        <v>13</v>
      </c>
      <c r="E29" s="22"/>
      <c r="F29" s="72">
        <v>37</v>
      </c>
      <c r="G29" s="73">
        <f t="shared" si="0"/>
        <v>481</v>
      </c>
    </row>
    <row r="30" spans="1:7" x14ac:dyDescent="0.3">
      <c r="A30" s="9" t="s">
        <v>84</v>
      </c>
      <c r="B30" s="18" t="s">
        <v>85</v>
      </c>
      <c r="C30" s="1"/>
      <c r="D30" s="1"/>
      <c r="E30" s="22"/>
      <c r="F30" s="72"/>
      <c r="G30" s="73"/>
    </row>
    <row r="31" spans="1:7" x14ac:dyDescent="0.3">
      <c r="A31" s="9"/>
      <c r="B31" s="18" t="s">
        <v>3</v>
      </c>
      <c r="C31" s="1" t="s">
        <v>0</v>
      </c>
      <c r="D31" s="1">
        <v>8.6</v>
      </c>
      <c r="E31" s="22"/>
      <c r="F31" s="72">
        <v>250</v>
      </c>
      <c r="G31" s="73">
        <f t="shared" si="0"/>
        <v>2150</v>
      </c>
    </row>
    <row r="32" spans="1:7" x14ac:dyDescent="0.3">
      <c r="A32" s="9"/>
      <c r="B32" s="18" t="s">
        <v>4</v>
      </c>
      <c r="C32" s="1" t="s">
        <v>2</v>
      </c>
      <c r="D32" s="1">
        <v>3</v>
      </c>
      <c r="E32" s="22"/>
      <c r="F32" s="72">
        <v>75</v>
      </c>
      <c r="G32" s="73">
        <f t="shared" si="0"/>
        <v>225</v>
      </c>
    </row>
    <row r="33" spans="1:7" x14ac:dyDescent="0.3">
      <c r="A33" s="9"/>
      <c r="B33" s="18" t="s">
        <v>80</v>
      </c>
      <c r="C33" s="1" t="s">
        <v>2</v>
      </c>
      <c r="D33" s="1">
        <v>1</v>
      </c>
      <c r="E33" s="22"/>
      <c r="F33" s="72">
        <v>500</v>
      </c>
      <c r="G33" s="73">
        <f t="shared" si="0"/>
        <v>500</v>
      </c>
    </row>
    <row r="34" spans="1:7" ht="29.4" customHeight="1" x14ac:dyDescent="0.3">
      <c r="A34" s="9"/>
      <c r="B34" s="18" t="s">
        <v>83</v>
      </c>
      <c r="C34" s="1" t="s">
        <v>0</v>
      </c>
      <c r="D34" s="1">
        <v>40</v>
      </c>
      <c r="E34" s="22"/>
      <c r="F34" s="72">
        <v>36</v>
      </c>
      <c r="G34" s="73">
        <f t="shared" si="0"/>
        <v>1440</v>
      </c>
    </row>
    <row r="35" spans="1:7" x14ac:dyDescent="0.3">
      <c r="A35" s="9"/>
      <c r="B35" s="18" t="s">
        <v>82</v>
      </c>
      <c r="C35" s="1" t="s">
        <v>0</v>
      </c>
      <c r="D35" s="1">
        <v>122</v>
      </c>
      <c r="E35" s="22"/>
      <c r="F35" s="72">
        <v>10</v>
      </c>
      <c r="G35" s="73">
        <f t="shared" si="0"/>
        <v>1220</v>
      </c>
    </row>
    <row r="36" spans="1:7" x14ac:dyDescent="0.3">
      <c r="A36" s="9"/>
      <c r="B36" s="18" t="s">
        <v>5</v>
      </c>
      <c r="C36" s="1" t="s">
        <v>6</v>
      </c>
      <c r="D36" s="1">
        <v>1</v>
      </c>
      <c r="E36" s="22"/>
      <c r="F36" s="72">
        <v>300</v>
      </c>
      <c r="G36" s="73">
        <f t="shared" si="0"/>
        <v>300</v>
      </c>
    </row>
    <row r="37" spans="1:7" x14ac:dyDescent="0.3">
      <c r="A37" s="9" t="s">
        <v>78</v>
      </c>
      <c r="B37" s="18" t="s">
        <v>77</v>
      </c>
      <c r="C37" s="1"/>
      <c r="D37" s="1"/>
      <c r="E37" s="22"/>
      <c r="F37" s="72"/>
      <c r="G37" s="73"/>
    </row>
    <row r="38" spans="1:7" x14ac:dyDescent="0.3">
      <c r="A38" s="9"/>
      <c r="B38" s="18" t="s">
        <v>7</v>
      </c>
      <c r="C38" s="1" t="s">
        <v>2</v>
      </c>
      <c r="D38" s="1">
        <v>2</v>
      </c>
      <c r="E38" s="22"/>
      <c r="F38" s="72">
        <v>44</v>
      </c>
      <c r="G38" s="73">
        <f t="shared" si="0"/>
        <v>88</v>
      </c>
    </row>
    <row r="39" spans="1:7" x14ac:dyDescent="0.3">
      <c r="A39" s="9"/>
      <c r="B39" s="18" t="s">
        <v>79</v>
      </c>
      <c r="C39" s="1" t="s">
        <v>2</v>
      </c>
      <c r="D39" s="1">
        <v>2</v>
      </c>
      <c r="E39" s="22"/>
      <c r="F39" s="72">
        <v>200</v>
      </c>
      <c r="G39" s="73">
        <f t="shared" si="0"/>
        <v>400</v>
      </c>
    </row>
    <row r="40" spans="1:7" x14ac:dyDescent="0.3">
      <c r="A40" s="9"/>
      <c r="B40" s="18" t="s">
        <v>8</v>
      </c>
      <c r="C40" s="1" t="s">
        <v>2</v>
      </c>
      <c r="D40" s="1"/>
      <c r="E40" s="22"/>
      <c r="F40" s="72">
        <v>35</v>
      </c>
      <c r="G40" s="73"/>
    </row>
    <row r="41" spans="1:7" x14ac:dyDescent="0.3">
      <c r="A41" s="9"/>
      <c r="B41" s="18" t="s">
        <v>80</v>
      </c>
      <c r="C41" s="1" t="s">
        <v>6</v>
      </c>
      <c r="D41" s="1">
        <v>1</v>
      </c>
      <c r="E41" s="22"/>
      <c r="F41" s="72">
        <v>1500</v>
      </c>
      <c r="G41" s="73">
        <f t="shared" si="0"/>
        <v>1500</v>
      </c>
    </row>
    <row r="42" spans="1:7" ht="28.2" customHeight="1" x14ac:dyDescent="0.3">
      <c r="A42" s="9"/>
      <c r="B42" s="18" t="s">
        <v>81</v>
      </c>
      <c r="C42" s="1" t="s">
        <v>0</v>
      </c>
      <c r="D42" s="1">
        <v>39</v>
      </c>
      <c r="E42" s="22"/>
      <c r="F42" s="72">
        <v>36</v>
      </c>
      <c r="G42" s="73">
        <f t="shared" si="0"/>
        <v>1404</v>
      </c>
    </row>
    <row r="43" spans="1:7" x14ac:dyDescent="0.3">
      <c r="A43" s="9"/>
      <c r="B43" s="18" t="s">
        <v>9</v>
      </c>
      <c r="C43" s="1" t="s">
        <v>6</v>
      </c>
      <c r="D43" s="1">
        <v>1</v>
      </c>
      <c r="E43" s="22"/>
      <c r="F43" s="72">
        <v>6500</v>
      </c>
      <c r="G43" s="73">
        <f t="shared" si="0"/>
        <v>6500</v>
      </c>
    </row>
    <row r="44" spans="1:7" x14ac:dyDescent="0.3">
      <c r="A44" s="9" t="s">
        <v>76</v>
      </c>
      <c r="B44" s="18" t="s">
        <v>10</v>
      </c>
      <c r="C44" s="1"/>
      <c r="D44" s="1"/>
      <c r="E44" s="22"/>
      <c r="F44" s="72"/>
      <c r="G44" s="73"/>
    </row>
    <row r="45" spans="1:7" x14ac:dyDescent="0.3">
      <c r="A45" s="9"/>
      <c r="B45" s="18" t="s">
        <v>11</v>
      </c>
      <c r="C45" s="1" t="s">
        <v>0</v>
      </c>
      <c r="D45" s="1">
        <v>36</v>
      </c>
      <c r="E45" s="22"/>
      <c r="F45" s="72">
        <v>8.5</v>
      </c>
      <c r="G45" s="73">
        <f t="shared" si="0"/>
        <v>306</v>
      </c>
    </row>
    <row r="46" spans="1:7" x14ac:dyDescent="0.3">
      <c r="A46" s="9"/>
      <c r="B46" s="18" t="s">
        <v>12</v>
      </c>
      <c r="C46" s="1" t="s">
        <v>2</v>
      </c>
      <c r="D46" s="1">
        <v>1</v>
      </c>
      <c r="E46" s="22"/>
      <c r="F46" s="72">
        <v>2500</v>
      </c>
      <c r="G46" s="73">
        <f t="shared" si="0"/>
        <v>2500</v>
      </c>
    </row>
    <row r="47" spans="1:7" x14ac:dyDescent="0.3">
      <c r="A47" s="9"/>
      <c r="B47" s="18" t="s">
        <v>13</v>
      </c>
      <c r="C47" s="1" t="s">
        <v>2</v>
      </c>
      <c r="D47" s="1">
        <v>1</v>
      </c>
      <c r="E47" s="22"/>
      <c r="F47" s="72">
        <v>2500</v>
      </c>
      <c r="G47" s="73">
        <f t="shared" si="0"/>
        <v>2500</v>
      </c>
    </row>
    <row r="48" spans="1:7" x14ac:dyDescent="0.3">
      <c r="A48" s="9"/>
      <c r="B48" s="18" t="s">
        <v>14</v>
      </c>
      <c r="C48" s="1" t="s">
        <v>2</v>
      </c>
      <c r="D48" s="1">
        <v>1</v>
      </c>
      <c r="E48" s="22"/>
      <c r="F48" s="72">
        <v>1500</v>
      </c>
      <c r="G48" s="73">
        <f t="shared" si="0"/>
        <v>1500</v>
      </c>
    </row>
    <row r="49" spans="1:7" x14ac:dyDescent="0.3">
      <c r="A49" s="9"/>
      <c r="B49" s="18" t="s">
        <v>15</v>
      </c>
      <c r="C49" s="1" t="s">
        <v>2</v>
      </c>
      <c r="D49" s="1">
        <v>1</v>
      </c>
      <c r="E49" s="22"/>
      <c r="F49" s="72">
        <v>1500</v>
      </c>
      <c r="G49" s="73">
        <f t="shared" si="0"/>
        <v>1500</v>
      </c>
    </row>
    <row r="50" spans="1:7" x14ac:dyDescent="0.3">
      <c r="A50" s="9"/>
      <c r="B50" s="18" t="s">
        <v>16</v>
      </c>
      <c r="C50" s="1" t="s">
        <v>6</v>
      </c>
      <c r="D50" s="1">
        <v>1</v>
      </c>
      <c r="E50" s="22"/>
      <c r="F50" s="72">
        <v>1500</v>
      </c>
      <c r="G50" s="73">
        <f t="shared" si="0"/>
        <v>1500</v>
      </c>
    </row>
    <row r="51" spans="1:7" x14ac:dyDescent="0.3">
      <c r="A51" s="9" t="s">
        <v>68</v>
      </c>
      <c r="B51" s="18" t="s">
        <v>69</v>
      </c>
      <c r="C51" s="1"/>
      <c r="D51" s="1"/>
      <c r="E51" s="22"/>
      <c r="F51" s="72"/>
      <c r="G51" s="73"/>
    </row>
    <row r="52" spans="1:7" ht="28.8" x14ac:dyDescent="0.3">
      <c r="A52" s="9"/>
      <c r="B52" s="18" t="s">
        <v>17</v>
      </c>
      <c r="C52" s="1" t="s">
        <v>0</v>
      </c>
      <c r="D52" s="1">
        <v>53</v>
      </c>
      <c r="E52" s="22"/>
      <c r="F52" s="72">
        <v>12</v>
      </c>
      <c r="G52" s="73">
        <f t="shared" si="0"/>
        <v>636</v>
      </c>
    </row>
    <row r="53" spans="1:7" ht="28.8" x14ac:dyDescent="0.3">
      <c r="A53" s="9"/>
      <c r="B53" s="18" t="s">
        <v>18</v>
      </c>
      <c r="C53" s="1" t="s">
        <v>0</v>
      </c>
      <c r="D53" s="1">
        <v>53</v>
      </c>
      <c r="E53" s="22"/>
      <c r="F53" s="72">
        <v>13</v>
      </c>
      <c r="G53" s="73">
        <f t="shared" si="0"/>
        <v>689</v>
      </c>
    </row>
    <row r="54" spans="1:7" ht="28.8" x14ac:dyDescent="0.3">
      <c r="A54" s="9"/>
      <c r="B54" s="18" t="s">
        <v>19</v>
      </c>
      <c r="C54" s="1" t="s">
        <v>0</v>
      </c>
      <c r="D54" s="1">
        <v>37</v>
      </c>
      <c r="E54" s="22"/>
      <c r="F54" s="72">
        <v>14</v>
      </c>
      <c r="G54" s="73">
        <f t="shared" si="0"/>
        <v>518</v>
      </c>
    </row>
    <row r="55" spans="1:7" ht="28.8" x14ac:dyDescent="0.3">
      <c r="A55" s="9"/>
      <c r="B55" s="18" t="s">
        <v>20</v>
      </c>
      <c r="C55" s="1" t="s">
        <v>0</v>
      </c>
      <c r="D55" s="1">
        <v>37</v>
      </c>
      <c r="E55" s="22"/>
      <c r="F55" s="72">
        <v>17</v>
      </c>
      <c r="G55" s="73">
        <f t="shared" si="0"/>
        <v>629</v>
      </c>
    </row>
    <row r="56" spans="1:7" ht="28.8" x14ac:dyDescent="0.3">
      <c r="A56" s="9"/>
      <c r="B56" s="18" t="s">
        <v>21</v>
      </c>
      <c r="C56" s="1" t="s">
        <v>0</v>
      </c>
      <c r="D56" s="1">
        <v>37</v>
      </c>
      <c r="E56" s="22"/>
      <c r="F56" s="72">
        <v>20</v>
      </c>
      <c r="G56" s="73">
        <f t="shared" si="0"/>
        <v>740</v>
      </c>
    </row>
    <row r="57" spans="1:7" ht="28.8" x14ac:dyDescent="0.3">
      <c r="A57" s="9"/>
      <c r="B57" s="18" t="s">
        <v>22</v>
      </c>
      <c r="C57" s="1" t="s">
        <v>0</v>
      </c>
      <c r="D57" s="1">
        <v>53</v>
      </c>
      <c r="E57" s="22"/>
      <c r="F57" s="72">
        <v>20</v>
      </c>
      <c r="G57" s="73">
        <f t="shared" si="0"/>
        <v>1060</v>
      </c>
    </row>
    <row r="58" spans="1:7" x14ac:dyDescent="0.3">
      <c r="A58" s="9"/>
      <c r="B58" s="18" t="s">
        <v>23</v>
      </c>
      <c r="C58" s="1" t="s">
        <v>6</v>
      </c>
      <c r="D58" s="1">
        <v>6</v>
      </c>
      <c r="E58" s="22"/>
      <c r="F58" s="72">
        <v>75</v>
      </c>
      <c r="G58" s="73">
        <f t="shared" si="0"/>
        <v>450</v>
      </c>
    </row>
    <row r="59" spans="1:7" x14ac:dyDescent="0.3">
      <c r="A59" s="9"/>
      <c r="B59" s="18" t="s">
        <v>24</v>
      </c>
      <c r="C59" s="1" t="s">
        <v>6</v>
      </c>
      <c r="D59" s="1">
        <v>0</v>
      </c>
      <c r="E59" s="22"/>
      <c r="F59" s="72">
        <v>90</v>
      </c>
      <c r="G59" s="73">
        <f t="shared" si="0"/>
        <v>0</v>
      </c>
    </row>
    <row r="60" spans="1:7" x14ac:dyDescent="0.3">
      <c r="A60" s="9"/>
      <c r="B60" s="18" t="s">
        <v>25</v>
      </c>
      <c r="C60" s="1" t="s">
        <v>6</v>
      </c>
      <c r="D60" s="1">
        <v>1</v>
      </c>
      <c r="E60" s="22"/>
      <c r="F60" s="72">
        <v>250</v>
      </c>
      <c r="G60" s="73">
        <f t="shared" si="0"/>
        <v>250</v>
      </c>
    </row>
    <row r="61" spans="1:7" x14ac:dyDescent="0.3">
      <c r="A61" s="9"/>
      <c r="B61" s="18" t="s">
        <v>26</v>
      </c>
      <c r="C61" s="1" t="s">
        <v>1</v>
      </c>
      <c r="D61" s="1">
        <v>1.95</v>
      </c>
      <c r="E61" s="22"/>
      <c r="F61" s="72">
        <v>350</v>
      </c>
      <c r="G61" s="73">
        <f t="shared" si="0"/>
        <v>682.5</v>
      </c>
    </row>
    <row r="62" spans="1:7" x14ac:dyDescent="0.3">
      <c r="A62" s="9" t="s">
        <v>70</v>
      </c>
      <c r="B62" s="18" t="s">
        <v>27</v>
      </c>
      <c r="C62" s="1"/>
      <c r="D62" s="1"/>
      <c r="E62" s="22"/>
      <c r="F62" s="72"/>
      <c r="G62" s="73"/>
    </row>
    <row r="63" spans="1:7" ht="28.8" x14ac:dyDescent="0.3">
      <c r="A63" s="9"/>
      <c r="B63" s="18" t="s">
        <v>20</v>
      </c>
      <c r="C63" s="1" t="s">
        <v>0</v>
      </c>
      <c r="D63" s="1">
        <v>15</v>
      </c>
      <c r="E63" s="22"/>
      <c r="F63" s="72">
        <v>17</v>
      </c>
      <c r="G63" s="73">
        <f t="shared" si="0"/>
        <v>255</v>
      </c>
    </row>
    <row r="64" spans="1:7" x14ac:dyDescent="0.3">
      <c r="A64" s="9"/>
      <c r="B64" s="18" t="s">
        <v>28</v>
      </c>
      <c r="C64" s="1" t="s">
        <v>0</v>
      </c>
      <c r="D64" s="1">
        <v>60</v>
      </c>
      <c r="E64" s="22"/>
      <c r="F64" s="72">
        <v>3.5</v>
      </c>
      <c r="G64" s="73">
        <f t="shared" si="0"/>
        <v>210</v>
      </c>
    </row>
    <row r="65" spans="1:7" x14ac:dyDescent="0.3">
      <c r="A65" s="9" t="s">
        <v>71</v>
      </c>
      <c r="B65" s="18" t="s">
        <v>29</v>
      </c>
      <c r="C65" s="1" t="s">
        <v>2</v>
      </c>
      <c r="D65" s="1">
        <v>2</v>
      </c>
      <c r="E65" s="22"/>
      <c r="F65" s="72">
        <v>150</v>
      </c>
      <c r="G65" s="73">
        <f t="shared" si="0"/>
        <v>300</v>
      </c>
    </row>
    <row r="66" spans="1:7" x14ac:dyDescent="0.3">
      <c r="A66" s="9" t="s">
        <v>72</v>
      </c>
      <c r="B66" s="18" t="s">
        <v>30</v>
      </c>
      <c r="C66" s="1" t="s">
        <v>6</v>
      </c>
      <c r="D66" s="1">
        <v>11</v>
      </c>
      <c r="E66" s="22"/>
      <c r="F66" s="72">
        <v>50</v>
      </c>
      <c r="G66" s="73">
        <f t="shared" si="0"/>
        <v>550</v>
      </c>
    </row>
    <row r="67" spans="1:7" s="15" customFormat="1" ht="29.4" customHeight="1" x14ac:dyDescent="0.3">
      <c r="A67" s="11" t="s">
        <v>49</v>
      </c>
      <c r="B67" s="19" t="s">
        <v>73</v>
      </c>
      <c r="C67" s="23"/>
      <c r="D67" s="23"/>
      <c r="E67" s="23"/>
      <c r="F67" s="26"/>
      <c r="G67" s="14"/>
    </row>
    <row r="68" spans="1:7" x14ac:dyDescent="0.3">
      <c r="A68" s="10" t="s">
        <v>50</v>
      </c>
      <c r="B68" s="18" t="s">
        <v>48</v>
      </c>
      <c r="C68" s="1"/>
      <c r="D68" s="1"/>
      <c r="E68" s="22"/>
      <c r="F68" s="72"/>
      <c r="G68" s="73"/>
    </row>
    <row r="69" spans="1:7" x14ac:dyDescent="0.3">
      <c r="A69" s="10"/>
      <c r="B69" s="18" t="s">
        <v>31</v>
      </c>
      <c r="C69" s="1" t="s">
        <v>0</v>
      </c>
      <c r="D69" s="1">
        <v>196</v>
      </c>
      <c r="E69" s="22"/>
      <c r="F69" s="72">
        <v>18</v>
      </c>
      <c r="G69" s="73">
        <f t="shared" si="0"/>
        <v>3528</v>
      </c>
    </row>
    <row r="70" spans="1:7" x14ac:dyDescent="0.3">
      <c r="A70" s="10"/>
      <c r="B70" s="18" t="s">
        <v>32</v>
      </c>
      <c r="C70" s="1" t="s">
        <v>0</v>
      </c>
      <c r="D70" s="1">
        <v>38</v>
      </c>
      <c r="E70" s="22"/>
      <c r="F70" s="72">
        <v>15</v>
      </c>
      <c r="G70" s="73">
        <f t="shared" si="0"/>
        <v>570</v>
      </c>
    </row>
    <row r="71" spans="1:7" x14ac:dyDescent="0.3">
      <c r="A71" s="10"/>
      <c r="B71" s="18" t="s">
        <v>33</v>
      </c>
      <c r="C71" s="1" t="s">
        <v>0</v>
      </c>
      <c r="D71" s="1">
        <v>107</v>
      </c>
      <c r="E71" s="22"/>
      <c r="F71" s="72">
        <v>17</v>
      </c>
      <c r="G71" s="73">
        <f t="shared" si="0"/>
        <v>1819</v>
      </c>
    </row>
    <row r="72" spans="1:7" x14ac:dyDescent="0.3">
      <c r="A72" s="10"/>
      <c r="B72" s="18" t="s">
        <v>34</v>
      </c>
      <c r="C72" s="1" t="s">
        <v>0</v>
      </c>
      <c r="D72" s="1">
        <v>11</v>
      </c>
      <c r="E72" s="22"/>
      <c r="F72" s="72">
        <v>45</v>
      </c>
      <c r="G72" s="73">
        <f t="shared" si="0"/>
        <v>495</v>
      </c>
    </row>
    <row r="73" spans="1:7" x14ac:dyDescent="0.3">
      <c r="A73" s="10" t="s">
        <v>51</v>
      </c>
      <c r="B73" s="18" t="s">
        <v>35</v>
      </c>
      <c r="C73" s="1"/>
      <c r="D73" s="1"/>
      <c r="E73" s="22"/>
      <c r="F73" s="72"/>
      <c r="G73" s="73"/>
    </row>
    <row r="74" spans="1:7" x14ac:dyDescent="0.3">
      <c r="A74" s="10" t="s">
        <v>52</v>
      </c>
      <c r="B74" s="18" t="s">
        <v>75</v>
      </c>
      <c r="C74" s="1" t="s">
        <v>1</v>
      </c>
      <c r="D74" s="1">
        <v>455</v>
      </c>
      <c r="E74" s="22"/>
      <c r="F74" s="72">
        <v>55</v>
      </c>
      <c r="G74" s="73">
        <f t="shared" si="0"/>
        <v>25025</v>
      </c>
    </row>
    <row r="75" spans="1:7" x14ac:dyDescent="0.3">
      <c r="A75" s="10" t="s">
        <v>74</v>
      </c>
      <c r="B75" s="18" t="s">
        <v>46</v>
      </c>
      <c r="C75" s="1" t="s">
        <v>1</v>
      </c>
      <c r="D75" s="1">
        <v>455</v>
      </c>
      <c r="E75" s="22"/>
      <c r="F75" s="72">
        <v>20</v>
      </c>
      <c r="G75" s="73">
        <f t="shared" si="0"/>
        <v>9100</v>
      </c>
    </row>
    <row r="76" spans="1:7" x14ac:dyDescent="0.3">
      <c r="A76" s="10" t="s">
        <v>53</v>
      </c>
      <c r="B76" s="18" t="s">
        <v>36</v>
      </c>
      <c r="C76" s="1" t="s">
        <v>1</v>
      </c>
      <c r="D76" s="1">
        <v>61</v>
      </c>
      <c r="E76" s="22"/>
      <c r="F76" s="72">
        <v>107</v>
      </c>
      <c r="G76" s="73">
        <f t="shared" si="0"/>
        <v>6527</v>
      </c>
    </row>
    <row r="77" spans="1:7" x14ac:dyDescent="0.3">
      <c r="A77" s="10" t="s">
        <v>54</v>
      </c>
      <c r="B77" s="18" t="s">
        <v>67</v>
      </c>
      <c r="C77" s="1" t="s">
        <v>1</v>
      </c>
      <c r="D77" s="1">
        <v>1</v>
      </c>
      <c r="E77" s="22"/>
      <c r="F77" s="72">
        <v>100</v>
      </c>
      <c r="G77" s="73">
        <f t="shared" si="0"/>
        <v>100</v>
      </c>
    </row>
    <row r="78" spans="1:7" x14ac:dyDescent="0.3">
      <c r="A78" s="10" t="s">
        <v>56</v>
      </c>
      <c r="B78" s="18" t="s">
        <v>55</v>
      </c>
      <c r="C78" s="1" t="s">
        <v>47</v>
      </c>
      <c r="D78" s="1">
        <v>40</v>
      </c>
      <c r="E78" s="22"/>
      <c r="F78" s="72">
        <v>40</v>
      </c>
      <c r="G78" s="73">
        <f t="shared" si="0"/>
        <v>1600</v>
      </c>
    </row>
    <row r="79" spans="1:7" s="8" customFormat="1" ht="28.8" customHeight="1" x14ac:dyDescent="0.3">
      <c r="A79" s="6" t="s">
        <v>57</v>
      </c>
      <c r="B79" s="20" t="s">
        <v>37</v>
      </c>
      <c r="C79" s="23"/>
      <c r="D79" s="23"/>
      <c r="E79" s="23"/>
      <c r="F79" s="26"/>
      <c r="G79" s="7"/>
    </row>
    <row r="80" spans="1:7" x14ac:dyDescent="0.3">
      <c r="A80" s="10" t="s">
        <v>58</v>
      </c>
      <c r="B80" s="21" t="s">
        <v>38</v>
      </c>
      <c r="C80" s="1" t="s">
        <v>1</v>
      </c>
      <c r="D80" s="1">
        <v>500</v>
      </c>
      <c r="E80" s="22"/>
      <c r="F80" s="72">
        <v>3</v>
      </c>
      <c r="G80" s="73">
        <f t="shared" si="0"/>
        <v>1500</v>
      </c>
    </row>
    <row r="81" spans="1:7" x14ac:dyDescent="0.3">
      <c r="A81" s="10" t="s">
        <v>59</v>
      </c>
      <c r="B81" s="21" t="s">
        <v>39</v>
      </c>
      <c r="C81" s="1" t="s">
        <v>1</v>
      </c>
      <c r="D81" s="1">
        <v>500</v>
      </c>
      <c r="E81" s="22"/>
      <c r="F81" s="72">
        <v>2.5</v>
      </c>
      <c r="G81" s="73">
        <f t="shared" ref="G81:G87" si="1">D81*F81</f>
        <v>1250</v>
      </c>
    </row>
    <row r="82" spans="1:7" x14ac:dyDescent="0.3">
      <c r="A82" s="10" t="s">
        <v>60</v>
      </c>
      <c r="B82" s="21" t="s">
        <v>40</v>
      </c>
      <c r="C82" s="1" t="s">
        <v>1</v>
      </c>
      <c r="D82" s="1">
        <v>500</v>
      </c>
      <c r="E82" s="22"/>
      <c r="F82" s="72">
        <v>2</v>
      </c>
      <c r="G82" s="73">
        <f t="shared" si="1"/>
        <v>1000</v>
      </c>
    </row>
    <row r="83" spans="1:7" x14ac:dyDescent="0.3">
      <c r="A83" s="10" t="s">
        <v>62</v>
      </c>
      <c r="B83" s="21" t="s">
        <v>61</v>
      </c>
      <c r="C83" s="1" t="s">
        <v>42</v>
      </c>
      <c r="D83" s="1"/>
      <c r="E83" s="22"/>
      <c r="F83" s="72">
        <v>1.5</v>
      </c>
      <c r="G83" s="73">
        <f t="shared" si="1"/>
        <v>0</v>
      </c>
    </row>
    <row r="84" spans="1:7" x14ac:dyDescent="0.3">
      <c r="A84" s="10" t="s">
        <v>63</v>
      </c>
      <c r="B84" s="21" t="s">
        <v>41</v>
      </c>
      <c r="C84" s="1" t="s">
        <v>42</v>
      </c>
      <c r="D84" s="1"/>
      <c r="E84" s="22"/>
      <c r="F84" s="72">
        <v>2.5</v>
      </c>
      <c r="G84" s="73">
        <f t="shared" si="1"/>
        <v>0</v>
      </c>
    </row>
    <row r="85" spans="1:7" x14ac:dyDescent="0.3">
      <c r="A85" s="10" t="s">
        <v>64</v>
      </c>
      <c r="B85" s="21" t="s">
        <v>43</v>
      </c>
      <c r="C85" s="1" t="s">
        <v>42</v>
      </c>
      <c r="D85" s="1"/>
      <c r="E85" s="22"/>
      <c r="F85" s="72">
        <v>1</v>
      </c>
      <c r="G85" s="73">
        <f t="shared" si="1"/>
        <v>0</v>
      </c>
    </row>
    <row r="86" spans="1:7" x14ac:dyDescent="0.3">
      <c r="A86" s="10" t="s">
        <v>65</v>
      </c>
      <c r="B86" s="21" t="s">
        <v>44</v>
      </c>
      <c r="C86" s="1" t="s">
        <v>42</v>
      </c>
      <c r="D86" s="1"/>
      <c r="E86" s="22"/>
      <c r="F86" s="72">
        <v>0.5</v>
      </c>
      <c r="G86" s="73">
        <f t="shared" si="1"/>
        <v>0</v>
      </c>
    </row>
    <row r="87" spans="1:7" x14ac:dyDescent="0.3">
      <c r="A87" s="10" t="s">
        <v>66</v>
      </c>
      <c r="B87" s="21" t="s">
        <v>45</v>
      </c>
      <c r="C87" s="1" t="s">
        <v>6</v>
      </c>
      <c r="D87" s="1">
        <v>1</v>
      </c>
      <c r="E87" s="22"/>
      <c r="F87" s="72">
        <v>50</v>
      </c>
      <c r="G87" s="73">
        <f t="shared" si="1"/>
        <v>50</v>
      </c>
    </row>
    <row r="90" spans="1:7" ht="15" thickBot="1" x14ac:dyDescent="0.35"/>
    <row r="91" spans="1:7" ht="15" thickBot="1" x14ac:dyDescent="0.35">
      <c r="A91" s="63" t="s">
        <v>120</v>
      </c>
      <c r="B91" s="64"/>
      <c r="C91" s="64"/>
      <c r="D91" s="64"/>
      <c r="E91" s="64"/>
      <c r="F91" s="64"/>
      <c r="G91" s="69">
        <f>SUM(G15:G90)</f>
        <v>113561.5</v>
      </c>
    </row>
    <row r="92" spans="1:7" ht="15" thickBot="1" x14ac:dyDescent="0.35">
      <c r="A92" s="67" t="s">
        <v>121</v>
      </c>
      <c r="B92" s="68"/>
      <c r="C92" s="68"/>
      <c r="D92" s="68"/>
      <c r="E92" s="68"/>
      <c r="F92" s="68"/>
      <c r="G92" s="71">
        <f>G91*0.2</f>
        <v>22712.300000000003</v>
      </c>
    </row>
    <row r="93" spans="1:7" ht="15" thickBot="1" x14ac:dyDescent="0.35">
      <c r="A93" s="65" t="s">
        <v>122</v>
      </c>
      <c r="B93" s="66"/>
      <c r="C93" s="66"/>
      <c r="D93" s="66"/>
      <c r="E93" s="66"/>
      <c r="F93" s="66"/>
      <c r="G93" s="70">
        <f>SUM(G91:G92)</f>
        <v>136273.79999999999</v>
      </c>
    </row>
  </sheetData>
  <mergeCells count="10">
    <mergeCell ref="A1:E5"/>
    <mergeCell ref="F1:G5"/>
    <mergeCell ref="A91:F91"/>
    <mergeCell ref="A92:F92"/>
    <mergeCell ref="A93:F93"/>
    <mergeCell ref="A13:B13"/>
    <mergeCell ref="A6:B10"/>
    <mergeCell ref="C9:E10"/>
    <mergeCell ref="F9:G10"/>
    <mergeCell ref="C6:G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Arnould Alexis</dc:creator>
  <cp:lastModifiedBy>Arnould Alexis</cp:lastModifiedBy>
  <dcterms:created xsi:type="dcterms:W3CDTF">2022-05-16T11:49:37Z</dcterms:created>
  <dcterms:modified xsi:type="dcterms:W3CDTF">2022-05-16T13:22:39Z</dcterms:modified>
</cp:coreProperties>
</file>